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 codeName="ThisWorkbook"/>
  <bookViews>
    <workbookView xWindow="-110" yWindow="-110" windowWidth="19420" windowHeight="11020"/>
  </bookViews>
  <sheets>
    <sheet name="INVOICE" sheetId="2" r:id="rId1"/>
    <sheet name="PLANT 1" sheetId="1" r:id="rId2"/>
  </sheets>
  <definedNames>
    <definedName name="_xlnm._FilterDatabase" localSheetId="1" hidden="1">'PLANT 1'!$A$1:$AQ$8</definedName>
  </definedName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5" i="2"/>
  <c r="F14"/>
  <c r="F13"/>
  <c r="F12"/>
  <c r="F11"/>
  <c r="D30" i="1"/>
  <c r="D31" s="1"/>
  <c r="F17" i="2" l="1"/>
  <c r="E18" s="1"/>
  <c r="F18" s="1"/>
  <c r="D32" i="1"/>
  <c r="D33" s="1"/>
  <c r="F21" i="2" l="1"/>
  <c r="E19"/>
  <c r="F19" s="1"/>
  <c r="D22" i="1" l="1"/>
  <c r="D20"/>
  <c r="AG8"/>
  <c r="D25" s="1"/>
  <c r="AF8"/>
  <c r="AE8"/>
  <c r="AD8"/>
  <c r="AC8"/>
  <c r="AB8"/>
  <c r="AA8"/>
  <c r="Z8"/>
  <c r="Y8"/>
  <c r="X8"/>
  <c r="W8"/>
  <c r="D16" s="1"/>
  <c r="V8"/>
  <c r="D18" s="1"/>
  <c r="U8"/>
  <c r="D15" s="1"/>
  <c r="D21" s="1"/>
  <c r="T8"/>
  <c r="S8"/>
  <c r="R8"/>
  <c r="Q8"/>
  <c r="P8"/>
  <c r="O8"/>
  <c r="D23" s="1"/>
  <c r="N8"/>
  <c r="M8"/>
  <c r="L8"/>
  <c r="K8"/>
  <c r="J8"/>
  <c r="I8"/>
  <c r="H8"/>
  <c r="G8"/>
  <c r="F8"/>
  <c r="E8"/>
  <c r="AI7"/>
  <c r="AH7"/>
  <c r="AG7"/>
  <c r="AI6"/>
  <c r="AH6"/>
  <c r="AG6"/>
  <c r="AI5"/>
  <c r="AH5"/>
  <c r="AG5"/>
  <c r="AI4"/>
  <c r="AH4"/>
  <c r="AG4"/>
  <c r="AI3"/>
  <c r="AH3"/>
  <c r="AH8" s="1"/>
  <c r="D24" s="1"/>
  <c r="AG3"/>
  <c r="A3"/>
  <c r="A4" s="1"/>
  <c r="A5" s="1"/>
  <c r="A6" s="1"/>
  <c r="A7" s="1"/>
  <c r="AI2"/>
  <c r="AI8" s="1"/>
  <c r="D26" s="1"/>
  <c r="D27" l="1"/>
</calcChain>
</file>

<file path=xl/sharedStrings.xml><?xml version="1.0" encoding="utf-8"?>
<sst xmlns="http://schemas.openxmlformats.org/spreadsheetml/2006/main" count="148" uniqueCount="116">
  <si>
    <t>Sl No</t>
  </si>
  <si>
    <t>Emp ID</t>
  </si>
  <si>
    <t>Employee Name</t>
  </si>
  <si>
    <t>Month/ Year</t>
  </si>
  <si>
    <t xml:space="preserve"> Pay Days</t>
  </si>
  <si>
    <t xml:space="preserve"> Present Days</t>
  </si>
  <si>
    <t xml:space="preserve"> Sal Cal Days</t>
  </si>
  <si>
    <t xml:space="preserve"> BASIC</t>
  </si>
  <si>
    <t xml:space="preserve"> HRA</t>
  </si>
  <si>
    <t xml:space="preserve"> TA</t>
  </si>
  <si>
    <t xml:space="preserve"> TURNPERF</t>
  </si>
  <si>
    <t xml:space="preserve"> HODASSPERF</t>
  </si>
  <si>
    <t xml:space="preserve"> TASKPERF</t>
  </si>
  <si>
    <t xml:space="preserve"> PER DAY</t>
  </si>
  <si>
    <t xml:space="preserve"> OT AMOUNT</t>
  </si>
  <si>
    <t xml:space="preserve"> ATTD GIFT</t>
  </si>
  <si>
    <t xml:space="preserve"> REWARD</t>
  </si>
  <si>
    <t xml:space="preserve"> ARREARS</t>
  </si>
  <si>
    <t xml:space="preserve"> OT HOUR</t>
  </si>
  <si>
    <t xml:space="preserve"> OT1 Rate</t>
  </si>
  <si>
    <t xml:space="preserve"> CANTEEN</t>
  </si>
  <si>
    <t xml:space="preserve"> UNIFORM</t>
  </si>
  <si>
    <t xml:space="preserve"> SHOE</t>
  </si>
  <si>
    <t xml:space="preserve"> OTHER DED</t>
  </si>
  <si>
    <t xml:space="preserve"> LVE WAIVER</t>
  </si>
  <si>
    <t xml:space="preserve"> BONUS Per</t>
  </si>
  <si>
    <t xml:space="preserve"> PF</t>
  </si>
  <si>
    <t xml:space="preserve"> ESI</t>
  </si>
  <si>
    <t xml:space="preserve"> Total Earning</t>
  </si>
  <si>
    <t xml:space="preserve"> Total Deduction</t>
  </si>
  <si>
    <t xml:space="preserve"> Net Amount</t>
  </si>
  <si>
    <t xml:space="preserve"> Derived Total</t>
  </si>
  <si>
    <t>ESI 3.25%</t>
  </si>
  <si>
    <t>PF 13%</t>
  </si>
  <si>
    <t>SERVICE CHARGES</t>
  </si>
  <si>
    <t xml:space="preserve"> Remark</t>
  </si>
  <si>
    <t>Attendance</t>
  </si>
  <si>
    <t>Branch</t>
  </si>
  <si>
    <t>CADRE</t>
  </si>
  <si>
    <t>Department</t>
  </si>
  <si>
    <t>Designation</t>
  </si>
  <si>
    <t>Grade</t>
  </si>
  <si>
    <t>Date of Joining</t>
  </si>
  <si>
    <t>ANSE GEORGE</t>
  </si>
  <si>
    <t>Attendance Joy</t>
  </si>
  <si>
    <t>PLANT-I &amp; H-DIV</t>
  </si>
  <si>
    <t>LABOUR</t>
  </si>
  <si>
    <t>WELDSHOP</t>
  </si>
  <si>
    <t>TECHNICIAN TRAINEE</t>
  </si>
  <si>
    <t>Back-Office</t>
  </si>
  <si>
    <t>07/07/2025</t>
  </si>
  <si>
    <t>NISHIKANT MAHTO</t>
  </si>
  <si>
    <t>RESEARCH&amp;DEVELOPMENT-NPD</t>
  </si>
  <si>
    <t>11/11/2025</t>
  </si>
  <si>
    <t>SANJAY REANG</t>
  </si>
  <si>
    <t>HOUSE KEEPING</t>
  </si>
  <si>
    <t>HELPER</t>
  </si>
  <si>
    <t>07/05/2026</t>
  </si>
  <si>
    <t>NORENDRA REANG</t>
  </si>
  <si>
    <t>KARTIK KUMAR REANG</t>
  </si>
  <si>
    <t>Trainee Technician</t>
  </si>
  <si>
    <t>18/06/2026</t>
  </si>
  <si>
    <t>BIBIKA REANG</t>
  </si>
  <si>
    <t>Grand Total</t>
  </si>
  <si>
    <t/>
  </si>
  <si>
    <t>Career Tree PLANT-II</t>
  </si>
  <si>
    <t>Vendor code</t>
  </si>
  <si>
    <t>Canteen</t>
  </si>
  <si>
    <t>Shoe</t>
  </si>
  <si>
    <t>Tiffin</t>
  </si>
  <si>
    <t>Uniform</t>
  </si>
  <si>
    <t>Marriage</t>
  </si>
  <si>
    <t>Other Deduction</t>
  </si>
  <si>
    <t>Total Deduction</t>
  </si>
  <si>
    <t>Total Earnings</t>
  </si>
  <si>
    <t>OT amount</t>
  </si>
  <si>
    <t>Service charges</t>
  </si>
  <si>
    <t>Total amount</t>
  </si>
  <si>
    <t>TAXABLE AMOUNT</t>
  </si>
  <si>
    <t>CGST 9%</t>
  </si>
  <si>
    <t>SGST 9%</t>
  </si>
  <si>
    <t>GRAND TOTAL</t>
  </si>
  <si>
    <t>INVOICE</t>
  </si>
  <si>
    <t>BULL MACHINES PVT LTD Plant 1</t>
  </si>
  <si>
    <t>Type :</t>
  </si>
  <si>
    <t>Tax Invoice</t>
  </si>
  <si>
    <t xml:space="preserve">5, 1 A, Trichy Rd, </t>
  </si>
  <si>
    <t>Tax Inv No :</t>
  </si>
  <si>
    <t xml:space="preserve">Chinthamanipudur, </t>
  </si>
  <si>
    <t>INV Date :</t>
  </si>
  <si>
    <t>Coimbatore -641 103,</t>
  </si>
  <si>
    <t>GST No :</t>
  </si>
  <si>
    <t>33AAGCJ6200N1ZL</t>
  </si>
  <si>
    <t>Tamilnadu, India.</t>
  </si>
  <si>
    <t xml:space="preserve">PAN No : </t>
  </si>
  <si>
    <t>AAGCJ6200N</t>
  </si>
  <si>
    <t xml:space="preserve"> GST NO : 33AAACB8772D1ZV</t>
  </si>
  <si>
    <t>Tax Payable on Reverse Charges</t>
  </si>
  <si>
    <t>NO</t>
  </si>
  <si>
    <t>SI.NO</t>
  </si>
  <si>
    <t>Description</t>
  </si>
  <si>
    <t>Category of Service</t>
  </si>
  <si>
    <t>SAC Code</t>
  </si>
  <si>
    <t>Towards Labour Charges for the following works carried out at your premises on your behalf in period of 01-07-2026 to 31-07-2026</t>
  </si>
  <si>
    <t>Other Employment and Labour Supply Services</t>
  </si>
  <si>
    <t>Total earnings</t>
  </si>
  <si>
    <t>OT Earnings</t>
  </si>
  <si>
    <t>EPF 13%</t>
  </si>
  <si>
    <t>Service charge 8%</t>
  </si>
  <si>
    <t>GST</t>
  </si>
  <si>
    <t>Taxable Amount</t>
  </si>
  <si>
    <t>a) SGST 09%</t>
  </si>
  <si>
    <t>b) CGST 09%</t>
  </si>
  <si>
    <t>(Annexure Attached)</t>
  </si>
  <si>
    <t>RUPEES: TWO LAKH SEVENTY ONE THOUSAND AND FORTY ONE ONLY</t>
  </si>
  <si>
    <t>103/2026-27</t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</si>
</sst>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164" formatCode="###,##0.00"/>
    <numFmt numFmtId="165" formatCode="0.0"/>
    <numFmt numFmtId="166" formatCode="###,##0.0"/>
    <numFmt numFmtId="167" formatCode="_(* #,##0_);_(* \(#,##0\);_(* &quot;-&quot;??_);_(@_)"/>
  </numFmts>
  <fonts count="15">
    <font>
      <sz val="11"/>
      <color theme="1"/>
      <name val="Calibri"/>
      <family val="2"/>
      <scheme val="minor"/>
    </font>
    <font>
      <b/>
      <sz val="9"/>
      <color theme="1"/>
      <name val="VERDANA"/>
      <family val="2"/>
    </font>
    <font>
      <sz val="9"/>
      <color theme="1"/>
      <name val="VERDANA"/>
      <family val="2"/>
    </font>
    <font>
      <b/>
      <sz val="12"/>
      <color theme="1"/>
      <name val="Calibri"/>
      <family val="2"/>
      <scheme val="minor"/>
    </font>
    <font>
      <b/>
      <sz val="12"/>
      <color theme="1"/>
      <name val="VERDANA"/>
      <family val="2"/>
    </font>
    <font>
      <sz val="16"/>
      <color theme="1"/>
      <name val="VERDANA"/>
      <family val="2"/>
    </font>
    <font>
      <b/>
      <sz val="16"/>
      <color theme="1"/>
      <name val="VERDANA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Verdana"/>
      <family val="2"/>
    </font>
    <font>
      <b/>
      <sz val="16"/>
      <color theme="1"/>
      <name val="Calibri"/>
      <family val="2"/>
      <scheme val="minor"/>
    </font>
    <font>
      <b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8" fillId="0" borderId="0" applyNumberFormat="0" applyFill="0" applyBorder="0" applyAlignment="0" applyProtection="0"/>
    <xf numFmtId="43" fontId="8" fillId="0" borderId="0" applyFont="0" applyFill="0" applyBorder="0" applyAlignment="0" applyProtection="0">
      <alignment vertical="center"/>
    </xf>
  </cellStyleXfs>
  <cellXfs count="84">
    <xf numFmtId="0" fontId="0" fillId="0" borderId="0" xfId="0"/>
    <xf numFmtId="0" fontId="1" fillId="0" borderId="1" xfId="0" applyFont="1" applyBorder="1"/>
    <xf numFmtId="164" fontId="1" fillId="0" borderId="1" xfId="0" applyNumberFormat="1" applyFont="1" applyBorder="1"/>
    <xf numFmtId="164" fontId="1" fillId="2" borderId="1" xfId="0" applyNumberFormat="1" applyFont="1" applyFill="1" applyBorder="1"/>
    <xf numFmtId="0" fontId="1" fillId="0" borderId="0" xfId="0" applyFont="1"/>
    <xf numFmtId="0" fontId="2" fillId="0" borderId="1" xfId="0" applyFont="1" applyBorder="1"/>
    <xf numFmtId="17" fontId="2" fillId="0" borderId="1" xfId="0" applyNumberFormat="1" applyFont="1" applyBorder="1"/>
    <xf numFmtId="164" fontId="2" fillId="0" borderId="1" xfId="0" applyNumberFormat="1" applyFont="1" applyBorder="1"/>
    <xf numFmtId="164" fontId="2" fillId="2" borderId="1" xfId="0" applyNumberFormat="1" applyFont="1" applyFill="1" applyBorder="1"/>
    <xf numFmtId="0" fontId="2" fillId="0" borderId="1" xfId="0" quotePrefix="1" applyFont="1" applyBorder="1"/>
    <xf numFmtId="0" fontId="2" fillId="0" borderId="0" xfId="0" applyFont="1"/>
    <xf numFmtId="164" fontId="2" fillId="0" borderId="0" xfId="0" applyNumberFormat="1" applyFont="1"/>
    <xf numFmtId="0" fontId="4" fillId="2" borderId="1" xfId="0" applyFont="1" applyFill="1" applyBorder="1" applyAlignment="1">
      <alignment vertical="center"/>
    </xf>
    <xf numFmtId="1" fontId="4" fillId="2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/>
    <xf numFmtId="164" fontId="5" fillId="0" borderId="1" xfId="0" applyNumberFormat="1" applyFont="1" applyBorder="1"/>
    <xf numFmtId="0" fontId="5" fillId="0" borderId="2" xfId="0" applyFont="1" applyBorder="1"/>
    <xf numFmtId="0" fontId="6" fillId="4" borderId="3" xfId="0" applyFont="1" applyFill="1" applyBorder="1" applyAlignment="1">
      <alignment vertical="center"/>
    </xf>
    <xf numFmtId="164" fontId="6" fillId="4" borderId="4" xfId="0" applyNumberFormat="1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164" fontId="6" fillId="0" borderId="1" xfId="0" applyNumberFormat="1" applyFont="1" applyBorder="1" applyAlignment="1">
      <alignment vertical="center"/>
    </xf>
    <xf numFmtId="0" fontId="6" fillId="4" borderId="1" xfId="0" applyFont="1" applyFill="1" applyBorder="1" applyAlignment="1">
      <alignment vertical="center"/>
    </xf>
    <xf numFmtId="164" fontId="6" fillId="4" borderId="1" xfId="0" applyNumberFormat="1" applyFont="1" applyFill="1" applyBorder="1" applyAlignment="1">
      <alignment vertical="center"/>
    </xf>
    <xf numFmtId="0" fontId="6" fillId="0" borderId="0" xfId="0" applyFont="1"/>
    <xf numFmtId="164" fontId="6" fillId="0" borderId="0" xfId="0" applyNumberFormat="1" applyFont="1"/>
    <xf numFmtId="0" fontId="5" fillId="0" borderId="0" xfId="0" applyFont="1"/>
    <xf numFmtId="165" fontId="5" fillId="0" borderId="0" xfId="0" applyNumberFormat="1" applyFont="1"/>
    <xf numFmtId="166" fontId="6" fillId="0" borderId="0" xfId="0" applyNumberFormat="1" applyFont="1"/>
    <xf numFmtId="0" fontId="3" fillId="0" borderId="1" xfId="1" applyFont="1" applyFill="1" applyBorder="1" applyAlignment="1">
      <alignment horizontal="left" vertical="center"/>
    </xf>
    <xf numFmtId="0" fontId="3" fillId="0" borderId="11" xfId="1" applyFont="1" applyFill="1" applyBorder="1" applyAlignment="1">
      <alignment horizontal="center" vertical="center"/>
    </xf>
    <xf numFmtId="49" fontId="3" fillId="0" borderId="11" xfId="1" applyNumberFormat="1" applyFont="1" applyFill="1" applyBorder="1" applyAlignment="1">
      <alignment horizontal="center" vertical="center"/>
    </xf>
    <xf numFmtId="15" fontId="3" fillId="0" borderId="11" xfId="1" applyNumberFormat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left" vertical="center" wrapText="1"/>
    </xf>
    <xf numFmtId="0" fontId="7" fillId="0" borderId="17" xfId="1" applyFont="1" applyFill="1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/>
    </xf>
    <xf numFmtId="0" fontId="7" fillId="0" borderId="11" xfId="1" applyFont="1" applyFill="1" applyBorder="1" applyAlignment="1">
      <alignment horizontal="center" vertical="center"/>
    </xf>
    <xf numFmtId="0" fontId="8" fillId="0" borderId="17" xfId="1" applyFill="1" applyBorder="1" applyAlignment="1"/>
    <xf numFmtId="0" fontId="11" fillId="0" borderId="1" xfId="1" applyFont="1" applyFill="1" applyBorder="1" applyAlignment="1">
      <alignment horizontal="center" vertical="center" wrapText="1"/>
    </xf>
    <xf numFmtId="0" fontId="7" fillId="0" borderId="19" xfId="1" applyFont="1" applyFill="1" applyBorder="1" applyAlignment="1">
      <alignment horizontal="center" vertical="center"/>
    </xf>
    <xf numFmtId="2" fontId="12" fillId="0" borderId="20" xfId="1" applyNumberFormat="1" applyFont="1" applyFill="1" applyBorder="1" applyAlignment="1">
      <alignment horizontal="left" vertical="center"/>
    </xf>
    <xf numFmtId="2" fontId="12" fillId="0" borderId="9" xfId="1" applyNumberFormat="1" applyFont="1" applyFill="1" applyBorder="1" applyAlignment="1">
      <alignment horizontal="left" vertical="center" wrapText="1"/>
    </xf>
    <xf numFmtId="2" fontId="12" fillId="0" borderId="10" xfId="1" applyNumberFormat="1" applyFont="1" applyFill="1" applyBorder="1" applyAlignment="1">
      <alignment horizontal="left" vertical="center" wrapText="1"/>
    </xf>
    <xf numFmtId="1" fontId="3" fillId="0" borderId="21" xfId="2" applyNumberFormat="1" applyFont="1" applyFill="1" applyBorder="1" applyAlignment="1">
      <alignment horizontal="center" vertical="center"/>
    </xf>
    <xf numFmtId="0" fontId="7" fillId="0" borderId="22" xfId="1" applyFont="1" applyFill="1" applyBorder="1" applyAlignment="1">
      <alignment horizontal="center" vertical="center"/>
    </xf>
    <xf numFmtId="2" fontId="12" fillId="0" borderId="18" xfId="1" applyNumberFormat="1" applyFont="1" applyFill="1" applyBorder="1" applyAlignment="1">
      <alignment horizontal="left" vertical="center" wrapText="1"/>
    </xf>
    <xf numFmtId="2" fontId="12" fillId="0" borderId="15" xfId="1" applyNumberFormat="1" applyFont="1" applyFill="1" applyBorder="1" applyAlignment="1">
      <alignment horizontal="left" vertical="center" wrapText="1"/>
    </xf>
    <xf numFmtId="2" fontId="12" fillId="0" borderId="16" xfId="1" applyNumberFormat="1" applyFont="1" applyFill="1" applyBorder="1" applyAlignment="1">
      <alignment horizontal="left" vertical="center" wrapText="1"/>
    </xf>
    <xf numFmtId="1" fontId="3" fillId="0" borderId="23" xfId="2" applyNumberFormat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1" fontId="3" fillId="0" borderId="11" xfId="1" applyNumberFormat="1" applyFont="1" applyFill="1" applyBorder="1" applyAlignment="1">
      <alignment horizontal="center" vertical="center"/>
    </xf>
    <xf numFmtId="0" fontId="11" fillId="0" borderId="1" xfId="1" applyFont="1" applyFill="1" applyBorder="1" applyAlignment="1">
      <alignment vertical="center"/>
    </xf>
    <xf numFmtId="10" fontId="11" fillId="0" borderId="1" xfId="1" applyNumberFormat="1" applyFont="1" applyFill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8" fillId="0" borderId="11" xfId="1" applyFill="1" applyBorder="1" applyAlignment="1"/>
    <xf numFmtId="1" fontId="13" fillId="0" borderId="11" xfId="1" applyNumberFormat="1" applyFont="1" applyFill="1" applyBorder="1" applyAlignment="1">
      <alignment horizontal="center" vertical="center"/>
    </xf>
    <xf numFmtId="0" fontId="8" fillId="0" borderId="27" xfId="1" applyFill="1" applyBorder="1" applyAlignment="1"/>
    <xf numFmtId="0" fontId="1" fillId="0" borderId="1" xfId="0" quotePrefix="1" applyFont="1" applyBorder="1"/>
    <xf numFmtId="0" fontId="10" fillId="0" borderId="1" xfId="1" applyFont="1" applyFill="1" applyBorder="1" applyAlignment="1">
      <alignment horizontal="left" vertical="center"/>
    </xf>
    <xf numFmtId="0" fontId="8" fillId="0" borderId="1" xfId="1" applyFont="1" applyFill="1" applyBorder="1" applyAlignment="1">
      <alignment horizontal="left" vertical="center"/>
    </xf>
    <xf numFmtId="0" fontId="3" fillId="0" borderId="28" xfId="1" applyFont="1" applyFill="1" applyBorder="1" applyAlignment="1">
      <alignment horizontal="left" vertical="center" wrapText="1"/>
    </xf>
    <xf numFmtId="0" fontId="3" fillId="0" borderId="29" xfId="1" applyFont="1" applyFill="1" applyBorder="1" applyAlignment="1">
      <alignment horizontal="left" vertical="center" wrapText="1"/>
    </xf>
    <xf numFmtId="0" fontId="3" fillId="0" borderId="30" xfId="1" applyFont="1" applyFill="1" applyBorder="1" applyAlignment="1">
      <alignment horizontal="left" vertical="center" wrapText="1"/>
    </xf>
    <xf numFmtId="0" fontId="10" fillId="0" borderId="14" xfId="1" applyFont="1" applyFill="1" applyBorder="1" applyAlignment="1">
      <alignment horizontal="left" vertical="center" wrapText="1"/>
    </xf>
    <xf numFmtId="0" fontId="10" fillId="0" borderId="15" xfId="1" applyFont="1" applyFill="1" applyBorder="1" applyAlignment="1">
      <alignment horizontal="left" vertical="center" wrapText="1"/>
    </xf>
    <xf numFmtId="0" fontId="10" fillId="0" borderId="16" xfId="1" applyFont="1" applyFill="1" applyBorder="1" applyAlignment="1">
      <alignment horizontal="left" vertical="center" wrapText="1"/>
    </xf>
    <xf numFmtId="0" fontId="7" fillId="0" borderId="1" xfId="1" applyFont="1" applyFill="1" applyBorder="1" applyAlignment="1">
      <alignment horizontal="center" vertical="center"/>
    </xf>
    <xf numFmtId="0" fontId="11" fillId="0" borderId="18" xfId="1" applyFont="1" applyFill="1" applyBorder="1" applyAlignment="1">
      <alignment horizontal="left" vertical="center" wrapText="1"/>
    </xf>
    <xf numFmtId="0" fontId="11" fillId="0" borderId="16" xfId="1" applyFont="1" applyFill="1" applyBorder="1" applyAlignment="1">
      <alignment horizontal="left" vertical="center" wrapText="1"/>
    </xf>
    <xf numFmtId="0" fontId="7" fillId="0" borderId="24" xfId="1" applyFont="1" applyFill="1" applyBorder="1" applyAlignment="1">
      <alignment horizontal="center" vertical="center"/>
    </xf>
    <xf numFmtId="0" fontId="7" fillId="0" borderId="17" xfId="1" applyFont="1" applyFill="1" applyBorder="1" applyAlignment="1">
      <alignment horizontal="center" vertical="center"/>
    </xf>
    <xf numFmtId="0" fontId="3" fillId="0" borderId="25" xfId="1" applyFont="1" applyFill="1" applyBorder="1" applyAlignment="1">
      <alignment horizontal="left" vertical="center"/>
    </xf>
    <xf numFmtId="0" fontId="3" fillId="0" borderId="26" xfId="1" applyFont="1" applyFill="1" applyBorder="1" applyAlignment="1">
      <alignment horizontal="left" vertical="center"/>
    </xf>
    <xf numFmtId="0" fontId="11" fillId="0" borderId="1" xfId="1" applyFont="1" applyFill="1" applyBorder="1" applyAlignment="1">
      <alignment horizontal="center"/>
    </xf>
    <xf numFmtId="0" fontId="9" fillId="0" borderId="5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7" xfId="1" applyFont="1" applyFill="1" applyBorder="1" applyAlignment="1">
      <alignment horizontal="center"/>
    </xf>
    <xf numFmtId="0" fontId="10" fillId="0" borderId="8" xfId="1" applyFont="1" applyFill="1" applyBorder="1" applyAlignment="1">
      <alignment horizontal="left" vertical="center" wrapText="1"/>
    </xf>
    <xf numFmtId="0" fontId="10" fillId="0" borderId="9" xfId="1" applyFont="1" applyFill="1" applyBorder="1" applyAlignment="1">
      <alignment horizontal="left" vertical="center" wrapText="1"/>
    </xf>
    <xf numFmtId="0" fontId="10" fillId="0" borderId="10" xfId="1" applyFont="1" applyFill="1" applyBorder="1" applyAlignment="1">
      <alignment horizontal="left" vertical="center" wrapText="1"/>
    </xf>
    <xf numFmtId="0" fontId="10" fillId="0" borderId="12" xfId="1" applyFont="1" applyFill="1" applyBorder="1" applyAlignment="1">
      <alignment horizontal="left" vertical="center" wrapText="1"/>
    </xf>
    <xf numFmtId="0" fontId="10" fillId="0" borderId="0" xfId="1" applyFont="1" applyFill="1" applyBorder="1" applyAlignment="1">
      <alignment horizontal="left" vertical="center" wrapText="1"/>
    </xf>
    <xf numFmtId="0" fontId="10" fillId="0" borderId="13" xfId="1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/>
    </xf>
    <xf numFmtId="0" fontId="14" fillId="0" borderId="11" xfId="1" applyFont="1" applyFill="1" applyBorder="1" applyAlignment="1">
      <alignment horizontal="center" vertical="center"/>
    </xf>
  </cellXfs>
  <cellStyles count="3">
    <cellStyle name="Comma 2" xfId="2"/>
    <cellStyle name="Normal" xfId="0" builtinId="0"/>
    <cellStyle name="Normal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F23"/>
  <sheetViews>
    <sheetView showGridLines="0" tabSelected="1" zoomScale="74" zoomScaleNormal="74" workbookViewId="0">
      <selection activeCell="G4" sqref="G4"/>
    </sheetView>
  </sheetViews>
  <sheetFormatPr defaultRowHeight="14.5"/>
  <cols>
    <col min="2" max="2" width="7" customWidth="1"/>
    <col min="3" max="3" width="16.1796875" customWidth="1"/>
    <col min="4" max="4" width="19.26953125" customWidth="1"/>
    <col min="5" max="5" width="19.1796875" customWidth="1"/>
    <col min="6" max="6" width="18.1796875" customWidth="1"/>
  </cols>
  <sheetData>
    <row r="1" spans="2:6" ht="15" thickBot="1"/>
    <row r="2" spans="2:6" ht="26">
      <c r="B2" s="73" t="s">
        <v>82</v>
      </c>
      <c r="C2" s="74"/>
      <c r="D2" s="74"/>
      <c r="E2" s="74"/>
      <c r="F2" s="75"/>
    </row>
    <row r="3" spans="2:6" ht="18.5">
      <c r="B3" s="76" t="s">
        <v>83</v>
      </c>
      <c r="C3" s="77"/>
      <c r="D3" s="78"/>
      <c r="E3" s="28" t="s">
        <v>84</v>
      </c>
      <c r="F3" s="29" t="s">
        <v>85</v>
      </c>
    </row>
    <row r="4" spans="2:6" ht="18.5">
      <c r="B4" s="79" t="s">
        <v>86</v>
      </c>
      <c r="C4" s="80"/>
      <c r="D4" s="81"/>
      <c r="E4" s="28" t="s">
        <v>87</v>
      </c>
      <c r="F4" s="30" t="s">
        <v>115</v>
      </c>
    </row>
    <row r="5" spans="2:6" ht="18.5">
      <c r="B5" s="79" t="s">
        <v>88</v>
      </c>
      <c r="C5" s="80"/>
      <c r="D5" s="81"/>
      <c r="E5" s="28" t="s">
        <v>89</v>
      </c>
      <c r="F5" s="31">
        <v>46240</v>
      </c>
    </row>
    <row r="6" spans="2:6" ht="18.5">
      <c r="B6" s="79" t="s">
        <v>90</v>
      </c>
      <c r="C6" s="80"/>
      <c r="D6" s="81"/>
      <c r="E6" s="28" t="s">
        <v>91</v>
      </c>
      <c r="F6" s="29" t="s">
        <v>92</v>
      </c>
    </row>
    <row r="7" spans="2:6" ht="18.5">
      <c r="B7" s="79" t="s">
        <v>93</v>
      </c>
      <c r="C7" s="80"/>
      <c r="D7" s="81"/>
      <c r="E7" s="28" t="s">
        <v>94</v>
      </c>
      <c r="F7" s="29" t="s">
        <v>95</v>
      </c>
    </row>
    <row r="8" spans="2:6" ht="38.15" customHeight="1">
      <c r="B8" s="62" t="s">
        <v>96</v>
      </c>
      <c r="C8" s="63"/>
      <c r="D8" s="64"/>
      <c r="E8" s="32" t="s">
        <v>97</v>
      </c>
      <c r="F8" s="29" t="s">
        <v>98</v>
      </c>
    </row>
    <row r="9" spans="2:6">
      <c r="B9" s="33" t="s">
        <v>99</v>
      </c>
      <c r="C9" s="65" t="s">
        <v>100</v>
      </c>
      <c r="D9" s="65"/>
      <c r="E9" s="34" t="s">
        <v>101</v>
      </c>
      <c r="F9" s="35" t="s">
        <v>102</v>
      </c>
    </row>
    <row r="10" spans="2:6" ht="66" customHeight="1">
      <c r="B10" s="36"/>
      <c r="C10" s="66" t="s">
        <v>103</v>
      </c>
      <c r="D10" s="67"/>
      <c r="E10" s="37" t="s">
        <v>104</v>
      </c>
      <c r="F10" s="83">
        <v>998519</v>
      </c>
    </row>
    <row r="11" spans="2:6" ht="15.5">
      <c r="B11" s="38">
        <v>1</v>
      </c>
      <c r="C11" s="39" t="s">
        <v>105</v>
      </c>
      <c r="D11" s="40"/>
      <c r="E11" s="41"/>
      <c r="F11" s="42">
        <f>'PLANT 1'!D22</f>
        <v>128725</v>
      </c>
    </row>
    <row r="12" spans="2:6" ht="15.5">
      <c r="B12" s="38">
        <v>2</v>
      </c>
      <c r="C12" s="39" t="s">
        <v>106</v>
      </c>
      <c r="D12" s="40"/>
      <c r="E12" s="41"/>
      <c r="F12" s="42">
        <f>'PLANT 1'!D23</f>
        <v>73160</v>
      </c>
    </row>
    <row r="13" spans="2:6" ht="15.5">
      <c r="B13" s="38">
        <v>2</v>
      </c>
      <c r="C13" s="39" t="s">
        <v>107</v>
      </c>
      <c r="D13" s="40"/>
      <c r="E13" s="41"/>
      <c r="F13" s="42">
        <f>'PLANT 1'!D24</f>
        <v>8729.5</v>
      </c>
    </row>
    <row r="14" spans="2:6" ht="15.5">
      <c r="B14" s="38">
        <v>3</v>
      </c>
      <c r="C14" s="39" t="s">
        <v>32</v>
      </c>
      <c r="D14" s="40"/>
      <c r="E14" s="41"/>
      <c r="F14" s="42">
        <f>'PLANT 1'!D25</f>
        <v>3091.5625</v>
      </c>
    </row>
    <row r="15" spans="2:6" ht="15.5">
      <c r="B15" s="38">
        <v>4</v>
      </c>
      <c r="C15" s="39" t="s">
        <v>108</v>
      </c>
      <c r="D15" s="40"/>
      <c r="E15" s="41"/>
      <c r="F15" s="42">
        <f>'PLANT 1'!D26</f>
        <v>15990</v>
      </c>
    </row>
    <row r="16" spans="2:6" ht="10" customHeight="1">
      <c r="B16" s="43"/>
      <c r="C16" s="44"/>
      <c r="D16" s="45"/>
      <c r="E16" s="46"/>
      <c r="F16" s="47"/>
    </row>
    <row r="17" spans="2:6" ht="15.5">
      <c r="B17" s="68">
        <v>5</v>
      </c>
      <c r="C17" s="70" t="s">
        <v>109</v>
      </c>
      <c r="D17" s="71"/>
      <c r="E17" s="48" t="s">
        <v>110</v>
      </c>
      <c r="F17" s="49">
        <f>SUM(F11:F15)</f>
        <v>229696.0625</v>
      </c>
    </row>
    <row r="18" spans="2:6" ht="15.5">
      <c r="B18" s="68"/>
      <c r="C18" s="50" t="s">
        <v>111</v>
      </c>
      <c r="D18" s="51">
        <v>0.09</v>
      </c>
      <c r="E18" s="52">
        <f>F17</f>
        <v>229696.0625</v>
      </c>
      <c r="F18" s="49">
        <f>E18*9%</f>
        <v>20672.645625000001</v>
      </c>
    </row>
    <row r="19" spans="2:6" ht="15.5">
      <c r="B19" s="69"/>
      <c r="C19" s="50" t="s">
        <v>112</v>
      </c>
      <c r="D19" s="51">
        <v>0.09</v>
      </c>
      <c r="E19" s="52">
        <f>F17</f>
        <v>229696.0625</v>
      </c>
      <c r="F19" s="49">
        <f>E19*9%</f>
        <v>20672.645625000001</v>
      </c>
    </row>
    <row r="20" spans="2:6" ht="9.75" customHeight="1">
      <c r="B20" s="36"/>
      <c r="C20" s="72"/>
      <c r="D20" s="72"/>
      <c r="E20" s="72"/>
      <c r="F20" s="53"/>
    </row>
    <row r="21" spans="2:6" ht="21">
      <c r="B21" s="36"/>
      <c r="C21" s="57" t="s">
        <v>63</v>
      </c>
      <c r="D21" s="57"/>
      <c r="E21" s="57"/>
      <c r="F21" s="54">
        <f>SUM(F17:F19)</f>
        <v>271041.35375000001</v>
      </c>
    </row>
    <row r="22" spans="2:6">
      <c r="B22" s="36"/>
      <c r="C22" s="58" t="s">
        <v>113</v>
      </c>
      <c r="D22" s="58"/>
      <c r="E22" s="58"/>
      <c r="F22" s="53"/>
    </row>
    <row r="23" spans="2:6" ht="30.65" customHeight="1" thickBot="1">
      <c r="B23" s="55"/>
      <c r="C23" s="59" t="s">
        <v>114</v>
      </c>
      <c r="D23" s="60"/>
      <c r="E23" s="60"/>
      <c r="F23" s="61"/>
    </row>
  </sheetData>
  <mergeCells count="15">
    <mergeCell ref="B7:D7"/>
    <mergeCell ref="B2:F2"/>
    <mergeCell ref="B3:D3"/>
    <mergeCell ref="B4:D4"/>
    <mergeCell ref="B5:D5"/>
    <mergeCell ref="B6:D6"/>
    <mergeCell ref="C21:E21"/>
    <mergeCell ref="C22:E22"/>
    <mergeCell ref="C23:F23"/>
    <mergeCell ref="B8:D8"/>
    <mergeCell ref="C9:D9"/>
    <mergeCell ref="C10:D10"/>
    <mergeCell ref="B17:B19"/>
    <mergeCell ref="C17:D17"/>
    <mergeCell ref="C20:E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12">
    <tabColor rgb="FF00B050"/>
    <pageSetUpPr fitToPage="1"/>
  </sheetPr>
  <dimension ref="A1:AQ33"/>
  <sheetViews>
    <sheetView zoomScaleSheetLayoutView="130" workbookViewId="0">
      <pane ySplit="1" topLeftCell="A2" activePane="bottomLeft" state="frozen"/>
      <selection activeCell="A3" sqref="A3:A10"/>
      <selection pane="bottomLeft" activeCell="C7" sqref="C7"/>
    </sheetView>
  </sheetViews>
  <sheetFormatPr defaultColWidth="9.08984375" defaultRowHeight="11.5"/>
  <cols>
    <col min="1" max="1" width="6.36328125" style="10" bestFit="1" customWidth="1"/>
    <col min="2" max="2" width="9" style="10" bestFit="1" customWidth="1"/>
    <col min="3" max="3" width="31.81640625" style="10" bestFit="1" customWidth="1"/>
    <col min="4" max="4" width="21.6328125" style="10" bestFit="1" customWidth="1"/>
    <col min="5" max="5" width="10" style="11" bestFit="1" customWidth="1"/>
    <col min="6" max="6" width="13.81640625" style="11" bestFit="1" customWidth="1"/>
    <col min="7" max="7" width="12.81640625" style="11" bestFit="1" customWidth="1"/>
    <col min="8" max="9" width="10.54296875" style="11" bestFit="1" customWidth="1"/>
    <col min="10" max="10" width="9.36328125" style="11" bestFit="1" customWidth="1"/>
    <col min="11" max="11" width="11.26953125" style="11" bestFit="1" customWidth="1"/>
    <col min="12" max="12" width="14" style="11" bestFit="1" customWidth="1"/>
    <col min="13" max="13" width="11" style="11" bestFit="1" customWidth="1"/>
    <col min="14" max="14" width="9.453125" style="11" bestFit="1" customWidth="1"/>
    <col min="15" max="15" width="12.54296875" style="11" bestFit="1" customWidth="1"/>
    <col min="16" max="16" width="11.36328125" style="11" bestFit="1" customWidth="1"/>
    <col min="17" max="17" width="9.6328125" style="11" bestFit="1" customWidth="1"/>
    <col min="18" max="18" width="10.1796875" style="11" bestFit="1" customWidth="1"/>
    <col min="19" max="20" width="9.90625" style="11" bestFit="1" customWidth="1"/>
    <col min="21" max="21" width="10" style="11" bestFit="1" customWidth="1"/>
    <col min="22" max="22" width="10.453125" style="11" bestFit="1" customWidth="1"/>
    <col min="23" max="23" width="6.54296875" style="11" bestFit="1" customWidth="1"/>
    <col min="24" max="24" width="12.08984375" style="11" bestFit="1" customWidth="1"/>
    <col min="25" max="25" width="13.1796875" style="11" bestFit="1" customWidth="1"/>
    <col min="26" max="26" width="11.7265625" style="11" bestFit="1" customWidth="1"/>
    <col min="27" max="27" width="9.36328125" style="11" bestFit="1" customWidth="1"/>
    <col min="28" max="28" width="7.54296875" style="11" bestFit="1" customWidth="1"/>
    <col min="29" max="29" width="13.81640625" style="11" bestFit="1" customWidth="1"/>
    <col min="30" max="30" width="16.08984375" style="11" bestFit="1" customWidth="1"/>
    <col min="31" max="31" width="12.453125" style="11" bestFit="1" customWidth="1"/>
    <col min="32" max="32" width="13.90625" style="11" bestFit="1" customWidth="1"/>
    <col min="33" max="33" width="11" style="11" bestFit="1" customWidth="1"/>
    <col min="34" max="34" width="9.36328125" style="11" bestFit="1" customWidth="1"/>
    <col min="35" max="35" width="18.453125" style="11" bestFit="1" customWidth="1"/>
    <col min="36" max="36" width="8.6328125" style="10" bestFit="1" customWidth="1"/>
    <col min="37" max="37" width="13.36328125" style="10" bestFit="1" customWidth="1"/>
    <col min="38" max="38" width="14.90625" style="10" bestFit="1" customWidth="1"/>
    <col min="39" max="39" width="7.54296875" style="10" bestFit="1" customWidth="1"/>
    <col min="40" max="40" width="27.6328125" style="10" bestFit="1" customWidth="1"/>
    <col min="41" max="41" width="19.26953125" style="10" bestFit="1" customWidth="1"/>
    <col min="42" max="42" width="10.08984375" style="10" bestFit="1" customWidth="1"/>
    <col min="43" max="43" width="14.90625" style="10" bestFit="1" customWidth="1"/>
    <col min="44" max="192" width="0" style="10" hidden="1" customWidth="1"/>
    <col min="193" max="16384" width="9.08984375" style="10"/>
  </cols>
  <sheetData>
    <row r="1" spans="1:43" s="4" customForma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3" t="s">
        <v>32</v>
      </c>
      <c r="AH1" s="3" t="s">
        <v>33</v>
      </c>
      <c r="AI1" s="3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s="5">
        <v>1</v>
      </c>
      <c r="B2" s="5">
        <v>57741</v>
      </c>
      <c r="C2" s="5" t="s">
        <v>43</v>
      </c>
      <c r="D2" s="6">
        <v>46204</v>
      </c>
      <c r="E2" s="7">
        <v>24</v>
      </c>
      <c r="F2" s="7">
        <v>24</v>
      </c>
      <c r="G2" s="7">
        <v>27</v>
      </c>
      <c r="H2" s="7">
        <v>18816</v>
      </c>
      <c r="I2" s="7">
        <v>3360</v>
      </c>
      <c r="J2" s="7">
        <v>1344</v>
      </c>
      <c r="K2" s="7">
        <v>5040</v>
      </c>
      <c r="L2" s="7">
        <v>2016</v>
      </c>
      <c r="M2" s="7">
        <v>3024</v>
      </c>
      <c r="N2" s="7">
        <v>1400</v>
      </c>
      <c r="O2" s="7">
        <v>11380</v>
      </c>
      <c r="P2" s="7">
        <v>0</v>
      </c>
      <c r="Q2" s="7">
        <v>0</v>
      </c>
      <c r="R2" s="7">
        <v>0</v>
      </c>
      <c r="S2" s="7">
        <v>65</v>
      </c>
      <c r="T2" s="7">
        <v>175</v>
      </c>
      <c r="U2" s="7">
        <v>832.5</v>
      </c>
      <c r="V2" s="7">
        <v>0</v>
      </c>
      <c r="W2" s="7">
        <v>0</v>
      </c>
      <c r="X2" s="7">
        <v>0</v>
      </c>
      <c r="Y2" s="7">
        <v>1</v>
      </c>
      <c r="Z2" s="7">
        <v>8.33</v>
      </c>
      <c r="AA2" s="7">
        <v>1800</v>
      </c>
      <c r="AB2" s="7">
        <v>0</v>
      </c>
      <c r="AC2" s="7">
        <v>33600</v>
      </c>
      <c r="AD2" s="7">
        <v>2632.5</v>
      </c>
      <c r="AE2" s="7">
        <v>30970</v>
      </c>
      <c r="AF2" s="7">
        <v>1400</v>
      </c>
      <c r="AG2" s="8"/>
      <c r="AH2" s="8">
        <v>1950</v>
      </c>
      <c r="AI2" s="8">
        <f t="shared" ref="AI2" si="0">ROUND(((E2*AF2)+O2)*8%,0)</f>
        <v>3598</v>
      </c>
      <c r="AJ2" s="5"/>
      <c r="AK2" s="5" t="s">
        <v>44</v>
      </c>
      <c r="AL2" s="5" t="s">
        <v>45</v>
      </c>
      <c r="AM2" s="5" t="s">
        <v>46</v>
      </c>
      <c r="AN2" s="5" t="s">
        <v>47</v>
      </c>
      <c r="AO2" s="5" t="s">
        <v>48</v>
      </c>
      <c r="AP2" s="5" t="s">
        <v>49</v>
      </c>
      <c r="AQ2" s="9" t="s">
        <v>50</v>
      </c>
    </row>
    <row r="3" spans="1:43">
      <c r="A3" s="5">
        <f>A2+1</f>
        <v>2</v>
      </c>
      <c r="B3" s="5">
        <v>58790</v>
      </c>
      <c r="C3" s="5" t="s">
        <v>51</v>
      </c>
      <c r="D3" s="6">
        <v>46204</v>
      </c>
      <c r="E3" s="7">
        <v>27</v>
      </c>
      <c r="F3" s="7">
        <v>27</v>
      </c>
      <c r="G3" s="7">
        <v>27</v>
      </c>
      <c r="H3" s="7">
        <v>10206</v>
      </c>
      <c r="I3" s="7">
        <v>1822.5</v>
      </c>
      <c r="J3" s="7">
        <v>729</v>
      </c>
      <c r="K3" s="7">
        <v>2733.75</v>
      </c>
      <c r="L3" s="7">
        <v>1093.5</v>
      </c>
      <c r="M3" s="7">
        <v>1640.25</v>
      </c>
      <c r="N3" s="7">
        <v>675</v>
      </c>
      <c r="O3" s="7">
        <v>14090</v>
      </c>
      <c r="P3" s="7">
        <v>500</v>
      </c>
      <c r="Q3" s="7">
        <v>0</v>
      </c>
      <c r="R3" s="7">
        <v>0</v>
      </c>
      <c r="S3" s="7">
        <v>167</v>
      </c>
      <c r="T3" s="7">
        <v>84.38</v>
      </c>
      <c r="U3" s="7">
        <v>843</v>
      </c>
      <c r="V3" s="7">
        <v>0</v>
      </c>
      <c r="W3" s="7">
        <v>0</v>
      </c>
      <c r="X3" s="7">
        <v>0</v>
      </c>
      <c r="Y3" s="7">
        <v>1</v>
      </c>
      <c r="Z3" s="7">
        <v>8.33</v>
      </c>
      <c r="AA3" s="7">
        <v>1225</v>
      </c>
      <c r="AB3" s="7">
        <v>137</v>
      </c>
      <c r="AC3" s="7">
        <v>18725</v>
      </c>
      <c r="AD3" s="7">
        <v>2205</v>
      </c>
      <c r="AE3" s="7">
        <v>16520</v>
      </c>
      <c r="AF3" s="7">
        <v>675</v>
      </c>
      <c r="AG3" s="8">
        <f t="shared" ref="AG3:AG7" si="1">AC3*3.25%</f>
        <v>608.5625</v>
      </c>
      <c r="AH3" s="8">
        <f t="shared" ref="AH3:AH7" si="2">H3*13%</f>
        <v>1326.78</v>
      </c>
      <c r="AI3" s="8">
        <f>ROUND(((E3*AF3)+O3)*8%,0)</f>
        <v>2585</v>
      </c>
      <c r="AJ3" s="5"/>
      <c r="AK3" s="5" t="s">
        <v>44</v>
      </c>
      <c r="AL3" s="5" t="s">
        <v>45</v>
      </c>
      <c r="AM3" s="5" t="s">
        <v>46</v>
      </c>
      <c r="AN3" s="5" t="s">
        <v>52</v>
      </c>
      <c r="AO3" s="5" t="s">
        <v>48</v>
      </c>
      <c r="AP3" s="5" t="s">
        <v>49</v>
      </c>
      <c r="AQ3" s="9" t="s">
        <v>53</v>
      </c>
    </row>
    <row r="4" spans="1:43">
      <c r="A4" s="5">
        <f t="shared" ref="A4:A7" si="3">A3+1</f>
        <v>3</v>
      </c>
      <c r="B4" s="5">
        <v>5000252</v>
      </c>
      <c r="C4" s="5" t="s">
        <v>54</v>
      </c>
      <c r="D4" s="6">
        <v>46204</v>
      </c>
      <c r="E4" s="7">
        <v>27</v>
      </c>
      <c r="F4" s="7">
        <v>27</v>
      </c>
      <c r="G4" s="7">
        <v>27</v>
      </c>
      <c r="H4" s="7">
        <v>10584</v>
      </c>
      <c r="I4" s="7">
        <v>1890</v>
      </c>
      <c r="J4" s="7">
        <v>756</v>
      </c>
      <c r="K4" s="7">
        <v>2835</v>
      </c>
      <c r="L4" s="7">
        <v>1134</v>
      </c>
      <c r="M4" s="7">
        <v>1701</v>
      </c>
      <c r="N4" s="7">
        <v>700</v>
      </c>
      <c r="O4" s="7">
        <v>11990</v>
      </c>
      <c r="P4" s="7">
        <v>500</v>
      </c>
      <c r="Q4" s="7">
        <v>0</v>
      </c>
      <c r="R4" s="7">
        <v>0</v>
      </c>
      <c r="S4" s="7">
        <v>137</v>
      </c>
      <c r="T4" s="7">
        <v>87.5</v>
      </c>
      <c r="U4" s="7">
        <v>0</v>
      </c>
      <c r="V4" s="7">
        <v>0</v>
      </c>
      <c r="W4" s="7">
        <v>0</v>
      </c>
      <c r="X4" s="7">
        <v>0</v>
      </c>
      <c r="Y4" s="7">
        <v>1</v>
      </c>
      <c r="Z4" s="7">
        <v>8.33</v>
      </c>
      <c r="AA4" s="7">
        <v>1270</v>
      </c>
      <c r="AB4" s="7">
        <v>142</v>
      </c>
      <c r="AC4" s="7">
        <v>19400</v>
      </c>
      <c r="AD4" s="7">
        <v>1412</v>
      </c>
      <c r="AE4" s="7">
        <v>17990</v>
      </c>
      <c r="AF4" s="7">
        <v>700</v>
      </c>
      <c r="AG4" s="8">
        <f t="shared" si="1"/>
        <v>630.5</v>
      </c>
      <c r="AH4" s="8">
        <f t="shared" si="2"/>
        <v>1375.92</v>
      </c>
      <c r="AI4" s="8">
        <f t="shared" ref="AI4:AI7" si="4">ROUND(((E4*AF4)+O4)*8%,0)</f>
        <v>2471</v>
      </c>
      <c r="AJ4" s="5"/>
      <c r="AK4" s="5" t="s">
        <v>44</v>
      </c>
      <c r="AL4" s="5" t="s">
        <v>45</v>
      </c>
      <c r="AM4" s="5" t="s">
        <v>46</v>
      </c>
      <c r="AN4" s="5" t="s">
        <v>55</v>
      </c>
      <c r="AO4" s="5" t="s">
        <v>56</v>
      </c>
      <c r="AP4" s="5" t="s">
        <v>49</v>
      </c>
      <c r="AQ4" s="9" t="s">
        <v>57</v>
      </c>
    </row>
    <row r="5" spans="1:43">
      <c r="A5" s="5">
        <f t="shared" si="3"/>
        <v>4</v>
      </c>
      <c r="B5" s="5">
        <v>5000254</v>
      </c>
      <c r="C5" s="5" t="s">
        <v>58</v>
      </c>
      <c r="D5" s="6">
        <v>46204</v>
      </c>
      <c r="E5" s="7">
        <v>27</v>
      </c>
      <c r="F5" s="7">
        <v>27</v>
      </c>
      <c r="G5" s="7">
        <v>27</v>
      </c>
      <c r="H5" s="7">
        <v>10584</v>
      </c>
      <c r="I5" s="7">
        <v>1890</v>
      </c>
      <c r="J5" s="7">
        <v>756</v>
      </c>
      <c r="K5" s="7">
        <v>2835</v>
      </c>
      <c r="L5" s="7">
        <v>1134</v>
      </c>
      <c r="M5" s="7">
        <v>1701</v>
      </c>
      <c r="N5" s="7">
        <v>700</v>
      </c>
      <c r="O5" s="7">
        <v>11550</v>
      </c>
      <c r="P5" s="7">
        <v>500</v>
      </c>
      <c r="Q5" s="7">
        <v>0</v>
      </c>
      <c r="R5" s="7">
        <v>0</v>
      </c>
      <c r="S5" s="7">
        <v>132</v>
      </c>
      <c r="T5" s="7">
        <v>87.5</v>
      </c>
      <c r="U5" s="7">
        <v>18</v>
      </c>
      <c r="V5" s="7">
        <v>0</v>
      </c>
      <c r="W5" s="7">
        <v>0</v>
      </c>
      <c r="X5" s="7">
        <v>0</v>
      </c>
      <c r="Y5" s="7">
        <v>1</v>
      </c>
      <c r="Z5" s="7">
        <v>8.33</v>
      </c>
      <c r="AA5" s="7">
        <v>1270</v>
      </c>
      <c r="AB5" s="7">
        <v>142</v>
      </c>
      <c r="AC5" s="7">
        <v>19400</v>
      </c>
      <c r="AD5" s="7">
        <v>1430</v>
      </c>
      <c r="AE5" s="7">
        <v>17970</v>
      </c>
      <c r="AF5" s="7">
        <v>700</v>
      </c>
      <c r="AG5" s="8">
        <f t="shared" si="1"/>
        <v>630.5</v>
      </c>
      <c r="AH5" s="8">
        <f t="shared" si="2"/>
        <v>1375.92</v>
      </c>
      <c r="AI5" s="8">
        <f t="shared" si="4"/>
        <v>2436</v>
      </c>
      <c r="AJ5" s="5"/>
      <c r="AK5" s="5" t="s">
        <v>44</v>
      </c>
      <c r="AL5" s="5" t="s">
        <v>45</v>
      </c>
      <c r="AM5" s="5" t="s">
        <v>46</v>
      </c>
      <c r="AN5" s="5" t="s">
        <v>55</v>
      </c>
      <c r="AO5" s="5" t="s">
        <v>48</v>
      </c>
      <c r="AP5" s="5" t="s">
        <v>49</v>
      </c>
      <c r="AQ5" s="9" t="s">
        <v>57</v>
      </c>
    </row>
    <row r="6" spans="1:43">
      <c r="A6" s="5">
        <f t="shared" si="3"/>
        <v>5</v>
      </c>
      <c r="B6" s="5">
        <v>5001053</v>
      </c>
      <c r="C6" s="5" t="s">
        <v>59</v>
      </c>
      <c r="D6" s="6">
        <v>46204</v>
      </c>
      <c r="E6" s="7">
        <v>27</v>
      </c>
      <c r="F6" s="7">
        <v>27</v>
      </c>
      <c r="G6" s="7">
        <v>27</v>
      </c>
      <c r="H6" s="7">
        <v>10584</v>
      </c>
      <c r="I6" s="7">
        <v>1890</v>
      </c>
      <c r="J6" s="7">
        <v>756</v>
      </c>
      <c r="K6" s="7">
        <v>2835</v>
      </c>
      <c r="L6" s="7">
        <v>1134</v>
      </c>
      <c r="M6" s="7">
        <v>1701</v>
      </c>
      <c r="N6" s="7">
        <v>700</v>
      </c>
      <c r="O6" s="7">
        <v>12250</v>
      </c>
      <c r="P6" s="7">
        <v>500</v>
      </c>
      <c r="Q6" s="7">
        <v>0</v>
      </c>
      <c r="R6" s="7">
        <v>0</v>
      </c>
      <c r="S6" s="7">
        <v>140</v>
      </c>
      <c r="T6" s="7">
        <v>87.5</v>
      </c>
      <c r="U6" s="7">
        <v>0</v>
      </c>
      <c r="V6" s="7">
        <v>0</v>
      </c>
      <c r="W6" s="7">
        <v>0</v>
      </c>
      <c r="X6" s="7">
        <v>0</v>
      </c>
      <c r="Y6" s="7">
        <v>1</v>
      </c>
      <c r="Z6" s="7">
        <v>8.33</v>
      </c>
      <c r="AA6" s="7">
        <v>1270</v>
      </c>
      <c r="AB6" s="7">
        <v>142</v>
      </c>
      <c r="AC6" s="7">
        <v>19400</v>
      </c>
      <c r="AD6" s="7">
        <v>1412</v>
      </c>
      <c r="AE6" s="7">
        <v>17990</v>
      </c>
      <c r="AF6" s="7">
        <v>700</v>
      </c>
      <c r="AG6" s="8">
        <f t="shared" si="1"/>
        <v>630.5</v>
      </c>
      <c r="AH6" s="8">
        <f t="shared" si="2"/>
        <v>1375.92</v>
      </c>
      <c r="AI6" s="8">
        <f t="shared" si="4"/>
        <v>2492</v>
      </c>
      <c r="AJ6" s="5"/>
      <c r="AK6" s="5" t="s">
        <v>44</v>
      </c>
      <c r="AL6" s="5" t="s">
        <v>45</v>
      </c>
      <c r="AM6" s="5" t="s">
        <v>46</v>
      </c>
      <c r="AN6" s="5" t="s">
        <v>55</v>
      </c>
      <c r="AO6" s="5" t="s">
        <v>60</v>
      </c>
      <c r="AP6" s="5" t="s">
        <v>49</v>
      </c>
      <c r="AQ6" s="9" t="s">
        <v>61</v>
      </c>
    </row>
    <row r="7" spans="1:43">
      <c r="A7" s="5">
        <f t="shared" si="3"/>
        <v>6</v>
      </c>
      <c r="B7" s="5">
        <v>5001054</v>
      </c>
      <c r="C7" s="5" t="s">
        <v>62</v>
      </c>
      <c r="D7" s="6">
        <v>46204</v>
      </c>
      <c r="E7" s="7">
        <v>26</v>
      </c>
      <c r="F7" s="7">
        <v>26</v>
      </c>
      <c r="G7" s="7">
        <v>27</v>
      </c>
      <c r="H7" s="7">
        <v>10192</v>
      </c>
      <c r="I7" s="7">
        <v>1820</v>
      </c>
      <c r="J7" s="7">
        <v>728</v>
      </c>
      <c r="K7" s="7">
        <v>2730</v>
      </c>
      <c r="L7" s="7">
        <v>1092</v>
      </c>
      <c r="M7" s="7">
        <v>1638</v>
      </c>
      <c r="N7" s="7">
        <v>700</v>
      </c>
      <c r="O7" s="7">
        <v>11900</v>
      </c>
      <c r="P7" s="7">
        <v>0</v>
      </c>
      <c r="Q7" s="7">
        <v>0</v>
      </c>
      <c r="R7" s="7">
        <v>0</v>
      </c>
      <c r="S7" s="7">
        <v>136</v>
      </c>
      <c r="T7" s="7">
        <v>87.5</v>
      </c>
      <c r="U7" s="7">
        <v>0</v>
      </c>
      <c r="V7" s="7">
        <v>0</v>
      </c>
      <c r="W7" s="7">
        <v>0</v>
      </c>
      <c r="X7" s="7">
        <v>0</v>
      </c>
      <c r="Y7" s="7">
        <v>1</v>
      </c>
      <c r="Z7" s="7">
        <v>8.33</v>
      </c>
      <c r="AA7" s="7">
        <v>1223</v>
      </c>
      <c r="AB7" s="7">
        <v>137</v>
      </c>
      <c r="AC7" s="7">
        <v>18200</v>
      </c>
      <c r="AD7" s="7">
        <v>1360</v>
      </c>
      <c r="AE7" s="7">
        <v>16840</v>
      </c>
      <c r="AF7" s="7">
        <v>700</v>
      </c>
      <c r="AG7" s="8">
        <f t="shared" si="1"/>
        <v>591.5</v>
      </c>
      <c r="AH7" s="8">
        <f t="shared" si="2"/>
        <v>1324.96</v>
      </c>
      <c r="AI7" s="8">
        <f t="shared" si="4"/>
        <v>2408</v>
      </c>
      <c r="AJ7" s="5"/>
      <c r="AK7" s="5" t="s">
        <v>44</v>
      </c>
      <c r="AL7" s="5" t="s">
        <v>45</v>
      </c>
      <c r="AM7" s="5" t="s">
        <v>46</v>
      </c>
      <c r="AN7" s="5" t="s">
        <v>55</v>
      </c>
      <c r="AO7" s="5" t="s">
        <v>60</v>
      </c>
      <c r="AP7" s="5" t="s">
        <v>49</v>
      </c>
      <c r="AQ7" s="9" t="s">
        <v>61</v>
      </c>
    </row>
    <row r="8" spans="1:43" s="4" customFormat="1">
      <c r="A8" s="1"/>
      <c r="B8" s="1"/>
      <c r="C8" s="1"/>
      <c r="D8" s="1" t="s">
        <v>63</v>
      </c>
      <c r="E8" s="2">
        <f t="shared" ref="E8:AI8" si="5">SUM(E2:E7)</f>
        <v>158</v>
      </c>
      <c r="F8" s="2">
        <f t="shared" si="5"/>
        <v>158</v>
      </c>
      <c r="G8" s="2">
        <f t="shared" si="5"/>
        <v>162</v>
      </c>
      <c r="H8" s="2">
        <f t="shared" si="5"/>
        <v>70966</v>
      </c>
      <c r="I8" s="2">
        <f t="shared" si="5"/>
        <v>12672.5</v>
      </c>
      <c r="J8" s="2">
        <f t="shared" si="5"/>
        <v>5069</v>
      </c>
      <c r="K8" s="2">
        <f t="shared" si="5"/>
        <v>19008.75</v>
      </c>
      <c r="L8" s="2">
        <f t="shared" si="5"/>
        <v>7603.5</v>
      </c>
      <c r="M8" s="2">
        <f t="shared" si="5"/>
        <v>11405.25</v>
      </c>
      <c r="N8" s="2">
        <f t="shared" si="5"/>
        <v>4875</v>
      </c>
      <c r="O8" s="2">
        <f t="shared" si="5"/>
        <v>73160</v>
      </c>
      <c r="P8" s="2">
        <f t="shared" si="5"/>
        <v>2000</v>
      </c>
      <c r="Q8" s="2">
        <f t="shared" si="5"/>
        <v>0</v>
      </c>
      <c r="R8" s="2">
        <f t="shared" si="5"/>
        <v>0</v>
      </c>
      <c r="S8" s="2">
        <f t="shared" si="5"/>
        <v>777</v>
      </c>
      <c r="T8" s="2">
        <f t="shared" si="5"/>
        <v>609.38</v>
      </c>
      <c r="U8" s="2">
        <f t="shared" si="5"/>
        <v>1693.5</v>
      </c>
      <c r="V8" s="2">
        <f t="shared" si="5"/>
        <v>0</v>
      </c>
      <c r="W8" s="2">
        <f t="shared" si="5"/>
        <v>0</v>
      </c>
      <c r="X8" s="2">
        <f t="shared" si="5"/>
        <v>0</v>
      </c>
      <c r="Y8" s="2">
        <f t="shared" si="5"/>
        <v>6</v>
      </c>
      <c r="Z8" s="2">
        <f t="shared" si="5"/>
        <v>49.98</v>
      </c>
      <c r="AA8" s="2">
        <f t="shared" si="5"/>
        <v>8058</v>
      </c>
      <c r="AB8" s="2">
        <f t="shared" si="5"/>
        <v>700</v>
      </c>
      <c r="AC8" s="2">
        <f t="shared" si="5"/>
        <v>128725</v>
      </c>
      <c r="AD8" s="2">
        <f t="shared" si="5"/>
        <v>10451.5</v>
      </c>
      <c r="AE8" s="2">
        <f t="shared" si="5"/>
        <v>118280</v>
      </c>
      <c r="AF8" s="2">
        <f t="shared" si="5"/>
        <v>4875</v>
      </c>
      <c r="AG8" s="2">
        <f t="shared" si="5"/>
        <v>3091.5625</v>
      </c>
      <c r="AH8" s="2">
        <f t="shared" si="5"/>
        <v>8729.5</v>
      </c>
      <c r="AI8" s="2">
        <f t="shared" si="5"/>
        <v>15990</v>
      </c>
      <c r="AJ8" s="1"/>
      <c r="AK8" s="1"/>
      <c r="AL8" s="1"/>
      <c r="AM8" s="1"/>
      <c r="AN8" s="1"/>
      <c r="AO8" s="1"/>
      <c r="AP8" s="1"/>
      <c r="AQ8" s="56" t="s">
        <v>64</v>
      </c>
    </row>
    <row r="13" spans="1:43" s="11" customFormat="1" ht="15.5">
      <c r="A13" s="10"/>
      <c r="B13" s="10"/>
      <c r="C13" s="82" t="s">
        <v>65</v>
      </c>
      <c r="D13" s="82"/>
      <c r="AJ13" s="10"/>
      <c r="AK13" s="10"/>
      <c r="AL13" s="10"/>
      <c r="AM13" s="10"/>
      <c r="AN13" s="10"/>
      <c r="AO13" s="10"/>
      <c r="AP13" s="10"/>
      <c r="AQ13" s="10"/>
    </row>
    <row r="14" spans="1:43" s="11" customFormat="1" ht="15">
      <c r="A14" s="10"/>
      <c r="B14" s="10"/>
      <c r="C14" s="12" t="s">
        <v>66</v>
      </c>
      <c r="D14" s="13">
        <v>700323</v>
      </c>
      <c r="AJ14" s="10"/>
      <c r="AK14" s="10"/>
      <c r="AL14" s="10"/>
      <c r="AM14" s="10"/>
      <c r="AN14" s="10"/>
      <c r="AO14" s="10"/>
      <c r="AP14" s="10"/>
      <c r="AQ14" s="10"/>
    </row>
    <row r="15" spans="1:43" s="11" customFormat="1" ht="19.5">
      <c r="A15" s="10"/>
      <c r="B15" s="10"/>
      <c r="C15" s="14" t="s">
        <v>67</v>
      </c>
      <c r="D15" s="15">
        <f>U8</f>
        <v>1693.5</v>
      </c>
      <c r="AJ15" s="10"/>
      <c r="AK15" s="10"/>
      <c r="AL15" s="10"/>
      <c r="AM15" s="10"/>
      <c r="AN15" s="10"/>
      <c r="AO15" s="10"/>
      <c r="AP15" s="10"/>
      <c r="AQ15" s="10"/>
    </row>
    <row r="16" spans="1:43" s="11" customFormat="1" ht="19.5">
      <c r="A16" s="10"/>
      <c r="B16" s="10"/>
      <c r="C16" s="14" t="s">
        <v>68</v>
      </c>
      <c r="D16" s="15">
        <f>W8</f>
        <v>0</v>
      </c>
      <c r="AJ16" s="10"/>
      <c r="AK16" s="10"/>
      <c r="AL16" s="10"/>
      <c r="AM16" s="10"/>
      <c r="AN16" s="10"/>
      <c r="AO16" s="10"/>
      <c r="AP16" s="10"/>
      <c r="AQ16" s="10"/>
    </row>
    <row r="17" spans="1:43" s="11" customFormat="1" ht="19.5">
      <c r="A17" s="10"/>
      <c r="B17" s="10"/>
      <c r="C17" s="14" t="s">
        <v>69</v>
      </c>
      <c r="D17" s="15">
        <v>0</v>
      </c>
      <c r="AJ17" s="10"/>
      <c r="AK17" s="10"/>
      <c r="AL17" s="10"/>
      <c r="AM17" s="10"/>
      <c r="AN17" s="10"/>
      <c r="AO17" s="10"/>
      <c r="AP17" s="10"/>
      <c r="AQ17" s="10"/>
    </row>
    <row r="18" spans="1:43" s="11" customFormat="1" ht="19.5">
      <c r="A18" s="10"/>
      <c r="B18" s="10"/>
      <c r="C18" s="14" t="s">
        <v>70</v>
      </c>
      <c r="D18" s="15">
        <f>V8</f>
        <v>0</v>
      </c>
      <c r="AJ18" s="10"/>
      <c r="AK18" s="10"/>
      <c r="AL18" s="10"/>
      <c r="AM18" s="10"/>
      <c r="AN18" s="10"/>
      <c r="AO18" s="10"/>
      <c r="AP18" s="10"/>
      <c r="AQ18" s="10"/>
    </row>
    <row r="19" spans="1:43" s="11" customFormat="1" ht="19.5">
      <c r="A19" s="10"/>
      <c r="B19" s="10"/>
      <c r="C19" s="14" t="s">
        <v>71</v>
      </c>
      <c r="D19" s="15">
        <v>0</v>
      </c>
      <c r="AJ19" s="10"/>
      <c r="AK19" s="10"/>
      <c r="AL19" s="10"/>
      <c r="AM19" s="10"/>
      <c r="AN19" s="10"/>
      <c r="AO19" s="10"/>
      <c r="AP19" s="10"/>
      <c r="AQ19" s="10"/>
    </row>
    <row r="20" spans="1:43" s="11" customFormat="1" ht="20" thickBot="1">
      <c r="A20" s="10"/>
      <c r="B20" s="10"/>
      <c r="C20" s="16" t="s">
        <v>72</v>
      </c>
      <c r="D20" s="15">
        <f>X8</f>
        <v>0</v>
      </c>
      <c r="AJ20" s="10"/>
      <c r="AK20" s="10"/>
      <c r="AL20" s="10"/>
      <c r="AM20" s="10"/>
      <c r="AN20" s="10"/>
      <c r="AO20" s="10"/>
      <c r="AP20" s="10"/>
      <c r="AQ20" s="10"/>
    </row>
    <row r="21" spans="1:43" s="11" customFormat="1" ht="20" thickBot="1">
      <c r="A21" s="10"/>
      <c r="B21" s="10"/>
      <c r="C21" s="17" t="s">
        <v>73</v>
      </c>
      <c r="D21" s="18">
        <f>SUM(D15:D20)</f>
        <v>1693.5</v>
      </c>
      <c r="AJ21" s="10"/>
      <c r="AK21" s="10"/>
      <c r="AL21" s="10"/>
      <c r="AM21" s="10"/>
      <c r="AN21" s="10"/>
      <c r="AO21" s="10"/>
      <c r="AP21" s="10"/>
      <c r="AQ21" s="10"/>
    </row>
    <row r="22" spans="1:43" s="11" customFormat="1" ht="19.5">
      <c r="A22" s="10"/>
      <c r="B22" s="10"/>
      <c r="C22" s="19" t="s">
        <v>74</v>
      </c>
      <c r="D22" s="20">
        <f>AC8</f>
        <v>128725</v>
      </c>
      <c r="AJ22" s="10"/>
      <c r="AK22" s="10"/>
      <c r="AL22" s="10"/>
      <c r="AM22" s="10"/>
      <c r="AN22" s="10"/>
      <c r="AO22" s="10"/>
      <c r="AP22" s="10"/>
      <c r="AQ22" s="10"/>
    </row>
    <row r="23" spans="1:43" s="11" customFormat="1" ht="19.5">
      <c r="A23" s="10"/>
      <c r="B23" s="10"/>
      <c r="C23" s="19" t="s">
        <v>75</v>
      </c>
      <c r="D23" s="20">
        <f>O8</f>
        <v>73160</v>
      </c>
      <c r="AJ23" s="10"/>
      <c r="AK23" s="10"/>
      <c r="AL23" s="10"/>
      <c r="AM23" s="10"/>
      <c r="AN23" s="10"/>
      <c r="AO23" s="10"/>
      <c r="AP23" s="10"/>
      <c r="AQ23" s="10"/>
    </row>
    <row r="24" spans="1:43" s="11" customFormat="1" ht="19.5">
      <c r="A24" s="10"/>
      <c r="B24" s="10"/>
      <c r="C24" s="19" t="s">
        <v>33</v>
      </c>
      <c r="D24" s="20">
        <f>AH8</f>
        <v>8729.5</v>
      </c>
      <c r="AJ24" s="10"/>
      <c r="AK24" s="10"/>
      <c r="AL24" s="10"/>
      <c r="AM24" s="10"/>
      <c r="AN24" s="10"/>
      <c r="AO24" s="10"/>
      <c r="AP24" s="10"/>
      <c r="AQ24" s="10"/>
    </row>
    <row r="25" spans="1:43" s="11" customFormat="1" ht="19.5">
      <c r="A25" s="10"/>
      <c r="B25" s="10"/>
      <c r="C25" s="19" t="s">
        <v>32</v>
      </c>
      <c r="D25" s="20">
        <f>AG8</f>
        <v>3091.5625</v>
      </c>
      <c r="AJ25" s="10"/>
      <c r="AK25" s="10"/>
      <c r="AL25" s="10"/>
      <c r="AM25" s="10"/>
      <c r="AN25" s="10"/>
      <c r="AO25" s="10"/>
      <c r="AP25" s="10"/>
      <c r="AQ25" s="10"/>
    </row>
    <row r="26" spans="1:43" s="11" customFormat="1" ht="19.5">
      <c r="A26" s="10"/>
      <c r="B26" s="10"/>
      <c r="C26" s="19" t="s">
        <v>76</v>
      </c>
      <c r="D26" s="20">
        <f>AI8</f>
        <v>15990</v>
      </c>
      <c r="AJ26" s="10"/>
      <c r="AK26" s="10"/>
      <c r="AL26" s="10"/>
      <c r="AM26" s="10"/>
      <c r="AN26" s="10"/>
      <c r="AO26" s="10"/>
      <c r="AP26" s="10"/>
      <c r="AQ26" s="10"/>
    </row>
    <row r="27" spans="1:43" s="11" customFormat="1" ht="19.5">
      <c r="A27" s="10"/>
      <c r="B27" s="10"/>
      <c r="C27" s="21" t="s">
        <v>77</v>
      </c>
      <c r="D27" s="22">
        <f>SUM(D22:D26)</f>
        <v>229696.0625</v>
      </c>
      <c r="AJ27" s="10"/>
      <c r="AK27" s="10"/>
      <c r="AL27" s="10"/>
      <c r="AM27" s="10"/>
      <c r="AN27" s="10"/>
      <c r="AO27" s="10"/>
      <c r="AP27" s="10"/>
      <c r="AQ27" s="10"/>
    </row>
    <row r="30" spans="1:43" ht="19.5">
      <c r="C30" s="23" t="s">
        <v>78</v>
      </c>
      <c r="D30" s="24">
        <f>D27</f>
        <v>229696.0625</v>
      </c>
    </row>
    <row r="31" spans="1:43" ht="19.5">
      <c r="C31" s="25" t="s">
        <v>79</v>
      </c>
      <c r="D31" s="26">
        <f>D30*9%</f>
        <v>20672.645625000001</v>
      </c>
    </row>
    <row r="32" spans="1:43" ht="19.5">
      <c r="C32" s="25" t="s">
        <v>80</v>
      </c>
      <c r="D32" s="26">
        <f>D30*9%</f>
        <v>20672.645625000001</v>
      </c>
    </row>
    <row r="33" spans="3:4" ht="19.5">
      <c r="C33" s="23" t="s">
        <v>81</v>
      </c>
      <c r="D33" s="27">
        <f>SUM(D30:D32)</f>
        <v>271041.35375000001</v>
      </c>
    </row>
  </sheetData>
  <mergeCells count="1">
    <mergeCell ref="C13:D13"/>
  </mergeCells>
  <pageMargins left="0.25" right="0.25" top="0.75" bottom="0.75" header="0.3" footer="0.3"/>
  <pageSetup paperSize="8" scale="33" fitToHeight="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</vt:lpstr>
      <vt:lpstr>PLANT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prakash kumar</dc:creator>
  <cp:lastModifiedBy>ADMIN</cp:lastModifiedBy>
  <dcterms:created xsi:type="dcterms:W3CDTF">2026-08-06T04:09:52Z</dcterms:created>
  <dcterms:modified xsi:type="dcterms:W3CDTF">2026-08-06T12:51:47Z</dcterms:modified>
</cp:coreProperties>
</file>