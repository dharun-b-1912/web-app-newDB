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0" yWindow="-110" windowWidth="19420" windowHeight="11020" tabRatio="617" firstSheet="1" activeTab="6"/>
  </bookViews>
  <sheets>
    <sheet name="M WAGES" sheetId="13" state="hidden" r:id="rId1"/>
    <sheet name="INVOICE" sheetId="24" r:id="rId2"/>
    <sheet name="BREAKUP " sheetId="8" r:id="rId3"/>
    <sheet name="Sheet1" sheetId="16" state="hidden" r:id="rId4"/>
    <sheet name="Sheet2" sheetId="17" state="hidden" r:id="rId5"/>
    <sheet name="Sheet3" sheetId="18" state="hidden" r:id="rId6"/>
    <sheet name="D WAGES" sheetId="21" r:id="rId7"/>
    <sheet name="ROOM ALLOW" sheetId="10" r:id="rId8"/>
    <sheet name="DEC'25" sheetId="15" state="hidden" r:id="rId9"/>
  </sheets>
  <externalReferences>
    <externalReference r:id="rId10"/>
  </externalReferences>
  <definedNames>
    <definedName name="_xlnm._FilterDatabase" localSheetId="6" hidden="1">'D WAGES'!$A$3:$AE$47</definedName>
    <definedName name="_xlnm._FilterDatabase" localSheetId="0" hidden="1">'M WAGES'!$A$1:$W$5</definedName>
    <definedName name="_xlnm._FilterDatabase" localSheetId="3" hidden="1">Sheet1!$A$7:$U$68</definedName>
    <definedName name="_xlnm.Print_Area" localSheetId="2">'BREAKUP '!$B$2:$E$22</definedName>
    <definedName name="_xlnm.Print_Area" localSheetId="6">'D WAGES'!$A$1:$AB$35</definedName>
    <definedName name="_xlnm.Print_Area" localSheetId="1">INVOICE!$B$2:$I$35</definedName>
    <definedName name="_xlnm.Print_Area" localSheetId="0">'M WAGES'!$A$1:$W$6</definedName>
    <definedName name="_xlnm.Print_Area" localSheetId="7">'ROOM ALLOW'!$B$2:$F$17</definedName>
    <definedName name="_xlnm.Print_Titles" localSheetId="6">'D WAGES'!$1:$3</definedName>
  </definedNames>
  <calcPr calcId="124519"/>
</workbook>
</file>

<file path=xl/calcChain.xml><?xml version="1.0" encoding="utf-8"?>
<calcChain xmlns="http://schemas.openxmlformats.org/spreadsheetml/2006/main">
  <c r="O5" i="21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Z47"/>
  <c r="Y47"/>
  <c r="S47"/>
  <c r="R47"/>
  <c r="H47"/>
  <c r="X47" l="1"/>
  <c r="D15" i="8" s="1"/>
  <c r="P47" i="21"/>
  <c r="Q47"/>
  <c r="N47"/>
  <c r="I47"/>
  <c r="J46"/>
  <c r="K46" l="1"/>
  <c r="M46" s="1"/>
  <c r="L46"/>
  <c r="B31" i="24"/>
  <c r="V46" i="21" l="1"/>
  <c r="T46"/>
  <c r="U46" s="1"/>
  <c r="W46" s="1"/>
  <c r="D16" i="8"/>
  <c r="J44" i="21"/>
  <c r="J45"/>
  <c r="J12"/>
  <c r="F21" i="10"/>
  <c r="D17" i="8" s="1"/>
  <c r="AA46" i="21" l="1"/>
  <c r="K12"/>
  <c r="M12" s="1"/>
  <c r="L12"/>
  <c r="L44"/>
  <c r="K44"/>
  <c r="K45"/>
  <c r="L45"/>
  <c r="O4"/>
  <c r="J41"/>
  <c r="J42"/>
  <c r="J43"/>
  <c r="M44" l="1"/>
  <c r="K42"/>
  <c r="M42" s="1"/>
  <c r="L42"/>
  <c r="L43"/>
  <c r="K43"/>
  <c r="L41"/>
  <c r="M41" s="1"/>
  <c r="K41"/>
  <c r="M45"/>
  <c r="O47"/>
  <c r="V45"/>
  <c r="V44"/>
  <c r="V12"/>
  <c r="V41"/>
  <c r="V42" l="1"/>
  <c r="M43"/>
  <c r="V43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1"/>
  <c r="J10"/>
  <c r="J9"/>
  <c r="J8"/>
  <c r="J7"/>
  <c r="J6"/>
  <c r="J5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J4"/>
  <c r="K19" l="1"/>
  <c r="M19" s="1"/>
  <c r="L19"/>
  <c r="L18"/>
  <c r="K18"/>
  <c r="K27"/>
  <c r="L27"/>
  <c r="K16"/>
  <c r="L16"/>
  <c r="L15"/>
  <c r="K15"/>
  <c r="L39"/>
  <c r="K39"/>
  <c r="K26"/>
  <c r="L26"/>
  <c r="L34"/>
  <c r="K34"/>
  <c r="L8"/>
  <c r="K8"/>
  <c r="K17"/>
  <c r="L17"/>
  <c r="L33"/>
  <c r="K33"/>
  <c r="L7"/>
  <c r="K7"/>
  <c r="K24"/>
  <c r="M24" s="1"/>
  <c r="L24"/>
  <c r="L32"/>
  <c r="K32"/>
  <c r="K40"/>
  <c r="L40"/>
  <c r="L6"/>
  <c r="K6"/>
  <c r="K23"/>
  <c r="M23" s="1"/>
  <c r="L23"/>
  <c r="L5"/>
  <c r="M5" s="1"/>
  <c r="K5"/>
  <c r="L14"/>
  <c r="K14"/>
  <c r="L22"/>
  <c r="K22"/>
  <c r="L30"/>
  <c r="K30"/>
  <c r="K38"/>
  <c r="M38" s="1"/>
  <c r="L38"/>
  <c r="L10"/>
  <c r="K10"/>
  <c r="V10" s="1"/>
  <c r="K35"/>
  <c r="L35"/>
  <c r="L9"/>
  <c r="M9" s="1"/>
  <c r="K9"/>
  <c r="L25"/>
  <c r="M25" s="1"/>
  <c r="K25"/>
  <c r="K31"/>
  <c r="L31"/>
  <c r="L13"/>
  <c r="K13"/>
  <c r="L21"/>
  <c r="M21" s="1"/>
  <c r="K21"/>
  <c r="L29"/>
  <c r="M29" s="1"/>
  <c r="K29"/>
  <c r="L37"/>
  <c r="K37"/>
  <c r="V37" s="1"/>
  <c r="L11"/>
  <c r="K11"/>
  <c r="K20"/>
  <c r="M20" s="1"/>
  <c r="L20"/>
  <c r="L28"/>
  <c r="K28"/>
  <c r="L36"/>
  <c r="K36"/>
  <c r="J47"/>
  <c r="V30"/>
  <c r="V19"/>
  <c r="L4"/>
  <c r="K4"/>
  <c r="V9"/>
  <c r="V28"/>
  <c r="V32"/>
  <c r="V5"/>
  <c r="V21"/>
  <c r="V39"/>
  <c r="V40"/>
  <c r="V38"/>
  <c r="V23" l="1"/>
  <c r="M37"/>
  <c r="M31"/>
  <c r="M40"/>
  <c r="M33"/>
  <c r="M26"/>
  <c r="M27"/>
  <c r="M13"/>
  <c r="M35"/>
  <c r="M16"/>
  <c r="M11"/>
  <c r="M6"/>
  <c r="M7"/>
  <c r="V20"/>
  <c r="M30"/>
  <c r="M8"/>
  <c r="M15"/>
  <c r="V16"/>
  <c r="M22"/>
  <c r="M34"/>
  <c r="V34"/>
  <c r="M28"/>
  <c r="M32"/>
  <c r="M17"/>
  <c r="M39"/>
  <c r="M18"/>
  <c r="V26"/>
  <c r="V24"/>
  <c r="M36"/>
  <c r="M10"/>
  <c r="M14"/>
  <c r="L47"/>
  <c r="K47"/>
  <c r="D7" i="8" s="1"/>
  <c r="V33" i="21"/>
  <c r="V35"/>
  <c r="V31"/>
  <c r="V36"/>
  <c r="V17"/>
  <c r="V7"/>
  <c r="V8"/>
  <c r="V25"/>
  <c r="V4"/>
  <c r="M4"/>
  <c r="V22"/>
  <c r="V11"/>
  <c r="V29"/>
  <c r="V13"/>
  <c r="V27"/>
  <c r="V14"/>
  <c r="V18"/>
  <c r="V15"/>
  <c r="V6"/>
  <c r="M47" l="1"/>
  <c r="V47"/>
  <c r="B5" i="10"/>
  <c r="AL66" i="18" l="1"/>
  <c r="AN65"/>
  <c r="AN64"/>
  <c r="AN63"/>
  <c r="AN62"/>
  <c r="AN61"/>
  <c r="AN60"/>
  <c r="AN59"/>
  <c r="AN58"/>
  <c r="AN57"/>
  <c r="AN56"/>
  <c r="AN55"/>
  <c r="AN54"/>
  <c r="AN53"/>
  <c r="AN52"/>
  <c r="AN51"/>
  <c r="AN50"/>
  <c r="AN49"/>
  <c r="AN48"/>
  <c r="AN47"/>
  <c r="AN46"/>
  <c r="AN45"/>
  <c r="AN44"/>
  <c r="AN43"/>
  <c r="AN42"/>
  <c r="AN38"/>
  <c r="AN37"/>
  <c r="AN36"/>
  <c r="AN35"/>
  <c r="AN34"/>
  <c r="AN33"/>
  <c r="AN32"/>
  <c r="AN31"/>
  <c r="AN30"/>
  <c r="AN29"/>
  <c r="AN28"/>
  <c r="AN23"/>
  <c r="AN21"/>
  <c r="AN18"/>
  <c r="AN17"/>
  <c r="AN14"/>
  <c r="AN10"/>
  <c r="R68" i="16"/>
  <c r="W67" s="1"/>
  <c r="V67"/>
  <c r="U67"/>
  <c r="T67"/>
  <c r="G67" s="1"/>
  <c r="F67"/>
  <c r="W66" s="1"/>
  <c r="V66"/>
  <c r="U66"/>
  <c r="T66"/>
  <c r="G66" s="1"/>
  <c r="F66"/>
  <c r="W65" s="1"/>
  <c r="V65"/>
  <c r="U65"/>
  <c r="T65"/>
  <c r="G65" s="1"/>
  <c r="F65"/>
  <c r="W64" s="1"/>
  <c r="V64"/>
  <c r="U64"/>
  <c r="T64"/>
  <c r="G64" s="1"/>
  <c r="F64"/>
  <c r="W63" s="1"/>
  <c r="V63"/>
  <c r="U63"/>
  <c r="T63"/>
  <c r="G63" s="1"/>
  <c r="F63"/>
  <c r="W62" s="1"/>
  <c r="V62"/>
  <c r="U62"/>
  <c r="T62"/>
  <c r="G62" s="1"/>
  <c r="F62"/>
  <c r="W61" s="1"/>
  <c r="V61"/>
  <c r="U61"/>
  <c r="T61"/>
  <c r="G61" s="1"/>
  <c r="F61"/>
  <c r="W60" s="1"/>
  <c r="V60"/>
  <c r="U60"/>
  <c r="T60"/>
  <c r="G60" s="1"/>
  <c r="F60"/>
  <c r="W59" s="1"/>
  <c r="V59"/>
  <c r="U59"/>
  <c r="T59"/>
  <c r="G59" s="1"/>
  <c r="F59"/>
  <c r="W58" s="1"/>
  <c r="V58"/>
  <c r="U58"/>
  <c r="T58"/>
  <c r="G58" s="1"/>
  <c r="F58"/>
  <c r="W57" s="1"/>
  <c r="V57"/>
  <c r="U57"/>
  <c r="T57"/>
  <c r="G57" s="1"/>
  <c r="F57"/>
  <c r="W56" s="1"/>
  <c r="V56"/>
  <c r="U56"/>
  <c r="T56"/>
  <c r="G56" s="1"/>
  <c r="F56"/>
  <c r="W55" s="1"/>
  <c r="V55"/>
  <c r="U55"/>
  <c r="T55"/>
  <c r="G55" s="1"/>
  <c r="F55"/>
  <c r="W54" s="1"/>
  <c r="V54"/>
  <c r="U54"/>
  <c r="T54"/>
  <c r="G54" s="1"/>
  <c r="F54"/>
  <c r="W53" s="1"/>
  <c r="V53"/>
  <c r="U53"/>
  <c r="T53"/>
  <c r="G53" s="1"/>
  <c r="F53"/>
  <c r="W52" s="1"/>
  <c r="V52"/>
  <c r="U52"/>
  <c r="T52"/>
  <c r="G52" s="1"/>
  <c r="F52"/>
  <c r="W51" s="1"/>
  <c r="V51"/>
  <c r="U51"/>
  <c r="T51"/>
  <c r="G51" s="1"/>
  <c r="F51"/>
  <c r="W50" s="1"/>
  <c r="V50"/>
  <c r="U50"/>
  <c r="T50"/>
  <c r="G50" s="1"/>
  <c r="F50"/>
  <c r="W49" s="1"/>
  <c r="V49"/>
  <c r="U49"/>
  <c r="T49"/>
  <c r="G49" s="1"/>
  <c r="F49"/>
  <c r="W48" s="1"/>
  <c r="V48"/>
  <c r="U48"/>
  <c r="T48"/>
  <c r="G48" s="1"/>
  <c r="F48"/>
  <c r="W47" s="1"/>
  <c r="V47"/>
  <c r="U47"/>
  <c r="T47"/>
  <c r="G47" s="1"/>
  <c r="F47"/>
  <c r="W46" s="1"/>
  <c r="V46"/>
  <c r="U46"/>
  <c r="T46"/>
  <c r="G46" s="1"/>
  <c r="F46"/>
  <c r="V45"/>
  <c r="U45"/>
  <c r="T45"/>
  <c r="G45" s="1"/>
  <c r="F45"/>
  <c r="V44"/>
  <c r="U44"/>
  <c r="T44"/>
  <c r="G44" s="1"/>
  <c r="F44"/>
  <c r="V43"/>
  <c r="U43"/>
  <c r="T43"/>
  <c r="G43" s="1"/>
  <c r="F43"/>
  <c r="V42"/>
  <c r="T42"/>
  <c r="G42" s="1"/>
  <c r="F42"/>
  <c r="V41"/>
  <c r="T41"/>
  <c r="G41" s="1"/>
  <c r="F41"/>
  <c r="V40"/>
  <c r="T40"/>
  <c r="G40" s="1"/>
  <c r="F40"/>
  <c r="V39"/>
  <c r="W39" s="1"/>
  <c r="U39"/>
  <c r="T39"/>
  <c r="G39" s="1"/>
  <c r="F39"/>
  <c r="V38"/>
  <c r="U38"/>
  <c r="T38"/>
  <c r="G38" s="1"/>
  <c r="F38"/>
  <c r="V37"/>
  <c r="U37"/>
  <c r="T37"/>
  <c r="G37" s="1"/>
  <c r="F37"/>
  <c r="V36"/>
  <c r="U36"/>
  <c r="T36"/>
  <c r="G36" s="1"/>
  <c r="F36"/>
  <c r="V35"/>
  <c r="U35"/>
  <c r="T35"/>
  <c r="G35" s="1"/>
  <c r="F35"/>
  <c r="V34"/>
  <c r="U34"/>
  <c r="T34"/>
  <c r="G34" s="1"/>
  <c r="F34"/>
  <c r="V33"/>
  <c r="U33"/>
  <c r="T33"/>
  <c r="G33" s="1"/>
  <c r="F33"/>
  <c r="V32"/>
  <c r="U32"/>
  <c r="T32"/>
  <c r="G32" s="1"/>
  <c r="F32"/>
  <c r="V31"/>
  <c r="U31"/>
  <c r="T31"/>
  <c r="G31" s="1"/>
  <c r="F31"/>
  <c r="V30"/>
  <c r="U30"/>
  <c r="T30"/>
  <c r="G30" s="1"/>
  <c r="F30"/>
  <c r="V29"/>
  <c r="U29"/>
  <c r="T29"/>
  <c r="G29" s="1"/>
  <c r="F29"/>
  <c r="V28"/>
  <c r="T28"/>
  <c r="G28" s="1"/>
  <c r="F28"/>
  <c r="V27"/>
  <c r="T27"/>
  <c r="G27" s="1"/>
  <c r="F27"/>
  <c r="V26"/>
  <c r="T26"/>
  <c r="G26" s="1"/>
  <c r="F26"/>
  <c r="V25"/>
  <c r="T25"/>
  <c r="G25" s="1"/>
  <c r="F25"/>
  <c r="V24"/>
  <c r="U24"/>
  <c r="T24"/>
  <c r="G24" s="1"/>
  <c r="F24"/>
  <c r="V23"/>
  <c r="T23"/>
  <c r="G23" s="1"/>
  <c r="F23"/>
  <c r="V22"/>
  <c r="U22"/>
  <c r="T22"/>
  <c r="G22" s="1"/>
  <c r="F22"/>
  <c r="V21"/>
  <c r="T21"/>
  <c r="G21" s="1"/>
  <c r="F21"/>
  <c r="V20"/>
  <c r="T20"/>
  <c r="G20" s="1"/>
  <c r="F20"/>
  <c r="W19" s="1"/>
  <c r="V19"/>
  <c r="U19"/>
  <c r="T19"/>
  <c r="G19" s="1"/>
  <c r="F19"/>
  <c r="V18"/>
  <c r="U18"/>
  <c r="T18"/>
  <c r="G18" s="1"/>
  <c r="F18"/>
  <c r="W17" s="1"/>
  <c r="V17"/>
  <c r="T17"/>
  <c r="G17" s="1"/>
  <c r="F17"/>
  <c r="V16"/>
  <c r="T16"/>
  <c r="G16" s="1"/>
  <c r="F16"/>
  <c r="V15"/>
  <c r="U15"/>
  <c r="T15"/>
  <c r="G15" s="1"/>
  <c r="F15"/>
  <c r="V14"/>
  <c r="T14"/>
  <c r="G14" s="1"/>
  <c r="F14"/>
  <c r="V13"/>
  <c r="T13"/>
  <c r="G13" s="1"/>
  <c r="F13"/>
  <c r="W12" s="1"/>
  <c r="V12"/>
  <c r="T12"/>
  <c r="G12" s="1"/>
  <c r="F12"/>
  <c r="V11"/>
  <c r="T11"/>
  <c r="G11" s="1"/>
  <c r="F11"/>
  <c r="V10"/>
  <c r="T10"/>
  <c r="G10" s="1"/>
  <c r="F10"/>
  <c r="V9"/>
  <c r="T9"/>
  <c r="G9" s="1"/>
  <c r="F9"/>
  <c r="W8" s="1"/>
  <c r="V8"/>
  <c r="T8"/>
  <c r="G8" s="1"/>
  <c r="F8"/>
  <c r="W20" l="1"/>
  <c r="W10"/>
  <c r="W15"/>
  <c r="W22"/>
  <c r="W27"/>
  <c r="W14"/>
  <c r="W21"/>
  <c r="W13"/>
  <c r="W42"/>
  <c r="W44"/>
  <c r="W25"/>
  <c r="W24"/>
  <c r="W29"/>
  <c r="W31"/>
  <c r="W33"/>
  <c r="W35"/>
  <c r="W37"/>
  <c r="W41"/>
  <c r="W9"/>
  <c r="W26"/>
  <c r="W43"/>
  <c r="W45"/>
  <c r="W18"/>
  <c r="W11"/>
  <c r="W16"/>
  <c r="W23"/>
  <c r="W28"/>
  <c r="W30"/>
  <c r="W32"/>
  <c r="W34"/>
  <c r="W36"/>
  <c r="W38"/>
  <c r="W40"/>
  <c r="U5" i="13" l="1"/>
  <c r="T5"/>
  <c r="S5" s="1"/>
  <c r="R5" s="1"/>
  <c r="Q5"/>
  <c r="P5"/>
  <c r="O5"/>
  <c r="N5"/>
  <c r="M5" s="1"/>
  <c r="L5"/>
  <c r="K5" s="1"/>
  <c r="J5" l="1"/>
  <c r="I5"/>
  <c r="H5"/>
  <c r="V4" l="1"/>
  <c r="S4"/>
  <c r="R4" s="1"/>
  <c r="Q4"/>
  <c r="M4"/>
  <c r="K4"/>
  <c r="J4"/>
  <c r="V5" l="1"/>
  <c r="E7" i="8"/>
  <c r="B6" i="10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T6" i="21" l="1"/>
  <c r="T12"/>
  <c r="T15"/>
  <c r="T19"/>
  <c r="T23"/>
  <c r="T26"/>
  <c r="T30"/>
  <c r="T32"/>
  <c r="T34"/>
  <c r="T36"/>
  <c r="T38"/>
  <c r="T41"/>
  <c r="T44"/>
  <c r="U12" l="1"/>
  <c r="W12" s="1"/>
  <c r="AA12" s="1"/>
  <c r="U38"/>
  <c r="W38" s="1"/>
  <c r="AA38" s="1"/>
  <c r="U44"/>
  <c r="W44" s="1"/>
  <c r="AA44" s="1"/>
  <c r="U26"/>
  <c r="W26" s="1"/>
  <c r="AA26" s="1"/>
  <c r="T43"/>
  <c r="T39"/>
  <c r="T35"/>
  <c r="T33"/>
  <c r="T31"/>
  <c r="T27"/>
  <c r="T24"/>
  <c r="T20"/>
  <c r="T37"/>
  <c r="T29"/>
  <c r="T22"/>
  <c r="T18"/>
  <c r="U41"/>
  <c r="W41" s="1"/>
  <c r="AA41" s="1"/>
  <c r="U36"/>
  <c r="W36" s="1"/>
  <c r="AA36" s="1"/>
  <c r="U34"/>
  <c r="W34" s="1"/>
  <c r="AA34" s="1"/>
  <c r="U32"/>
  <c r="W32" s="1"/>
  <c r="AA32" s="1"/>
  <c r="U30"/>
  <c r="W30" s="1"/>
  <c r="AA30" s="1"/>
  <c r="U23"/>
  <c r="W23" s="1"/>
  <c r="AA23" s="1"/>
  <c r="U19"/>
  <c r="W19" s="1"/>
  <c r="AA19" s="1"/>
  <c r="U15"/>
  <c r="W15" s="1"/>
  <c r="AA15" s="1"/>
  <c r="U6"/>
  <c r="W6" s="1"/>
  <c r="AA6" s="1"/>
  <c r="T40"/>
  <c r="T16"/>
  <c r="T13"/>
  <c r="T9"/>
  <c r="T7"/>
  <c r="T45"/>
  <c r="T42"/>
  <c r="T28"/>
  <c r="T25"/>
  <c r="T21"/>
  <c r="T17"/>
  <c r="T10"/>
  <c r="T8"/>
  <c r="T14"/>
  <c r="T11"/>
  <c r="T5"/>
  <c r="U29" l="1"/>
  <c r="W29" s="1"/>
  <c r="AA29" s="1"/>
  <c r="U18"/>
  <c r="W18" s="1"/>
  <c r="AA18" s="1"/>
  <c r="U5"/>
  <c r="W5" s="1"/>
  <c r="AA5" s="1"/>
  <c r="U27"/>
  <c r="W27" s="1"/>
  <c r="AA27" s="1"/>
  <c r="U24"/>
  <c r="W24" s="1"/>
  <c r="AA24" s="1"/>
  <c r="U20"/>
  <c r="W20" s="1"/>
  <c r="AA20" s="1"/>
  <c r="U39"/>
  <c r="W39" s="1"/>
  <c r="AA39" s="1"/>
  <c r="U45"/>
  <c r="W45" s="1"/>
  <c r="AA45" s="1"/>
  <c r="U22"/>
  <c r="W22" s="1"/>
  <c r="AA22" s="1"/>
  <c r="U42"/>
  <c r="W42" s="1"/>
  <c r="AA42" s="1"/>
  <c r="U33"/>
  <c r="W33" s="1"/>
  <c r="AA33" s="1"/>
  <c r="U10"/>
  <c r="W10" s="1"/>
  <c r="AA10" s="1"/>
  <c r="U37"/>
  <c r="W37" s="1"/>
  <c r="AA37" s="1"/>
  <c r="U43"/>
  <c r="W43" s="1"/>
  <c r="AA43" s="1"/>
  <c r="U35"/>
  <c r="W35" s="1"/>
  <c r="AA35" s="1"/>
  <c r="U31"/>
  <c r="W31" s="1"/>
  <c r="AA31" s="1"/>
  <c r="T4"/>
  <c r="U11"/>
  <c r="W11" s="1"/>
  <c r="AA11" s="1"/>
  <c r="U25"/>
  <c r="W25" s="1"/>
  <c r="AA25" s="1"/>
  <c r="U16"/>
  <c r="W16" s="1"/>
  <c r="AA16" s="1"/>
  <c r="U8"/>
  <c r="W8" s="1"/>
  <c r="AA8" s="1"/>
  <c r="U13"/>
  <c r="W13" s="1"/>
  <c r="AA13" s="1"/>
  <c r="U40"/>
  <c r="W40" s="1"/>
  <c r="AA40" s="1"/>
  <c r="U17"/>
  <c r="W17" s="1"/>
  <c r="AA17" s="1"/>
  <c r="U9"/>
  <c r="W9" s="1"/>
  <c r="AA9" s="1"/>
  <c r="U28"/>
  <c r="W28" s="1"/>
  <c r="AA28" s="1"/>
  <c r="U14"/>
  <c r="W14" s="1"/>
  <c r="AA14" s="1"/>
  <c r="U21"/>
  <c r="W21" s="1"/>
  <c r="AA21" s="1"/>
  <c r="U7"/>
  <c r="W7" s="1"/>
  <c r="AA7" s="1"/>
  <c r="T47" l="1"/>
  <c r="E5" i="8" s="1"/>
  <c r="E9" s="1"/>
  <c r="U4" i="21"/>
  <c r="U47" l="1"/>
  <c r="W4"/>
  <c r="W47" s="1"/>
  <c r="E8" i="8" l="1"/>
  <c r="E10" s="1"/>
  <c r="I20" i="24" s="1"/>
  <c r="I23" s="1"/>
  <c r="D8" i="8"/>
  <c r="AA4" i="21"/>
  <c r="AA47" s="1"/>
  <c r="I25" i="24" l="1"/>
  <c r="I27" s="1"/>
  <c r="I29" s="1"/>
  <c r="E12" i="8"/>
  <c r="E11"/>
  <c r="E13" l="1"/>
</calcChain>
</file>

<file path=xl/sharedStrings.xml><?xml version="1.0" encoding="utf-8"?>
<sst xmlns="http://schemas.openxmlformats.org/spreadsheetml/2006/main" count="866" uniqueCount="223">
  <si>
    <t>JOY MANPOWER SERVICE</t>
  </si>
  <si>
    <t>WAGES STATEMENT FOR THE MONTH OF APR -2023 WTU III</t>
  </si>
  <si>
    <t>S NO</t>
  </si>
  <si>
    <t>PUNCHING NO</t>
  </si>
  <si>
    <t>NAME</t>
  </si>
  <si>
    <t>DEPT</t>
  </si>
  <si>
    <t>UAN Number</t>
  </si>
  <si>
    <t>ESI Number</t>
  </si>
  <si>
    <t>D WAGES</t>
  </si>
  <si>
    <t>W DAYS</t>
  </si>
  <si>
    <t>BASIC 70%</t>
  </si>
  <si>
    <t>HRA 30%</t>
  </si>
  <si>
    <t>OT</t>
  </si>
  <si>
    <t>OT STIPEND</t>
  </si>
  <si>
    <t>F.ALLOWANCE</t>
  </si>
  <si>
    <t>N.ALLOWANCE</t>
  </si>
  <si>
    <t>ATT BONUS</t>
  </si>
  <si>
    <t>GROSS</t>
  </si>
  <si>
    <t>PF 12%</t>
  </si>
  <si>
    <t>ESI 0.75%</t>
  </si>
  <si>
    <t>CANTEEN</t>
  </si>
  <si>
    <t>RENT</t>
  </si>
  <si>
    <t>NET AMOUNT</t>
  </si>
  <si>
    <t>SIGNATURE</t>
  </si>
  <si>
    <t>MUNIYASAMY K</t>
  </si>
  <si>
    <t>IMD</t>
  </si>
  <si>
    <t>TOTAL</t>
  </si>
  <si>
    <t>INVOICE</t>
  </si>
  <si>
    <t>From</t>
  </si>
  <si>
    <t xml:space="preserve">Invoice Number </t>
  </si>
  <si>
    <t xml:space="preserve">Invoice Date </t>
  </si>
  <si>
    <t>GSTIN Number : 33AOAPR4773D1Z2</t>
  </si>
  <si>
    <t xml:space="preserve">PAN Number </t>
  </si>
  <si>
    <t>AOAPR4773D</t>
  </si>
  <si>
    <t>To</t>
  </si>
  <si>
    <t>PF Code</t>
  </si>
  <si>
    <t>CB/CBE/1724259000</t>
  </si>
  <si>
    <t>S.F. NO 129/2, Karavali Madhapur,</t>
  </si>
  <si>
    <t>Sulur Taluk, Coimbatore – 641668</t>
  </si>
  <si>
    <t>GSTIN Number : 33AAACW1645G1ZM</t>
  </si>
  <si>
    <t>ESIC Code</t>
  </si>
  <si>
    <t>56001195190001001</t>
  </si>
  <si>
    <t>Particulars</t>
  </si>
  <si>
    <t>Rs.</t>
  </si>
  <si>
    <t>2. CGST @ 9% on Billing Amount</t>
  </si>
  <si>
    <t>3 .SGST @ 9% on Billing Amount</t>
  </si>
  <si>
    <t>S.NO.</t>
  </si>
  <si>
    <t>PARTICULARS</t>
  </si>
  <si>
    <t>AMOUNT</t>
  </si>
  <si>
    <t>Being the Contract Services for supply of manpower at</t>
  </si>
  <si>
    <t>P.F.Employer Contribution @ 13% Rs.</t>
  </si>
  <si>
    <t>E.S.I Employer Contribution @ 3.25% Rs.</t>
  </si>
  <si>
    <t>Service Charges @ 6% on Gross</t>
  </si>
  <si>
    <t xml:space="preserve">TOTAL </t>
  </si>
  <si>
    <t>CGST @ 9% on Billing Amount</t>
  </si>
  <si>
    <t>SGST @ 9% on Billing Amount</t>
  </si>
  <si>
    <t>GRAND TOTAL</t>
  </si>
  <si>
    <t>Canteen Deduction</t>
  </si>
  <si>
    <t>Room Rent deduction</t>
  </si>
  <si>
    <t>NFH</t>
  </si>
  <si>
    <t>PAY DAYS</t>
  </si>
  <si>
    <t>F.ALLOW</t>
  </si>
  <si>
    <t>N.ALLOW</t>
  </si>
  <si>
    <t>ATTN BONUS</t>
  </si>
  <si>
    <t>ARREARS</t>
  </si>
  <si>
    <t>OTHER
DED</t>
  </si>
  <si>
    <t>SELVI S</t>
  </si>
  <si>
    <t>Assembly</t>
  </si>
  <si>
    <t>SAKTHI S</t>
  </si>
  <si>
    <t>101432021832</t>
  </si>
  <si>
    <t>Fetling</t>
  </si>
  <si>
    <t>SANGEETHA</t>
  </si>
  <si>
    <t>JAYAMARY SOOSAIYAPPAN</t>
  </si>
  <si>
    <t>KAVITHA KANAGARAJ</t>
  </si>
  <si>
    <t>101720171633</t>
  </si>
  <si>
    <t>INDHUMATHI</t>
  </si>
  <si>
    <t>101884388735</t>
  </si>
  <si>
    <t>VANAJA</t>
  </si>
  <si>
    <t>101889532368</t>
  </si>
  <si>
    <t>ANANTHI MUTHURAMALINGAM</t>
  </si>
  <si>
    <t>101763385167</t>
  </si>
  <si>
    <t>PANDIAN  MARUTHAN</t>
  </si>
  <si>
    <t>Stores</t>
  </si>
  <si>
    <t>BHUVANESHWARI</t>
  </si>
  <si>
    <t>MURUGESWARI BALAJI</t>
  </si>
  <si>
    <t>101760758089</t>
  </si>
  <si>
    <t>MUNESHWAR SOREN</t>
  </si>
  <si>
    <t>101970318746</t>
  </si>
  <si>
    <t>GOVINDARAJ ARUMUGAM</t>
  </si>
  <si>
    <t>ANITHA SURESHMUTHU</t>
  </si>
  <si>
    <t>101957103325</t>
  </si>
  <si>
    <t>SATPATI KAIBART</t>
  </si>
  <si>
    <t>VIJAYA LAKSHMI</t>
  </si>
  <si>
    <t>101709340045</t>
  </si>
  <si>
    <t>DEVI</t>
  </si>
  <si>
    <t>102085929890</t>
  </si>
  <si>
    <t>RAMACHANDRAN</t>
  </si>
  <si>
    <t>AUTOMATION</t>
  </si>
  <si>
    <t>101815134082</t>
  </si>
  <si>
    <t>DEEPA</t>
  </si>
  <si>
    <t>T.VINITHA</t>
  </si>
  <si>
    <t>HEMALATHA</t>
  </si>
  <si>
    <t>SANJAY KUMAR</t>
  </si>
  <si>
    <t>SUNIL SAWAYNAM</t>
  </si>
  <si>
    <t>RANJEET SAWAIYAM</t>
  </si>
  <si>
    <t>*</t>
  </si>
  <si>
    <t>S.NO</t>
  </si>
  <si>
    <t>CODE</t>
  </si>
  <si>
    <t>DEPARTMENT</t>
  </si>
  <si>
    <t>ROOM ALLOW</t>
  </si>
  <si>
    <t>Wages</t>
  </si>
  <si>
    <t>HAKIM MARANDI</t>
  </si>
  <si>
    <t>HARIM HEMBRAM</t>
  </si>
  <si>
    <t>SANTHOSH MANJHI</t>
  </si>
  <si>
    <t>PREM KUMAR</t>
  </si>
  <si>
    <t>MANOHAR KARAN</t>
  </si>
  <si>
    <t>LAXMAN RAJAK</t>
  </si>
  <si>
    <t>MOHAN TUTI</t>
  </si>
  <si>
    <t>HK</t>
  </si>
  <si>
    <t>ANNALAKSHMI</t>
  </si>
  <si>
    <t>POONGODI K</t>
  </si>
  <si>
    <t>CHANDAN GORIAN</t>
  </si>
  <si>
    <t>JAYHARI GORIAN</t>
  </si>
  <si>
    <t>SHIV SANKAR GORAJ</t>
  </si>
  <si>
    <t>PAPPU KUMAR</t>
  </si>
  <si>
    <t>AMIT KUMAR</t>
  </si>
  <si>
    <t>MANISH KUMAR</t>
  </si>
  <si>
    <t>VIJAYA</t>
  </si>
  <si>
    <t>JAYARAM</t>
  </si>
  <si>
    <t>RAJVEER</t>
  </si>
  <si>
    <t>NITHEESH KUMAR</t>
  </si>
  <si>
    <t>MEENA</t>
  </si>
  <si>
    <t>PUJA KUMARI</t>
  </si>
  <si>
    <t>PAYAL KUMARI</t>
  </si>
  <si>
    <t>PRITI KUMARI</t>
  </si>
  <si>
    <t>PANDESWARAN</t>
  </si>
  <si>
    <t>SANKARI MUNDA</t>
  </si>
  <si>
    <t>SRI LAKSHMI</t>
  </si>
  <si>
    <t>GOBIKA RAJAN</t>
  </si>
  <si>
    <t>MANOJ  KUMAR</t>
  </si>
  <si>
    <t>RUBI GOND</t>
  </si>
  <si>
    <t>SURESH MARANDI</t>
  </si>
  <si>
    <t>MITHUN MARANDI</t>
  </si>
  <si>
    <t>NUNULAL MURMU</t>
  </si>
  <si>
    <t>MAHAN MURMU</t>
  </si>
  <si>
    <t>ANGAMUTHU</t>
  </si>
  <si>
    <t>WATERTEC (INDIA) PRIVATE LIMITED</t>
  </si>
  <si>
    <t>Coimbatore</t>
  </si>
  <si>
    <t>Attendance Details From 26-Dec-2025 - To 25-Jan-2026</t>
  </si>
  <si>
    <t>S.No</t>
  </si>
  <si>
    <t>EMP ID</t>
  </si>
  <si>
    <t>EMPLOYEE NAME</t>
  </si>
  <si>
    <t>CATEGORY</t>
  </si>
  <si>
    <t>PRESENT DAYS</t>
  </si>
  <si>
    <t>W/Off</t>
  </si>
  <si>
    <t>CL</t>
  </si>
  <si>
    <t>PL</t>
  </si>
  <si>
    <t>LOP</t>
  </si>
  <si>
    <t>NO.OF SHIFTS PER MONTH (PRESENT)</t>
  </si>
  <si>
    <t>OVERTIME</t>
  </si>
  <si>
    <t>NO.OF DAYS WORKED OVERTIME MORE THAN 4 HRS &amp; 8 HRS IN W/OFF</t>
  </si>
  <si>
    <t>NA</t>
  </si>
  <si>
    <t>G.SHIFT</t>
  </si>
  <si>
    <t>SHIFT I</t>
  </si>
  <si>
    <t>SHIFT II</t>
  </si>
  <si>
    <t>SHIFT III</t>
  </si>
  <si>
    <t>JOY MANPOWER SERVICES</t>
  </si>
  <si>
    <t>VASANTHAMNAI</t>
  </si>
  <si>
    <t>Booking Report -  26-Dec-2025 To - 25-Jan-2026</t>
  </si>
  <si>
    <t>Employee No</t>
  </si>
  <si>
    <t>Name</t>
  </si>
  <si>
    <t>Unit</t>
  </si>
  <si>
    <t>Dept</t>
  </si>
  <si>
    <t>Category</t>
  </si>
  <si>
    <t>Location</t>
  </si>
  <si>
    <t>Contractor</t>
  </si>
  <si>
    <t>LUNCH</t>
  </si>
  <si>
    <t>Total</t>
  </si>
  <si>
    <t>total</t>
  </si>
  <si>
    <t>UNIT-3</t>
  </si>
  <si>
    <t>Over Time Report From 26-Dec-2025 - To 25-Jan-2026</t>
  </si>
  <si>
    <t>FA</t>
  </si>
  <si>
    <t>SUB-CATEGORY</t>
  </si>
  <si>
    <t>TOTAL OT HR</t>
  </si>
  <si>
    <t>NO. OF TIMES OT - 4 HRS AND ABOVE</t>
  </si>
  <si>
    <t>ANTU SOREN</t>
  </si>
  <si>
    <t>SALMA SOREN</t>
  </si>
  <si>
    <t>TRIDEV NAYAK</t>
  </si>
  <si>
    <t>SONY CHAMPIYA</t>
  </si>
  <si>
    <t>MUNKIDEVI</t>
  </si>
  <si>
    <t>SURESH KINDO</t>
  </si>
  <si>
    <t>CHINNASAMY CHINNAPALANI</t>
  </si>
  <si>
    <t>KUNAL UMAR TURI</t>
  </si>
  <si>
    <t>MUNNA SOREN</t>
  </si>
  <si>
    <t>BILU KUMAR</t>
  </si>
  <si>
    <t>SARITA BANRA</t>
  </si>
  <si>
    <t>MINAKSHI KUMARI</t>
  </si>
  <si>
    <t>PARIMALAM</t>
  </si>
  <si>
    <t>EKAMBAL</t>
  </si>
  <si>
    <t>BASIC 55%</t>
  </si>
  <si>
    <t>HRA 45%</t>
  </si>
  <si>
    <t>ESI WAGES</t>
  </si>
  <si>
    <t>ROUTHROSCLINE</t>
  </si>
  <si>
    <t>KARTHIKEYANI</t>
  </si>
  <si>
    <t>Mobile - 9080776580</t>
  </si>
  <si>
    <t>GSTIN Number - 33AOAPR4773D1Z2</t>
  </si>
  <si>
    <t>No.16, Krishna complex, Avinashi main road,</t>
  </si>
  <si>
    <t xml:space="preserve">Thennampalayam, Arasur PO, </t>
  </si>
  <si>
    <t>Coimbatore - 641 407.</t>
  </si>
  <si>
    <t>SAC Code</t>
  </si>
  <si>
    <t xml:space="preserve">1. Being the Contract Services for supply of manpower </t>
  </si>
  <si>
    <t>TOTAL AMOUNT :-</t>
  </si>
  <si>
    <t>Watertec India Private Limited - Unit - Ill</t>
  </si>
  <si>
    <t>SANJAY</t>
  </si>
  <si>
    <t>JOY MANPOWER SERVICE WAGES FOR THE MONTH OF SEPTEMBER 2026</t>
  </si>
  <si>
    <t>WAGES BREAKUP FOR THE MONTH OF SEPTEMBER 2026</t>
  </si>
  <si>
    <t>206/2026-27</t>
  </si>
  <si>
    <r>
      <t xml:space="preserve">   at your Factory permises from</t>
    </r>
    <r>
      <rPr>
        <b/>
        <sz val="13"/>
        <rFont val="Arial"/>
        <family val="2"/>
      </rPr>
      <t xml:space="preserve"> 26.08.2026 to 25.09.2026</t>
    </r>
  </si>
  <si>
    <t>your Factory permises from 26.08.2026 TO 25.09.2026</t>
  </si>
  <si>
    <t>OUTSIDE ROOM SEPTEMBER 2026</t>
  </si>
  <si>
    <t>ADD Room Rent (17*250)</t>
  </si>
  <si>
    <t>Rupees : Eight Lakhs Eighty Three Thousand Five Hundred And Twenty Four Only /-</t>
  </si>
  <si>
    <t>27/09/2026</t>
  </si>
</sst>
</file>

<file path=xl/styles.xml><?xml version="1.0" encoding="utf-8"?>
<styleSheet xmlns="http://schemas.openxmlformats.org/spreadsheetml/2006/main">
  <numFmts count="3">
    <numFmt numFmtId="164" formatCode="0.0;[Red]0.0"/>
    <numFmt numFmtId="165" formatCode="0;[Red]0"/>
    <numFmt numFmtId="166" formatCode="_(* #,##0_);_(* \(#,##0\);_(* &quot;-&quot;??_);_(@_)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8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sz val="14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7">
    <xf numFmtId="0" fontId="0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1" fillId="0" borderId="0"/>
    <xf numFmtId="164" fontId="1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7" fillId="2" borderId="0" xfId="0" applyFont="1" applyFill="1"/>
    <xf numFmtId="0" fontId="0" fillId="2" borderId="0" xfId="0" applyFill="1"/>
    <xf numFmtId="0" fontId="8" fillId="2" borderId="2" xfId="2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4" xfId="2" applyFont="1" applyFill="1" applyBorder="1" applyAlignment="1">
      <alignment vertical="center"/>
    </xf>
    <xf numFmtId="1" fontId="10" fillId="2" borderId="1" xfId="0" applyNumberFormat="1" applyFont="1" applyFill="1" applyBorder="1"/>
    <xf numFmtId="165" fontId="0" fillId="2" borderId="0" xfId="0" applyNumberFormat="1" applyFill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left"/>
    </xf>
    <xf numFmtId="1" fontId="14" fillId="0" borderId="19" xfId="0" applyNumberFormat="1" applyFont="1" applyBorder="1" applyAlignment="1">
      <alignment horizontal="center" vertical="center"/>
    </xf>
    <xf numFmtId="2" fontId="11" fillId="0" borderId="0" xfId="0" applyNumberFormat="1" applyFont="1"/>
    <xf numFmtId="0" fontId="13" fillId="0" borderId="1" xfId="0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0" fontId="13" fillId="0" borderId="20" xfId="0" applyFont="1" applyBorder="1" applyAlignment="1">
      <alignment horizontal="center"/>
    </xf>
    <xf numFmtId="1" fontId="14" fillId="0" borderId="21" xfId="0" applyNumberFormat="1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13" fillId="0" borderId="12" xfId="0" applyFont="1" applyBorder="1"/>
    <xf numFmtId="1" fontId="14" fillId="0" borderId="22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1" fontId="13" fillId="0" borderId="24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0" fontId="13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9" fillId="2" borderId="8" xfId="0" applyFont="1" applyFill="1" applyBorder="1"/>
    <xf numFmtId="0" fontId="19" fillId="2" borderId="0" xfId="0" applyFont="1" applyFill="1"/>
    <xf numFmtId="0" fontId="11" fillId="2" borderId="8" xfId="0" applyFont="1" applyFill="1" applyBorder="1"/>
    <xf numFmtId="0" fontId="11" fillId="2" borderId="0" xfId="0" applyFont="1" applyFill="1"/>
    <xf numFmtId="0" fontId="20" fillId="0" borderId="0" xfId="0" applyFont="1"/>
    <xf numFmtId="0" fontId="21" fillId="2" borderId="8" xfId="3" applyFont="1" applyFill="1" applyBorder="1"/>
    <xf numFmtId="0" fontId="11" fillId="2" borderId="8" xfId="3" applyFont="1" applyFill="1" applyBorder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23" fillId="0" borderId="0" xfId="0" applyFont="1"/>
    <xf numFmtId="0" fontId="6" fillId="0" borderId="0" xfId="0" applyFont="1" applyAlignment="1">
      <alignment horizontal="right"/>
    </xf>
    <xf numFmtId="0" fontId="16" fillId="0" borderId="1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/>
    <xf numFmtId="1" fontId="16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16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6" fillId="0" borderId="0" xfId="0" applyNumberFormat="1" applyFont="1"/>
    <xf numFmtId="0" fontId="7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3" borderId="36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 wrapText="1"/>
    </xf>
    <xf numFmtId="0" fontId="3" fillId="3" borderId="37" xfId="0" applyFont="1" applyFill="1" applyBorder="1" applyAlignment="1">
      <alignment horizontal="center"/>
    </xf>
    <xf numFmtId="0" fontId="0" fillId="0" borderId="36" xfId="0" applyBorder="1"/>
    <xf numFmtId="0" fontId="10" fillId="3" borderId="1" xfId="0" applyFont="1" applyFill="1" applyBorder="1" applyAlignment="1">
      <alignment horizontal="center"/>
    </xf>
    <xf numFmtId="0" fontId="10" fillId="3" borderId="38" xfId="0" applyFont="1" applyFill="1" applyBorder="1" applyAlignment="1">
      <alignment horizontal="center"/>
    </xf>
    <xf numFmtId="0" fontId="4" fillId="3" borderId="1" xfId="0" applyFont="1" applyFill="1" applyBorder="1"/>
    <xf numFmtId="0" fontId="27" fillId="3" borderId="36" xfId="0" applyFont="1" applyFill="1" applyBorder="1" applyAlignment="1">
      <alignment horizontal="center"/>
    </xf>
    <xf numFmtId="0" fontId="6" fillId="0" borderId="36" xfId="0" applyNumberFormat="1" applyFont="1" applyBorder="1"/>
    <xf numFmtId="0" fontId="6" fillId="0" borderId="36" xfId="0" applyFont="1" applyBorder="1"/>
    <xf numFmtId="0" fontId="7" fillId="0" borderId="1" xfId="0" applyFont="1" applyBorder="1"/>
    <xf numFmtId="0" fontId="6" fillId="0" borderId="36" xfId="0" applyFont="1" applyFill="1" applyBorder="1"/>
    <xf numFmtId="0" fontId="6" fillId="0" borderId="1" xfId="0" applyFont="1" applyBorder="1"/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8" fillId="0" borderId="1" xfId="0" applyNumberFormat="1" applyFont="1" applyBorder="1"/>
    <xf numFmtId="0" fontId="6" fillId="0" borderId="0" xfId="0" applyFont="1" applyBorder="1"/>
    <xf numFmtId="0" fontId="6" fillId="0" borderId="2" xfId="0" applyNumberFormat="1" applyFont="1" applyBorder="1"/>
    <xf numFmtId="0" fontId="6" fillId="0" borderId="4" xfId="0" applyFont="1" applyBorder="1"/>
    <xf numFmtId="1" fontId="29" fillId="0" borderId="1" xfId="1" applyNumberFormat="1" applyFont="1" applyBorder="1" applyAlignment="1">
      <alignment horizontal="center" vertical="center"/>
    </xf>
    <xf numFmtId="0" fontId="6" fillId="0" borderId="39" xfId="0" applyNumberFormat="1" applyFont="1" applyBorder="1"/>
    <xf numFmtId="0" fontId="6" fillId="0" borderId="40" xfId="0" applyFont="1" applyBorder="1"/>
    <xf numFmtId="0" fontId="6" fillId="0" borderId="0" xfId="0" applyNumberFormat="1" applyFont="1" applyBorder="1"/>
    <xf numFmtId="0" fontId="31" fillId="2" borderId="0" xfId="5" applyFont="1" applyFill="1"/>
    <xf numFmtId="0" fontId="31" fillId="2" borderId="0" xfId="5" applyFont="1" applyFill="1" applyAlignment="1">
      <alignment vertical="center"/>
    </xf>
    <xf numFmtId="0" fontId="34" fillId="2" borderId="5" xfId="5" applyFont="1" applyFill="1" applyBorder="1"/>
    <xf numFmtId="0" fontId="25" fillId="2" borderId="6" xfId="5" applyFont="1" applyFill="1" applyBorder="1"/>
    <xf numFmtId="0" fontId="25" fillId="2" borderId="7" xfId="5" applyFont="1" applyFill="1" applyBorder="1"/>
    <xf numFmtId="0" fontId="34" fillId="2" borderId="8" xfId="5" applyFont="1" applyFill="1" applyBorder="1"/>
    <xf numFmtId="0" fontId="34" fillId="2" borderId="9" xfId="5" applyFont="1" applyFill="1" applyBorder="1"/>
    <xf numFmtId="0" fontId="25" fillId="2" borderId="8" xfId="5" applyFont="1" applyFill="1" applyBorder="1"/>
    <xf numFmtId="0" fontId="25" fillId="2" borderId="9" xfId="5" applyFont="1" applyFill="1" applyBorder="1"/>
    <xf numFmtId="0" fontId="25" fillId="2" borderId="29" xfId="5" applyFont="1" applyFill="1" applyBorder="1"/>
    <xf numFmtId="0" fontId="25" fillId="2" borderId="27" xfId="5" applyFont="1" applyFill="1" applyBorder="1"/>
    <xf numFmtId="0" fontId="36" fillId="2" borderId="0" xfId="5" applyFont="1" applyFill="1"/>
    <xf numFmtId="0" fontId="32" fillId="2" borderId="41" xfId="5" applyFont="1" applyFill="1" applyBorder="1" applyAlignment="1">
      <alignment horizontal="center"/>
    </xf>
    <xf numFmtId="0" fontId="32" fillId="2" borderId="8" xfId="5" applyFont="1" applyFill="1" applyBorder="1" applyAlignment="1">
      <alignment horizontal="center"/>
    </xf>
    <xf numFmtId="0" fontId="32" fillId="2" borderId="34" xfId="5" applyFont="1" applyFill="1" applyBorder="1" applyAlignment="1">
      <alignment horizontal="center"/>
    </xf>
    <xf numFmtId="0" fontId="35" fillId="2" borderId="8" xfId="5" applyFont="1" applyFill="1" applyBorder="1"/>
    <xf numFmtId="1" fontId="32" fillId="2" borderId="34" xfId="5" applyNumberFormat="1" applyFont="1" applyFill="1" applyBorder="1" applyAlignment="1">
      <alignment horizontal="center"/>
    </xf>
    <xf numFmtId="166" fontId="22" fillId="2" borderId="34" xfId="6" applyNumberFormat="1" applyFont="1" applyFill="1" applyBorder="1" applyAlignment="1">
      <alignment horizontal="right"/>
    </xf>
    <xf numFmtId="2" fontId="31" fillId="2" borderId="0" xfId="5" applyNumberFormat="1" applyFont="1" applyFill="1"/>
    <xf numFmtId="0" fontId="38" fillId="2" borderId="8" xfId="5" applyFont="1" applyFill="1" applyBorder="1"/>
    <xf numFmtId="166" fontId="31" fillId="2" borderId="34" xfId="6" applyNumberFormat="1" applyFont="1" applyFill="1" applyBorder="1"/>
    <xf numFmtId="0" fontId="31" fillId="2" borderId="8" xfId="5" applyFont="1" applyFill="1" applyBorder="1"/>
    <xf numFmtId="166" fontId="22" fillId="2" borderId="34" xfId="6" applyNumberFormat="1" applyFont="1" applyFill="1" applyBorder="1"/>
    <xf numFmtId="166" fontId="22" fillId="2" borderId="42" xfId="6" applyNumberFormat="1" applyFont="1" applyFill="1" applyBorder="1" applyAlignment="1">
      <alignment horizontal="right"/>
    </xf>
    <xf numFmtId="0" fontId="31" fillId="2" borderId="9" xfId="5" applyFont="1" applyFill="1" applyBorder="1"/>
    <xf numFmtId="0" fontId="32" fillId="2" borderId="9" xfId="5" applyFont="1" applyFill="1" applyBorder="1"/>
    <xf numFmtId="0" fontId="31" fillId="2" borderId="28" xfId="5" applyFont="1" applyFill="1" applyBorder="1"/>
    <xf numFmtId="0" fontId="31" fillId="2" borderId="29" xfId="5" applyFont="1" applyFill="1" applyBorder="1"/>
    <xf numFmtId="0" fontId="32" fillId="2" borderId="29" xfId="5" applyFont="1" applyFill="1" applyBorder="1"/>
    <xf numFmtId="0" fontId="32" fillId="2" borderId="8" xfId="5" applyFont="1" applyFill="1" applyBorder="1"/>
    <xf numFmtId="0" fontId="32" fillId="2" borderId="28" xfId="5" applyFont="1" applyFill="1" applyBorder="1"/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/>
    <xf numFmtId="0" fontId="30" fillId="0" borderId="21" xfId="0" applyFont="1" applyBorder="1"/>
    <xf numFmtId="0" fontId="0" fillId="0" borderId="9" xfId="0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34" fillId="2" borderId="0" xfId="5" applyFont="1" applyFill="1" applyBorder="1"/>
    <xf numFmtId="0" fontId="25" fillId="2" borderId="0" xfId="5" applyFont="1" applyFill="1" applyBorder="1"/>
    <xf numFmtId="0" fontId="32" fillId="2" borderId="0" xfId="5" applyFont="1" applyFill="1" applyBorder="1" applyAlignment="1">
      <alignment horizontal="center"/>
    </xf>
    <xf numFmtId="0" fontId="35" fillId="2" borderId="0" xfId="5" applyFont="1" applyFill="1" applyBorder="1"/>
    <xf numFmtId="0" fontId="38" fillId="2" borderId="0" xfId="5" applyFont="1" applyFill="1" applyBorder="1"/>
    <xf numFmtId="0" fontId="31" fillId="2" borderId="0" xfId="5" applyFont="1" applyFill="1" applyBorder="1"/>
    <xf numFmtId="0" fontId="32" fillId="2" borderId="0" xfId="5" applyFont="1" applyFill="1" applyBorder="1"/>
    <xf numFmtId="0" fontId="8" fillId="0" borderId="0" xfId="2" applyFont="1" applyAlignment="1">
      <alignment horizontal="center" vertical="top"/>
    </xf>
    <xf numFmtId="0" fontId="24" fillId="0" borderId="0" xfId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2" fillId="2" borderId="29" xfId="5" applyFont="1" applyFill="1" applyBorder="1" applyAlignment="1">
      <alignment horizontal="right"/>
    </xf>
    <xf numFmtId="0" fontId="32" fillId="2" borderId="27" xfId="5" applyFont="1" applyFill="1" applyBorder="1" applyAlignment="1">
      <alignment horizontal="right"/>
    </xf>
    <xf numFmtId="0" fontId="34" fillId="2" borderId="5" xfId="5" applyFont="1" applyFill="1" applyBorder="1" applyAlignment="1">
      <alignment horizontal="left" vertical="center"/>
    </xf>
    <xf numFmtId="0" fontId="34" fillId="2" borderId="7" xfId="5" applyFont="1" applyFill="1" applyBorder="1" applyAlignment="1">
      <alignment horizontal="left" vertical="center"/>
    </xf>
    <xf numFmtId="0" fontId="34" fillId="2" borderId="28" xfId="5" applyFont="1" applyFill="1" applyBorder="1" applyAlignment="1">
      <alignment horizontal="left" vertical="center"/>
    </xf>
    <xf numFmtId="0" fontId="34" fillId="2" borderId="27" xfId="5" applyFont="1" applyFill="1" applyBorder="1" applyAlignment="1">
      <alignment horizontal="left" vertical="center"/>
    </xf>
    <xf numFmtId="0" fontId="32" fillId="2" borderId="30" xfId="5" applyFont="1" applyFill="1" applyBorder="1" applyAlignment="1">
      <alignment horizontal="center"/>
    </xf>
    <xf numFmtId="0" fontId="32" fillId="2" borderId="31" xfId="5" applyFont="1" applyFill="1" applyBorder="1" applyAlignment="1">
      <alignment horizontal="center"/>
    </xf>
    <xf numFmtId="0" fontId="39" fillId="2" borderId="5" xfId="5" applyFont="1" applyFill="1" applyBorder="1" applyAlignment="1">
      <alignment horizontal="center" vertical="center"/>
    </xf>
    <xf numFmtId="0" fontId="39" fillId="2" borderId="6" xfId="5" applyFont="1" applyFill="1" applyBorder="1" applyAlignment="1">
      <alignment horizontal="center" vertical="center"/>
    </xf>
    <xf numFmtId="0" fontId="39" fillId="2" borderId="8" xfId="5" applyFont="1" applyFill="1" applyBorder="1" applyAlignment="1">
      <alignment horizontal="center" vertical="center"/>
    </xf>
    <xf numFmtId="0" fontId="39" fillId="2" borderId="0" xfId="5" applyFont="1" applyFill="1" applyBorder="1" applyAlignment="1">
      <alignment horizontal="center" vertical="center"/>
    </xf>
    <xf numFmtId="166" fontId="39" fillId="2" borderId="32" xfId="6" applyNumberFormat="1" applyFont="1" applyFill="1" applyBorder="1" applyAlignment="1">
      <alignment horizontal="right" vertical="center"/>
    </xf>
    <xf numFmtId="166" fontId="39" fillId="2" borderId="34" xfId="6" applyNumberFormat="1" applyFont="1" applyFill="1" applyBorder="1" applyAlignment="1">
      <alignment horizontal="right" vertical="center"/>
    </xf>
    <xf numFmtId="0" fontId="32" fillId="2" borderId="0" xfId="5" applyFont="1" applyFill="1" applyBorder="1" applyAlignment="1">
      <alignment horizontal="right"/>
    </xf>
    <xf numFmtId="0" fontId="32" fillId="2" borderId="9" xfId="5" applyFont="1" applyFill="1" applyBorder="1" applyAlignment="1">
      <alignment horizontal="right"/>
    </xf>
    <xf numFmtId="0" fontId="34" fillId="2" borderId="8" xfId="5" applyFont="1" applyFill="1" applyBorder="1" applyAlignment="1">
      <alignment horizontal="left" vertical="center"/>
    </xf>
    <xf numFmtId="0" fontId="34" fillId="2" borderId="9" xfId="5" applyFont="1" applyFill="1" applyBorder="1" applyAlignment="1">
      <alignment horizontal="left" vertical="center"/>
    </xf>
    <xf numFmtId="0" fontId="34" fillId="0" borderId="30" xfId="5" applyFont="1" applyBorder="1" applyAlignment="1">
      <alignment horizontal="center" vertical="center"/>
    </xf>
    <xf numFmtId="0" fontId="34" fillId="0" borderId="31" xfId="5" applyFont="1" applyBorder="1" applyAlignment="1">
      <alignment horizontal="center" vertical="center"/>
    </xf>
    <xf numFmtId="0" fontId="34" fillId="0" borderId="35" xfId="5" applyFont="1" applyBorder="1" applyAlignment="1">
      <alignment horizontal="center" vertical="center"/>
    </xf>
    <xf numFmtId="0" fontId="32" fillId="2" borderId="5" xfId="5" applyFont="1" applyFill="1" applyBorder="1" applyAlignment="1">
      <alignment horizontal="center"/>
    </xf>
    <xf numFmtId="0" fontId="32" fillId="2" borderId="6" xfId="5" applyFont="1" applyFill="1" applyBorder="1" applyAlignment="1">
      <alignment horizontal="center"/>
    </xf>
    <xf numFmtId="0" fontId="32" fillId="2" borderId="7" xfId="5" applyFont="1" applyFill="1" applyBorder="1" applyAlignment="1">
      <alignment horizontal="center"/>
    </xf>
    <xf numFmtId="0" fontId="32" fillId="2" borderId="8" xfId="5" applyFont="1" applyFill="1" applyBorder="1" applyAlignment="1">
      <alignment horizontal="center"/>
    </xf>
    <xf numFmtId="0" fontId="32" fillId="2" borderId="0" xfId="5" applyFont="1" applyFill="1" applyBorder="1" applyAlignment="1">
      <alignment horizontal="center"/>
    </xf>
    <xf numFmtId="0" fontId="32" fillId="2" borderId="9" xfId="5" applyFont="1" applyFill="1" applyBorder="1" applyAlignment="1">
      <alignment horizontal="center"/>
    </xf>
    <xf numFmtId="0" fontId="33" fillId="2" borderId="30" xfId="5" applyFont="1" applyFill="1" applyBorder="1" applyAlignment="1">
      <alignment horizontal="center" vertical="center"/>
    </xf>
    <xf numFmtId="0" fontId="33" fillId="2" borderId="31" xfId="5" applyFont="1" applyFill="1" applyBorder="1" applyAlignment="1">
      <alignment horizontal="center" vertical="center"/>
    </xf>
    <xf numFmtId="0" fontId="33" fillId="2" borderId="35" xfId="5" applyFont="1" applyFill="1" applyBorder="1" applyAlignment="1">
      <alignment horizontal="center" vertical="center"/>
    </xf>
    <xf numFmtId="49" fontId="25" fillId="2" borderId="32" xfId="5" applyNumberFormat="1" applyFont="1" applyFill="1" applyBorder="1" applyAlignment="1">
      <alignment horizontal="left" vertical="center"/>
    </xf>
    <xf numFmtId="49" fontId="25" fillId="2" borderId="34" xfId="5" applyNumberFormat="1" applyFont="1" applyFill="1" applyBorder="1" applyAlignment="1">
      <alignment horizontal="left" vertical="center"/>
    </xf>
    <xf numFmtId="0" fontId="25" fillId="2" borderId="32" xfId="5" applyFont="1" applyFill="1" applyBorder="1" applyAlignment="1">
      <alignment horizontal="left" vertical="center"/>
    </xf>
    <xf numFmtId="0" fontId="25" fillId="2" borderId="33" xfId="5" applyFont="1" applyFill="1" applyBorder="1" applyAlignment="1">
      <alignment horizontal="left" vertical="center"/>
    </xf>
    <xf numFmtId="0" fontId="35" fillId="2" borderId="32" xfId="5" quotePrefix="1" applyFont="1" applyFill="1" applyBorder="1" applyAlignment="1">
      <alignment horizontal="center" vertical="center"/>
    </xf>
    <xf numFmtId="0" fontId="35" fillId="2" borderId="33" xfId="5" applyFont="1" applyFill="1" applyBorder="1" applyAlignment="1">
      <alignment horizontal="center" vertical="center"/>
    </xf>
    <xf numFmtId="14" fontId="35" fillId="2" borderId="32" xfId="5" quotePrefix="1" applyNumberFormat="1" applyFont="1" applyFill="1" applyBorder="1" applyAlignment="1">
      <alignment horizontal="center" vertical="center"/>
    </xf>
    <xf numFmtId="0" fontId="35" fillId="2" borderId="32" xfId="5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8" fillId="0" borderId="5" xfId="4" applyFont="1" applyBorder="1" applyAlignment="1">
      <alignment horizontal="right" vertical="center" wrapText="1"/>
    </xf>
    <xf numFmtId="0" fontId="18" fillId="0" borderId="6" xfId="4" applyFont="1" applyBorder="1" applyAlignment="1">
      <alignment horizontal="right" vertical="center" wrapText="1"/>
    </xf>
    <xf numFmtId="0" fontId="18" fillId="0" borderId="7" xfId="4" applyFont="1" applyBorder="1" applyAlignment="1">
      <alignment horizontal="right" vertical="center" wrapText="1"/>
    </xf>
    <xf numFmtId="0" fontId="19" fillId="2" borderId="28" xfId="0" applyFont="1" applyFill="1" applyBorder="1" applyAlignment="1">
      <alignment horizontal="right"/>
    </xf>
    <xf numFmtId="0" fontId="19" fillId="2" borderId="29" xfId="0" applyFont="1" applyFill="1" applyBorder="1" applyAlignment="1">
      <alignment horizontal="right"/>
    </xf>
    <xf numFmtId="0" fontId="19" fillId="2" borderId="27" xfId="0" applyFont="1" applyFill="1" applyBorder="1" applyAlignment="1">
      <alignment horizontal="right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4" fillId="3" borderId="1" xfId="0" applyFont="1" applyFill="1" applyBorder="1"/>
    <xf numFmtId="0" fontId="9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43" xfId="0" applyFont="1" applyBorder="1" applyAlignment="1">
      <alignment horizontal="center"/>
    </xf>
  </cellXfs>
  <cellStyles count="7">
    <cellStyle name="Comma 2" xfId="6"/>
    <cellStyle name="Normal" xfId="0" builtinId="0"/>
    <cellStyle name="Normal 2" xfId="1"/>
    <cellStyle name="Normal 3" xfId="2"/>
    <cellStyle name="Normal 4" xfId="3"/>
    <cellStyle name="Normal 5 3" xfId="5"/>
    <cellStyle name="Normal 7 2" xfId="4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30</xdr:row>
      <xdr:rowOff>196851</xdr:rowOff>
    </xdr:from>
    <xdr:to>
      <xdr:col>8</xdr:col>
      <xdr:colOff>1194512</xdr:colOff>
      <xdr:row>35</xdr:row>
      <xdr:rowOff>111312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778" t="24217" r="6151" b="21075"/>
        <a:stretch>
          <a:fillRect/>
        </a:stretch>
      </xdr:blipFill>
      <xdr:spPr>
        <a:xfrm>
          <a:off x="4146549" y="7264401"/>
          <a:ext cx="2479081" cy="888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3160152</xdr:colOff>
      <xdr:row>17</xdr:row>
      <xdr:rowOff>36286</xdr:rowOff>
    </xdr:from>
    <xdr:to>
      <xdr:col>5</xdr:col>
      <xdr:colOff>110008</xdr:colOff>
      <xdr:row>23</xdr:row>
      <xdr:rowOff>65444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5967" t="22269" r="4933" b="14380"/>
        <a:stretch>
          <a:fillRect/>
        </a:stretch>
      </xdr:blipFill>
      <xdr:spPr>
        <a:xfrm>
          <a:off x="4026061" y="7240650"/>
          <a:ext cx="5135583" cy="17725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423947</xdr:colOff>
      <xdr:row>49</xdr:row>
      <xdr:rowOff>10583</xdr:rowOff>
    </xdr:from>
    <xdr:to>
      <xdr:col>26</xdr:col>
      <xdr:colOff>932275</xdr:colOff>
      <xdr:row>60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5967" t="22269" r="4933" b="14380"/>
        <a:stretch>
          <a:fillRect/>
        </a:stretch>
      </xdr:blipFill>
      <xdr:spPr>
        <a:xfrm>
          <a:off x="19156447" y="31432500"/>
          <a:ext cx="5694161" cy="2000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1034116</xdr:colOff>
      <xdr:row>20</xdr:row>
      <xdr:rowOff>50346</xdr:rowOff>
    </xdr:from>
    <xdr:to>
      <xdr:col>5</xdr:col>
      <xdr:colOff>610647</xdr:colOff>
      <xdr:row>25</xdr:row>
      <xdr:rowOff>173991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5967" t="22269" r="4933" b="14380"/>
        <a:stretch>
          <a:fillRect/>
        </a:stretch>
      </xdr:blipFill>
      <xdr:spPr>
        <a:xfrm>
          <a:off x="2503687" y="7643132"/>
          <a:ext cx="3640531" cy="11759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RD\2.CONTRACT\salary\2025\DEC'25\UNIT%203\JOY%20MANPOWER%20SALARY%20STATEMENT%20FOR%20THE%20MONTH%20OF%20DEC'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 WAGES"/>
      <sheetName val="INVOICE"/>
      <sheetName val="BREAKUP "/>
      <sheetName val="D WAGES"/>
      <sheetName val="Out Side Room"/>
    </sheetNames>
    <sheetDataSet>
      <sheetData sheetId="0"/>
      <sheetData sheetId="1"/>
      <sheetData sheetId="2"/>
      <sheetData sheetId="3">
        <row r="4">
          <cell r="B4">
            <v>20385</v>
          </cell>
          <cell r="C4" t="str">
            <v>SAKTHI S</v>
          </cell>
          <cell r="D4" t="str">
            <v>Assembly</v>
          </cell>
          <cell r="E4" t="str">
            <v>101432021832</v>
          </cell>
          <cell r="F4">
            <v>5608897715</v>
          </cell>
          <cell r="G4">
            <v>410</v>
          </cell>
          <cell r="H4">
            <v>25</v>
          </cell>
          <cell r="I4">
            <v>0</v>
          </cell>
          <cell r="J4">
            <v>25</v>
          </cell>
          <cell r="K4">
            <v>7175</v>
          </cell>
          <cell r="L4">
            <v>3075</v>
          </cell>
          <cell r="M4">
            <v>10250</v>
          </cell>
          <cell r="N4">
            <v>39</v>
          </cell>
          <cell r="O4">
            <v>1999</v>
          </cell>
          <cell r="P4">
            <v>0</v>
          </cell>
        </row>
        <row r="5">
          <cell r="B5">
            <v>21227</v>
          </cell>
          <cell r="C5" t="str">
            <v>SANGEETHA</v>
          </cell>
          <cell r="D5" t="str">
            <v>Fetling</v>
          </cell>
          <cell r="E5" t="str">
            <v>101809711684</v>
          </cell>
          <cell r="F5">
            <v>5609382332</v>
          </cell>
          <cell r="G5">
            <v>430</v>
          </cell>
          <cell r="H5">
            <v>23</v>
          </cell>
          <cell r="I5">
            <v>0</v>
          </cell>
          <cell r="J5">
            <v>23</v>
          </cell>
          <cell r="K5">
            <v>6923</v>
          </cell>
          <cell r="L5">
            <v>2967</v>
          </cell>
          <cell r="M5">
            <v>9890</v>
          </cell>
          <cell r="N5">
            <v>21</v>
          </cell>
          <cell r="O5">
            <v>1129</v>
          </cell>
          <cell r="P5">
            <v>0</v>
          </cell>
        </row>
        <row r="6">
          <cell r="B6">
            <v>21295</v>
          </cell>
          <cell r="C6" t="str">
            <v>JAYAMARY SOOSAIYAPPAN</v>
          </cell>
          <cell r="D6" t="str">
            <v>Assembly</v>
          </cell>
          <cell r="E6" t="str">
            <v>101828634941</v>
          </cell>
          <cell r="F6">
            <v>5609454517</v>
          </cell>
          <cell r="G6">
            <v>410</v>
          </cell>
          <cell r="H6">
            <v>22</v>
          </cell>
          <cell r="I6">
            <v>0</v>
          </cell>
          <cell r="J6">
            <v>22</v>
          </cell>
          <cell r="K6">
            <v>6314</v>
          </cell>
          <cell r="L6">
            <v>2706</v>
          </cell>
          <cell r="M6">
            <v>9020</v>
          </cell>
          <cell r="N6">
            <v>11</v>
          </cell>
          <cell r="O6">
            <v>564</v>
          </cell>
          <cell r="P6">
            <v>0</v>
          </cell>
        </row>
        <row r="7">
          <cell r="B7">
            <v>21332</v>
          </cell>
          <cell r="C7" t="str">
            <v>KAVITHA KANAGARAJ</v>
          </cell>
          <cell r="D7" t="str">
            <v>Assembly</v>
          </cell>
          <cell r="E7" t="str">
            <v>101720171633</v>
          </cell>
          <cell r="F7">
            <v>5608950778</v>
          </cell>
          <cell r="G7">
            <v>410</v>
          </cell>
          <cell r="H7">
            <v>16</v>
          </cell>
          <cell r="I7">
            <v>0</v>
          </cell>
          <cell r="J7">
            <v>16</v>
          </cell>
          <cell r="K7">
            <v>4592</v>
          </cell>
          <cell r="L7">
            <v>1968</v>
          </cell>
          <cell r="M7">
            <v>6560</v>
          </cell>
          <cell r="N7">
            <v>10</v>
          </cell>
          <cell r="O7">
            <v>513</v>
          </cell>
          <cell r="P7">
            <v>0</v>
          </cell>
        </row>
        <row r="8">
          <cell r="B8">
            <v>21481</v>
          </cell>
          <cell r="C8" t="str">
            <v>INDHUMATHI</v>
          </cell>
          <cell r="D8" t="str">
            <v>Assembly</v>
          </cell>
          <cell r="E8" t="str">
            <v>101884388735</v>
          </cell>
          <cell r="F8">
            <v>5609350784</v>
          </cell>
          <cell r="G8">
            <v>410</v>
          </cell>
          <cell r="H8">
            <v>17</v>
          </cell>
          <cell r="I8">
            <v>0</v>
          </cell>
          <cell r="J8">
            <v>17</v>
          </cell>
          <cell r="K8">
            <v>4879</v>
          </cell>
          <cell r="L8">
            <v>2091</v>
          </cell>
          <cell r="M8">
            <v>6970</v>
          </cell>
          <cell r="N8">
            <v>13</v>
          </cell>
          <cell r="O8">
            <v>666</v>
          </cell>
          <cell r="P8">
            <v>0</v>
          </cell>
        </row>
        <row r="9">
          <cell r="B9">
            <v>21515</v>
          </cell>
          <cell r="C9" t="str">
            <v>VANAJA</v>
          </cell>
          <cell r="D9" t="str">
            <v>Assembly</v>
          </cell>
          <cell r="E9" t="str">
            <v>101889532368</v>
          </cell>
          <cell r="F9">
            <v>5609723095</v>
          </cell>
          <cell r="G9">
            <v>410</v>
          </cell>
          <cell r="H9">
            <v>21</v>
          </cell>
          <cell r="I9">
            <v>0</v>
          </cell>
          <cell r="J9">
            <v>21</v>
          </cell>
          <cell r="K9">
            <v>6027</v>
          </cell>
          <cell r="L9">
            <v>2583</v>
          </cell>
          <cell r="M9">
            <v>8610</v>
          </cell>
          <cell r="N9">
            <v>12</v>
          </cell>
          <cell r="O9">
            <v>615</v>
          </cell>
          <cell r="P9">
            <v>0</v>
          </cell>
        </row>
        <row r="10">
          <cell r="B10">
            <v>21517</v>
          </cell>
          <cell r="C10" t="str">
            <v>ANANTHI MUTHURAMALINGAM</v>
          </cell>
          <cell r="D10" t="str">
            <v>Assembly</v>
          </cell>
          <cell r="E10" t="str">
            <v>101763385167</v>
          </cell>
          <cell r="F10">
            <v>5609761587</v>
          </cell>
          <cell r="G10">
            <v>410</v>
          </cell>
          <cell r="H10">
            <v>24</v>
          </cell>
          <cell r="I10">
            <v>0</v>
          </cell>
          <cell r="J10">
            <v>24</v>
          </cell>
          <cell r="K10">
            <v>6888</v>
          </cell>
          <cell r="L10">
            <v>2952</v>
          </cell>
          <cell r="M10">
            <v>9840</v>
          </cell>
          <cell r="N10">
            <v>23</v>
          </cell>
          <cell r="O10">
            <v>1179</v>
          </cell>
          <cell r="P10">
            <v>0</v>
          </cell>
        </row>
        <row r="11">
          <cell r="B11">
            <v>21555</v>
          </cell>
          <cell r="C11" t="str">
            <v>PANDIAN  MARUTHAN</v>
          </cell>
          <cell r="D11" t="str">
            <v>Stores</v>
          </cell>
          <cell r="E11" t="str">
            <v>101919379243</v>
          </cell>
          <cell r="F11">
            <v>5609864060</v>
          </cell>
          <cell r="G11">
            <v>440</v>
          </cell>
          <cell r="H11">
            <v>24</v>
          </cell>
          <cell r="I11">
            <v>0</v>
          </cell>
          <cell r="J11">
            <v>24</v>
          </cell>
          <cell r="K11">
            <v>7392</v>
          </cell>
          <cell r="L11">
            <v>3168</v>
          </cell>
          <cell r="M11">
            <v>10560</v>
          </cell>
          <cell r="N11">
            <v>90</v>
          </cell>
          <cell r="O11">
            <v>4950</v>
          </cell>
          <cell r="P11">
            <v>460</v>
          </cell>
        </row>
        <row r="12">
          <cell r="B12">
            <v>21588</v>
          </cell>
          <cell r="C12" t="str">
            <v>BHUVANESHWARI</v>
          </cell>
          <cell r="D12" t="str">
            <v>Assembly</v>
          </cell>
          <cell r="E12" t="str">
            <v>101868204007</v>
          </cell>
          <cell r="F12">
            <v>5609942893</v>
          </cell>
          <cell r="G12">
            <v>410</v>
          </cell>
          <cell r="H12">
            <v>18</v>
          </cell>
          <cell r="I12">
            <v>0</v>
          </cell>
          <cell r="J12">
            <v>18</v>
          </cell>
          <cell r="K12">
            <v>5166</v>
          </cell>
          <cell r="L12">
            <v>2214</v>
          </cell>
          <cell r="M12">
            <v>7380</v>
          </cell>
          <cell r="N12">
            <v>8</v>
          </cell>
          <cell r="O12">
            <v>410</v>
          </cell>
          <cell r="P12">
            <v>0</v>
          </cell>
        </row>
        <row r="13">
          <cell r="B13">
            <v>21710</v>
          </cell>
          <cell r="C13" t="str">
            <v>MURUGESWARI BALAJI</v>
          </cell>
          <cell r="D13" t="str">
            <v>Assembly</v>
          </cell>
          <cell r="E13" t="str">
            <v>101760758089</v>
          </cell>
          <cell r="F13">
            <v>5610287527</v>
          </cell>
          <cell r="G13">
            <v>410</v>
          </cell>
          <cell r="H13">
            <v>25</v>
          </cell>
          <cell r="I13">
            <v>0</v>
          </cell>
          <cell r="J13">
            <v>25</v>
          </cell>
          <cell r="K13">
            <v>7175</v>
          </cell>
          <cell r="L13">
            <v>3075</v>
          </cell>
          <cell r="M13">
            <v>10250</v>
          </cell>
          <cell r="N13">
            <v>39</v>
          </cell>
          <cell r="O13">
            <v>1999</v>
          </cell>
          <cell r="P13">
            <v>0</v>
          </cell>
        </row>
        <row r="14">
          <cell r="B14">
            <v>21713</v>
          </cell>
          <cell r="C14" t="str">
            <v>MUNESHWAR SOREN</v>
          </cell>
          <cell r="D14" t="str">
            <v>IMD</v>
          </cell>
          <cell r="E14" t="str">
            <v>101970318746</v>
          </cell>
          <cell r="F14">
            <v>5610093217</v>
          </cell>
          <cell r="G14">
            <v>450</v>
          </cell>
          <cell r="H14">
            <v>22</v>
          </cell>
          <cell r="I14">
            <v>0</v>
          </cell>
          <cell r="J14">
            <v>22</v>
          </cell>
          <cell r="K14">
            <v>6930</v>
          </cell>
          <cell r="L14">
            <v>2970</v>
          </cell>
          <cell r="M14">
            <v>9900</v>
          </cell>
          <cell r="N14">
            <v>100</v>
          </cell>
          <cell r="O14">
            <v>5625</v>
          </cell>
          <cell r="P14">
            <v>500</v>
          </cell>
        </row>
        <row r="15">
          <cell r="B15">
            <v>22042</v>
          </cell>
          <cell r="C15" t="str">
            <v>GOVINDARAJ ARUMUGAM</v>
          </cell>
          <cell r="D15" t="str">
            <v>IMD</v>
          </cell>
          <cell r="E15" t="str">
            <v>102085941672</v>
          </cell>
          <cell r="F15">
            <v>5610654970</v>
          </cell>
          <cell r="G15">
            <v>450</v>
          </cell>
          <cell r="H15">
            <v>18</v>
          </cell>
          <cell r="I15">
            <v>0</v>
          </cell>
          <cell r="J15">
            <v>18</v>
          </cell>
          <cell r="K15">
            <v>5670</v>
          </cell>
          <cell r="L15">
            <v>2430</v>
          </cell>
          <cell r="M15">
            <v>8100</v>
          </cell>
          <cell r="N15">
            <v>76</v>
          </cell>
          <cell r="O15">
            <v>4275</v>
          </cell>
          <cell r="P15">
            <v>380</v>
          </cell>
        </row>
        <row r="16">
          <cell r="B16">
            <v>22050</v>
          </cell>
          <cell r="C16" t="str">
            <v>ANITHA SURESHMUTHU</v>
          </cell>
          <cell r="D16" t="str">
            <v>Assembly</v>
          </cell>
          <cell r="E16" t="str">
            <v>101957103325</v>
          </cell>
          <cell r="F16">
            <v>5610062207</v>
          </cell>
          <cell r="G16">
            <v>410</v>
          </cell>
          <cell r="H16">
            <v>24</v>
          </cell>
          <cell r="I16">
            <v>0</v>
          </cell>
          <cell r="J16">
            <v>24</v>
          </cell>
          <cell r="K16">
            <v>6888</v>
          </cell>
          <cell r="L16">
            <v>2952</v>
          </cell>
          <cell r="M16">
            <v>9840</v>
          </cell>
          <cell r="N16">
            <v>38</v>
          </cell>
          <cell r="O16">
            <v>1948</v>
          </cell>
          <cell r="P16">
            <v>0</v>
          </cell>
        </row>
        <row r="17">
          <cell r="B17">
            <v>22103</v>
          </cell>
          <cell r="C17" t="str">
            <v>SUGANTHI SHANKAR</v>
          </cell>
          <cell r="D17" t="str">
            <v>Assembly</v>
          </cell>
          <cell r="E17" t="str">
            <v>101281287012</v>
          </cell>
          <cell r="F17">
            <v>5610774057</v>
          </cell>
          <cell r="G17">
            <v>410</v>
          </cell>
          <cell r="H17">
            <v>9</v>
          </cell>
          <cell r="I17">
            <v>0</v>
          </cell>
          <cell r="J17">
            <v>9</v>
          </cell>
          <cell r="K17">
            <v>2583</v>
          </cell>
          <cell r="L17">
            <v>1107</v>
          </cell>
          <cell r="M17">
            <v>3690</v>
          </cell>
          <cell r="N17">
            <v>9</v>
          </cell>
          <cell r="O17">
            <v>461</v>
          </cell>
        </row>
        <row r="18">
          <cell r="B18">
            <v>22104</v>
          </cell>
          <cell r="C18" t="str">
            <v>VIJAYA LAKSHMI</v>
          </cell>
          <cell r="D18" t="str">
            <v>Assembly</v>
          </cell>
          <cell r="E18" t="str">
            <v>101541917783</v>
          </cell>
          <cell r="F18">
            <v>5608186616</v>
          </cell>
          <cell r="G18">
            <v>410</v>
          </cell>
          <cell r="H18">
            <v>22</v>
          </cell>
          <cell r="I18">
            <v>0</v>
          </cell>
          <cell r="J18">
            <v>22</v>
          </cell>
          <cell r="K18">
            <v>6314</v>
          </cell>
          <cell r="L18">
            <v>2706</v>
          </cell>
          <cell r="M18">
            <v>9020</v>
          </cell>
          <cell r="N18">
            <v>14</v>
          </cell>
          <cell r="O18">
            <v>718</v>
          </cell>
          <cell r="P18">
            <v>0</v>
          </cell>
        </row>
        <row r="19">
          <cell r="B19">
            <v>22111</v>
          </cell>
          <cell r="C19" t="str">
            <v>INDHUMATHI</v>
          </cell>
          <cell r="D19" t="str">
            <v>Assembly</v>
          </cell>
          <cell r="E19" t="str">
            <v>101709340045</v>
          </cell>
          <cell r="F19">
            <v>5610992415</v>
          </cell>
          <cell r="G19">
            <v>410</v>
          </cell>
          <cell r="H19">
            <v>22</v>
          </cell>
          <cell r="I19">
            <v>0</v>
          </cell>
          <cell r="J19">
            <v>22</v>
          </cell>
          <cell r="K19">
            <v>6314</v>
          </cell>
          <cell r="L19">
            <v>2706</v>
          </cell>
          <cell r="M19">
            <v>9020</v>
          </cell>
          <cell r="N19">
            <v>12</v>
          </cell>
          <cell r="O19">
            <v>615</v>
          </cell>
          <cell r="P19">
            <v>0</v>
          </cell>
        </row>
        <row r="20">
          <cell r="B20">
            <v>22115</v>
          </cell>
          <cell r="C20" t="str">
            <v>DEVI</v>
          </cell>
          <cell r="D20" t="str">
            <v>Assembly</v>
          </cell>
          <cell r="E20" t="str">
            <v>102085929890</v>
          </cell>
          <cell r="F20">
            <v>5610654825</v>
          </cell>
          <cell r="G20">
            <v>410</v>
          </cell>
          <cell r="H20">
            <v>24</v>
          </cell>
          <cell r="I20">
            <v>0</v>
          </cell>
          <cell r="J20">
            <v>24</v>
          </cell>
          <cell r="K20">
            <v>6888</v>
          </cell>
          <cell r="L20">
            <v>2952</v>
          </cell>
          <cell r="M20">
            <v>9840</v>
          </cell>
          <cell r="N20">
            <v>32</v>
          </cell>
          <cell r="O20">
            <v>1640</v>
          </cell>
          <cell r="P20">
            <v>0</v>
          </cell>
        </row>
        <row r="21">
          <cell r="B21">
            <v>22133</v>
          </cell>
          <cell r="C21" t="str">
            <v>RAMACHANDRAN</v>
          </cell>
          <cell r="D21" t="str">
            <v>AUTOMATION</v>
          </cell>
          <cell r="E21" t="str">
            <v>101815134082</v>
          </cell>
          <cell r="F21">
            <v>5611011970</v>
          </cell>
          <cell r="G21">
            <v>430</v>
          </cell>
          <cell r="H21">
            <v>23</v>
          </cell>
          <cell r="I21">
            <v>0</v>
          </cell>
          <cell r="J21">
            <v>23</v>
          </cell>
          <cell r="K21">
            <v>6923</v>
          </cell>
          <cell r="L21">
            <v>2967</v>
          </cell>
          <cell r="M21">
            <v>9890</v>
          </cell>
          <cell r="N21">
            <v>96</v>
          </cell>
          <cell r="O21">
            <v>5160</v>
          </cell>
          <cell r="P21">
            <v>460</v>
          </cell>
        </row>
        <row r="22">
          <cell r="B22">
            <v>22146</v>
          </cell>
          <cell r="C22" t="str">
            <v>VASANTHAMANI</v>
          </cell>
          <cell r="D22" t="str">
            <v>Fetling</v>
          </cell>
          <cell r="G22">
            <v>430</v>
          </cell>
          <cell r="H22">
            <v>20</v>
          </cell>
          <cell r="I22">
            <v>0</v>
          </cell>
          <cell r="J22">
            <v>20</v>
          </cell>
          <cell r="K22">
            <v>6020</v>
          </cell>
          <cell r="L22">
            <v>2580</v>
          </cell>
          <cell r="M22">
            <v>8600</v>
          </cell>
          <cell r="N22">
            <v>23</v>
          </cell>
          <cell r="O22">
            <v>1236</v>
          </cell>
          <cell r="P22">
            <v>0</v>
          </cell>
        </row>
        <row r="23">
          <cell r="B23">
            <v>22149</v>
          </cell>
          <cell r="C23" t="str">
            <v>DEEPA</v>
          </cell>
          <cell r="D23" t="str">
            <v>Assembly</v>
          </cell>
          <cell r="G23">
            <v>410</v>
          </cell>
          <cell r="H23">
            <v>24</v>
          </cell>
          <cell r="I23">
            <v>0</v>
          </cell>
          <cell r="J23">
            <v>24</v>
          </cell>
          <cell r="K23">
            <v>6888</v>
          </cell>
          <cell r="L23">
            <v>2952</v>
          </cell>
          <cell r="M23">
            <v>9840</v>
          </cell>
          <cell r="N23">
            <v>14</v>
          </cell>
          <cell r="O23">
            <v>718</v>
          </cell>
          <cell r="P23">
            <v>0</v>
          </cell>
        </row>
        <row r="24">
          <cell r="B24">
            <v>22168</v>
          </cell>
          <cell r="C24" t="str">
            <v>T.VINITHA</v>
          </cell>
          <cell r="D24" t="str">
            <v>Assembly</v>
          </cell>
          <cell r="G24">
            <v>410</v>
          </cell>
          <cell r="H24">
            <v>24</v>
          </cell>
          <cell r="I24">
            <v>0</v>
          </cell>
          <cell r="J24">
            <v>24</v>
          </cell>
          <cell r="K24">
            <v>6888</v>
          </cell>
          <cell r="L24">
            <v>2952</v>
          </cell>
          <cell r="M24">
            <v>9840</v>
          </cell>
          <cell r="N24">
            <v>31</v>
          </cell>
          <cell r="O24">
            <v>1589</v>
          </cell>
          <cell r="P24">
            <v>0</v>
          </cell>
        </row>
        <row r="25">
          <cell r="B25">
            <v>22174</v>
          </cell>
          <cell r="C25" t="str">
            <v>JITHENDRA KUMAR</v>
          </cell>
          <cell r="D25" t="str">
            <v>IMD</v>
          </cell>
          <cell r="G25">
            <v>450</v>
          </cell>
          <cell r="H25">
            <v>13</v>
          </cell>
          <cell r="I25">
            <v>0</v>
          </cell>
          <cell r="J25">
            <v>13</v>
          </cell>
          <cell r="K25">
            <v>4095</v>
          </cell>
          <cell r="L25">
            <v>1755</v>
          </cell>
          <cell r="M25">
            <v>5850</v>
          </cell>
          <cell r="N25">
            <v>52</v>
          </cell>
          <cell r="O25">
            <v>2925</v>
          </cell>
        </row>
        <row r="26">
          <cell r="B26">
            <v>22176</v>
          </cell>
          <cell r="C26" t="str">
            <v>HEMALATHA</v>
          </cell>
          <cell r="D26" t="str">
            <v>Assembly</v>
          </cell>
          <cell r="G26">
            <v>410</v>
          </cell>
          <cell r="H26">
            <v>22</v>
          </cell>
          <cell r="I26">
            <v>0</v>
          </cell>
          <cell r="J26">
            <v>22</v>
          </cell>
          <cell r="K26">
            <v>6314</v>
          </cell>
          <cell r="L26">
            <v>2706</v>
          </cell>
          <cell r="M26">
            <v>9020</v>
          </cell>
          <cell r="N26">
            <v>21</v>
          </cell>
          <cell r="O26">
            <v>1076</v>
          </cell>
          <cell r="P26">
            <v>0</v>
          </cell>
        </row>
        <row r="27">
          <cell r="B27">
            <v>22201</v>
          </cell>
          <cell r="C27" t="str">
            <v>RAMJIT KUMAR</v>
          </cell>
          <cell r="D27" t="str">
            <v>IMD</v>
          </cell>
          <cell r="G27">
            <v>450</v>
          </cell>
          <cell r="H27">
            <v>10</v>
          </cell>
          <cell r="I27">
            <v>0</v>
          </cell>
          <cell r="J27">
            <v>10</v>
          </cell>
          <cell r="K27">
            <v>3150</v>
          </cell>
          <cell r="L27">
            <v>1350</v>
          </cell>
          <cell r="M27">
            <v>4500</v>
          </cell>
          <cell r="N27">
            <v>40</v>
          </cell>
          <cell r="O27">
            <v>2250</v>
          </cell>
        </row>
        <row r="28">
          <cell r="B28">
            <v>22203</v>
          </cell>
          <cell r="C28" t="str">
            <v>RAJU KUMAR</v>
          </cell>
          <cell r="D28" t="str">
            <v>IMD</v>
          </cell>
          <cell r="G28">
            <v>450</v>
          </cell>
          <cell r="H28">
            <v>6.5</v>
          </cell>
          <cell r="I28">
            <v>0</v>
          </cell>
          <cell r="J28">
            <v>6.5</v>
          </cell>
          <cell r="K28">
            <v>2048</v>
          </cell>
          <cell r="L28">
            <v>878</v>
          </cell>
          <cell r="M28">
            <v>2926</v>
          </cell>
          <cell r="N28">
            <v>28</v>
          </cell>
          <cell r="O28">
            <v>1575</v>
          </cell>
        </row>
        <row r="29">
          <cell r="B29">
            <v>22204</v>
          </cell>
          <cell r="C29" t="str">
            <v>SANJAY KUMAR</v>
          </cell>
          <cell r="D29" t="str">
            <v>IMD</v>
          </cell>
          <cell r="G29">
            <v>450</v>
          </cell>
          <cell r="H29">
            <v>23</v>
          </cell>
          <cell r="I29">
            <v>0</v>
          </cell>
          <cell r="J29">
            <v>23</v>
          </cell>
          <cell r="K29">
            <v>7245</v>
          </cell>
          <cell r="L29">
            <v>3105</v>
          </cell>
          <cell r="M29">
            <v>10350</v>
          </cell>
          <cell r="N29">
            <v>89</v>
          </cell>
          <cell r="O29">
            <v>5006</v>
          </cell>
          <cell r="P29">
            <v>440</v>
          </cell>
        </row>
        <row r="30">
          <cell r="B30">
            <v>22215</v>
          </cell>
          <cell r="C30" t="str">
            <v>SUNIL SAWAYNAM</v>
          </cell>
          <cell r="D30" t="str">
            <v>Assembly</v>
          </cell>
          <cell r="G30">
            <v>430</v>
          </cell>
          <cell r="H30">
            <v>21</v>
          </cell>
          <cell r="I30">
            <v>0</v>
          </cell>
          <cell r="J30">
            <v>21</v>
          </cell>
          <cell r="K30">
            <v>6321</v>
          </cell>
          <cell r="L30">
            <v>2709</v>
          </cell>
          <cell r="M30">
            <v>9030</v>
          </cell>
          <cell r="N30">
            <v>93</v>
          </cell>
          <cell r="O30">
            <v>4999</v>
          </cell>
          <cell r="P30">
            <v>540</v>
          </cell>
        </row>
        <row r="31">
          <cell r="B31">
            <v>22217</v>
          </cell>
          <cell r="C31" t="str">
            <v>RANJEET SAWAIYAM</v>
          </cell>
          <cell r="D31" t="str">
            <v>IMD</v>
          </cell>
          <cell r="G31">
            <v>450</v>
          </cell>
          <cell r="H31">
            <v>19</v>
          </cell>
          <cell r="I31">
            <v>0</v>
          </cell>
          <cell r="J31">
            <v>19</v>
          </cell>
          <cell r="K31">
            <v>5985</v>
          </cell>
          <cell r="L31">
            <v>2565</v>
          </cell>
          <cell r="M31">
            <v>8550</v>
          </cell>
          <cell r="N31">
            <v>92</v>
          </cell>
          <cell r="O31">
            <v>5175</v>
          </cell>
          <cell r="P31">
            <v>200</v>
          </cell>
        </row>
        <row r="32">
          <cell r="B32">
            <v>22222</v>
          </cell>
          <cell r="C32" t="str">
            <v>HAKIM MARANDI</v>
          </cell>
          <cell r="D32" t="str">
            <v>IMD</v>
          </cell>
          <cell r="G32">
            <v>450</v>
          </cell>
          <cell r="H32">
            <v>25</v>
          </cell>
          <cell r="I32">
            <v>0</v>
          </cell>
          <cell r="J32">
            <v>25</v>
          </cell>
          <cell r="K32">
            <v>7875</v>
          </cell>
          <cell r="L32">
            <v>3375</v>
          </cell>
          <cell r="M32">
            <v>11250</v>
          </cell>
          <cell r="N32">
            <v>48</v>
          </cell>
          <cell r="O32">
            <v>2700</v>
          </cell>
          <cell r="P32">
            <v>240</v>
          </cell>
        </row>
        <row r="33">
          <cell r="B33">
            <v>22223</v>
          </cell>
          <cell r="C33" t="str">
            <v>HARIM HEMBRAM</v>
          </cell>
          <cell r="D33" t="str">
            <v>IMD</v>
          </cell>
          <cell r="G33">
            <v>450</v>
          </cell>
          <cell r="H33">
            <v>23</v>
          </cell>
          <cell r="I33">
            <v>0</v>
          </cell>
          <cell r="J33">
            <v>23</v>
          </cell>
          <cell r="K33">
            <v>7245</v>
          </cell>
          <cell r="L33">
            <v>3105</v>
          </cell>
          <cell r="M33">
            <v>10350</v>
          </cell>
          <cell r="N33">
            <v>56</v>
          </cell>
          <cell r="O33">
            <v>3150</v>
          </cell>
          <cell r="P33">
            <v>240</v>
          </cell>
        </row>
        <row r="34">
          <cell r="B34">
            <v>22224</v>
          </cell>
          <cell r="C34" t="str">
            <v>GUDDU KUMAR</v>
          </cell>
          <cell r="D34" t="str">
            <v>AUTOMATION</v>
          </cell>
          <cell r="G34">
            <v>430</v>
          </cell>
          <cell r="H34">
            <v>11</v>
          </cell>
          <cell r="I34">
            <v>0</v>
          </cell>
          <cell r="J34">
            <v>11</v>
          </cell>
          <cell r="K34">
            <v>3311</v>
          </cell>
          <cell r="L34">
            <v>1419</v>
          </cell>
          <cell r="M34">
            <v>4730</v>
          </cell>
          <cell r="N34">
            <v>0</v>
          </cell>
          <cell r="O34">
            <v>0</v>
          </cell>
        </row>
        <row r="35">
          <cell r="B35">
            <v>22225</v>
          </cell>
          <cell r="C35" t="str">
            <v>SANTHOSH MANJHI</v>
          </cell>
          <cell r="D35" t="str">
            <v>IMD</v>
          </cell>
          <cell r="G35">
            <v>450</v>
          </cell>
          <cell r="H35">
            <v>21</v>
          </cell>
          <cell r="I35">
            <v>0</v>
          </cell>
          <cell r="J35">
            <v>21</v>
          </cell>
          <cell r="K35">
            <v>6615</v>
          </cell>
          <cell r="L35">
            <v>2835</v>
          </cell>
          <cell r="M35">
            <v>9450</v>
          </cell>
          <cell r="N35">
            <v>92</v>
          </cell>
          <cell r="O35">
            <v>5175</v>
          </cell>
          <cell r="P35">
            <v>260</v>
          </cell>
        </row>
        <row r="36">
          <cell r="B36">
            <v>22227</v>
          </cell>
          <cell r="C36" t="str">
            <v>BIPIN KAIBART</v>
          </cell>
          <cell r="D36" t="str">
            <v>IMD</v>
          </cell>
          <cell r="G36">
            <v>450</v>
          </cell>
          <cell r="H36">
            <v>6</v>
          </cell>
          <cell r="I36">
            <v>0</v>
          </cell>
          <cell r="J36">
            <v>6</v>
          </cell>
          <cell r="K36">
            <v>1890</v>
          </cell>
          <cell r="L36">
            <v>810</v>
          </cell>
          <cell r="M36">
            <v>2700</v>
          </cell>
          <cell r="N36">
            <v>28</v>
          </cell>
          <cell r="O36">
            <v>1575</v>
          </cell>
        </row>
        <row r="37">
          <cell r="B37">
            <v>22228</v>
          </cell>
          <cell r="C37" t="str">
            <v>MAHESHWAR KAIBART</v>
          </cell>
          <cell r="D37" t="str">
            <v>IMD</v>
          </cell>
          <cell r="G37">
            <v>450</v>
          </cell>
          <cell r="H37">
            <v>5</v>
          </cell>
          <cell r="I37">
            <v>0</v>
          </cell>
          <cell r="J37">
            <v>5</v>
          </cell>
          <cell r="K37">
            <v>1575</v>
          </cell>
          <cell r="L37">
            <v>675</v>
          </cell>
          <cell r="M37">
            <v>2250</v>
          </cell>
          <cell r="N37">
            <v>22</v>
          </cell>
          <cell r="O37">
            <v>1238</v>
          </cell>
        </row>
        <row r="38">
          <cell r="B38">
            <v>22229</v>
          </cell>
          <cell r="C38" t="str">
            <v>PREM KUMAR</v>
          </cell>
          <cell r="D38" t="str">
            <v>IMD</v>
          </cell>
          <cell r="G38">
            <v>450</v>
          </cell>
          <cell r="H38">
            <v>22</v>
          </cell>
          <cell r="I38">
            <v>0</v>
          </cell>
          <cell r="J38">
            <v>22</v>
          </cell>
          <cell r="K38">
            <v>6930</v>
          </cell>
          <cell r="L38">
            <v>2970</v>
          </cell>
          <cell r="M38">
            <v>9900</v>
          </cell>
          <cell r="N38">
            <v>104</v>
          </cell>
          <cell r="O38">
            <v>5850</v>
          </cell>
          <cell r="P38">
            <v>520</v>
          </cell>
        </row>
        <row r="39">
          <cell r="B39">
            <v>22230</v>
          </cell>
          <cell r="C39" t="str">
            <v>TRISHUKAI BART</v>
          </cell>
          <cell r="D39" t="str">
            <v>IMD</v>
          </cell>
          <cell r="G39">
            <v>450</v>
          </cell>
          <cell r="H39">
            <v>2</v>
          </cell>
          <cell r="I39">
            <v>0</v>
          </cell>
          <cell r="J39">
            <v>2</v>
          </cell>
          <cell r="K39">
            <v>630</v>
          </cell>
          <cell r="L39">
            <v>270</v>
          </cell>
          <cell r="M39">
            <v>900</v>
          </cell>
          <cell r="N39">
            <v>7</v>
          </cell>
          <cell r="O39">
            <v>394</v>
          </cell>
        </row>
        <row r="40">
          <cell r="B40">
            <v>22231</v>
          </cell>
          <cell r="C40" t="str">
            <v>SATPATI KAIBART</v>
          </cell>
          <cell r="D40" t="str">
            <v>IMD</v>
          </cell>
          <cell r="G40">
            <v>450</v>
          </cell>
          <cell r="H40">
            <v>23</v>
          </cell>
          <cell r="I40">
            <v>0</v>
          </cell>
          <cell r="J40">
            <v>23</v>
          </cell>
          <cell r="K40">
            <v>7245</v>
          </cell>
          <cell r="L40">
            <v>3105</v>
          </cell>
          <cell r="M40">
            <v>10350</v>
          </cell>
          <cell r="N40">
            <v>108</v>
          </cell>
          <cell r="O40">
            <v>6075</v>
          </cell>
          <cell r="P40">
            <v>40</v>
          </cell>
        </row>
        <row r="41">
          <cell r="B41">
            <v>22232</v>
          </cell>
          <cell r="C41" t="str">
            <v>MANOHAR KARAN</v>
          </cell>
          <cell r="D41" t="str">
            <v>IMD</v>
          </cell>
          <cell r="G41">
            <v>450</v>
          </cell>
          <cell r="H41">
            <v>24</v>
          </cell>
          <cell r="I41">
            <v>0</v>
          </cell>
          <cell r="J41">
            <v>24</v>
          </cell>
          <cell r="K41">
            <v>7560</v>
          </cell>
          <cell r="L41">
            <v>3240</v>
          </cell>
          <cell r="M41">
            <v>10800</v>
          </cell>
          <cell r="N41">
            <v>100</v>
          </cell>
          <cell r="O41">
            <v>5625</v>
          </cell>
          <cell r="P41">
            <v>540</v>
          </cell>
        </row>
        <row r="42">
          <cell r="B42">
            <v>22233</v>
          </cell>
          <cell r="C42" t="str">
            <v>MANOJ KAIBART</v>
          </cell>
          <cell r="D42" t="str">
            <v>AUTOMATION</v>
          </cell>
          <cell r="G42">
            <v>430</v>
          </cell>
          <cell r="H42">
            <v>9</v>
          </cell>
          <cell r="I42">
            <v>0</v>
          </cell>
          <cell r="J42">
            <v>9</v>
          </cell>
          <cell r="K42">
            <v>2709</v>
          </cell>
          <cell r="L42">
            <v>1161</v>
          </cell>
          <cell r="M42">
            <v>3870</v>
          </cell>
          <cell r="N42">
            <v>0</v>
          </cell>
          <cell r="O42">
            <v>0</v>
          </cell>
        </row>
        <row r="43">
          <cell r="B43">
            <v>22234</v>
          </cell>
          <cell r="C43" t="str">
            <v>LAXMAN RAJAK</v>
          </cell>
          <cell r="D43" t="str">
            <v>IMD</v>
          </cell>
          <cell r="G43">
            <v>450</v>
          </cell>
          <cell r="H43">
            <v>23</v>
          </cell>
          <cell r="I43">
            <v>0</v>
          </cell>
          <cell r="J43">
            <v>23</v>
          </cell>
          <cell r="K43">
            <v>7245</v>
          </cell>
          <cell r="L43">
            <v>3105</v>
          </cell>
          <cell r="M43">
            <v>10350</v>
          </cell>
          <cell r="N43">
            <v>52</v>
          </cell>
          <cell r="O43">
            <v>2925</v>
          </cell>
          <cell r="P43">
            <v>540</v>
          </cell>
        </row>
        <row r="44">
          <cell r="B44">
            <v>22235</v>
          </cell>
          <cell r="C44" t="str">
            <v>SATHYAN MANOJ</v>
          </cell>
          <cell r="D44" t="str">
            <v>IMD</v>
          </cell>
          <cell r="G44">
            <v>450</v>
          </cell>
          <cell r="H44">
            <v>8</v>
          </cell>
          <cell r="I44">
            <v>0</v>
          </cell>
          <cell r="J44">
            <v>8</v>
          </cell>
          <cell r="K44">
            <v>2520</v>
          </cell>
          <cell r="L44">
            <v>1080</v>
          </cell>
          <cell r="M44">
            <v>3600</v>
          </cell>
          <cell r="N44">
            <v>34</v>
          </cell>
          <cell r="O44">
            <v>1913</v>
          </cell>
        </row>
        <row r="45">
          <cell r="B45">
            <v>22240</v>
          </cell>
          <cell r="C45" t="str">
            <v>MOHAN TUTI</v>
          </cell>
          <cell r="D45" t="str">
            <v>HK</v>
          </cell>
          <cell r="G45">
            <v>450</v>
          </cell>
          <cell r="H45">
            <v>25</v>
          </cell>
          <cell r="I45">
            <v>0</v>
          </cell>
          <cell r="J45">
            <v>25</v>
          </cell>
          <cell r="K45">
            <v>7875</v>
          </cell>
          <cell r="L45">
            <v>3375</v>
          </cell>
          <cell r="M45">
            <v>11250</v>
          </cell>
          <cell r="N45">
            <v>35</v>
          </cell>
          <cell r="O45">
            <v>1969</v>
          </cell>
          <cell r="P45">
            <v>0</v>
          </cell>
        </row>
        <row r="46">
          <cell r="B46">
            <v>22241</v>
          </cell>
          <cell r="C46" t="str">
            <v>ANNALAKSHMI</v>
          </cell>
          <cell r="D46" t="str">
            <v>Assembly</v>
          </cell>
          <cell r="G46">
            <v>410</v>
          </cell>
          <cell r="H46">
            <v>19</v>
          </cell>
          <cell r="I46">
            <v>0</v>
          </cell>
          <cell r="J46">
            <v>19</v>
          </cell>
          <cell r="K46">
            <v>5453</v>
          </cell>
          <cell r="L46">
            <v>2337</v>
          </cell>
          <cell r="M46">
            <v>7790</v>
          </cell>
          <cell r="N46">
            <v>0</v>
          </cell>
          <cell r="O46">
            <v>0</v>
          </cell>
          <cell r="P46">
            <v>0</v>
          </cell>
        </row>
        <row r="47">
          <cell r="B47">
            <v>22242</v>
          </cell>
          <cell r="C47" t="str">
            <v>SELVI S</v>
          </cell>
          <cell r="D47" t="str">
            <v>Fetling</v>
          </cell>
          <cell r="G47">
            <v>410</v>
          </cell>
          <cell r="H47">
            <v>21</v>
          </cell>
          <cell r="I47">
            <v>0</v>
          </cell>
          <cell r="J47">
            <v>21</v>
          </cell>
          <cell r="K47">
            <v>6027</v>
          </cell>
          <cell r="L47">
            <v>2583</v>
          </cell>
          <cell r="M47">
            <v>8610</v>
          </cell>
          <cell r="N47">
            <v>31</v>
          </cell>
          <cell r="O47">
            <v>1589</v>
          </cell>
          <cell r="P47">
            <v>0</v>
          </cell>
        </row>
        <row r="48">
          <cell r="B48">
            <v>22243</v>
          </cell>
          <cell r="C48" t="str">
            <v>PRUTHIRAJ</v>
          </cell>
          <cell r="D48" t="str">
            <v>IMD</v>
          </cell>
          <cell r="G48">
            <v>450</v>
          </cell>
          <cell r="H48">
            <v>4</v>
          </cell>
          <cell r="I48">
            <v>0</v>
          </cell>
          <cell r="J48">
            <v>4</v>
          </cell>
          <cell r="K48">
            <v>1260</v>
          </cell>
          <cell r="L48">
            <v>540</v>
          </cell>
          <cell r="M48">
            <v>1800</v>
          </cell>
          <cell r="N48">
            <v>16</v>
          </cell>
          <cell r="O48">
            <v>900</v>
          </cell>
        </row>
        <row r="49">
          <cell r="B49">
            <v>22247</v>
          </cell>
          <cell r="C49" t="str">
            <v>BINTHURAJAN</v>
          </cell>
          <cell r="D49" t="str">
            <v>Assembly</v>
          </cell>
          <cell r="G49">
            <v>410</v>
          </cell>
          <cell r="H49">
            <v>4</v>
          </cell>
          <cell r="I49">
            <v>0</v>
          </cell>
          <cell r="J49">
            <v>4</v>
          </cell>
          <cell r="K49">
            <v>1148</v>
          </cell>
          <cell r="L49">
            <v>492</v>
          </cell>
          <cell r="M49">
            <v>1640</v>
          </cell>
          <cell r="N49">
            <v>4</v>
          </cell>
          <cell r="O49">
            <v>205</v>
          </cell>
        </row>
        <row r="50">
          <cell r="B50">
            <v>22248</v>
          </cell>
          <cell r="C50" t="str">
            <v>POONGODI K</v>
          </cell>
          <cell r="D50" t="str">
            <v>Assembly</v>
          </cell>
          <cell r="G50">
            <v>410</v>
          </cell>
          <cell r="H50">
            <v>15</v>
          </cell>
          <cell r="I50">
            <v>0</v>
          </cell>
          <cell r="J50">
            <v>15</v>
          </cell>
          <cell r="K50">
            <v>4305</v>
          </cell>
          <cell r="L50">
            <v>1845</v>
          </cell>
          <cell r="M50">
            <v>6150</v>
          </cell>
          <cell r="N50">
            <v>21</v>
          </cell>
          <cell r="O50">
            <v>1076</v>
          </cell>
          <cell r="P50">
            <v>0</v>
          </cell>
        </row>
        <row r="51">
          <cell r="B51">
            <v>22249</v>
          </cell>
          <cell r="C51" t="str">
            <v>CHANDAN GORIAN</v>
          </cell>
          <cell r="D51" t="str">
            <v>IMD</v>
          </cell>
          <cell r="G51">
            <v>450</v>
          </cell>
          <cell r="H51">
            <v>8</v>
          </cell>
          <cell r="I51">
            <v>0</v>
          </cell>
          <cell r="J51">
            <v>8</v>
          </cell>
          <cell r="K51">
            <v>2520</v>
          </cell>
          <cell r="L51">
            <v>1080</v>
          </cell>
          <cell r="M51">
            <v>3600</v>
          </cell>
          <cell r="N51">
            <v>30</v>
          </cell>
          <cell r="O51">
            <v>1688</v>
          </cell>
          <cell r="P51">
            <v>420</v>
          </cell>
        </row>
        <row r="52">
          <cell r="B52">
            <v>22250</v>
          </cell>
          <cell r="C52" t="str">
            <v>JAYHARI GORIAN</v>
          </cell>
          <cell r="D52" t="str">
            <v>IMD</v>
          </cell>
          <cell r="G52">
            <v>450</v>
          </cell>
          <cell r="H52">
            <v>7</v>
          </cell>
          <cell r="I52">
            <v>0</v>
          </cell>
          <cell r="J52">
            <v>7</v>
          </cell>
          <cell r="K52">
            <v>2205</v>
          </cell>
          <cell r="L52">
            <v>945</v>
          </cell>
          <cell r="M52">
            <v>3150</v>
          </cell>
          <cell r="N52">
            <v>28</v>
          </cell>
          <cell r="O52">
            <v>1575</v>
          </cell>
          <cell r="P52">
            <v>200</v>
          </cell>
        </row>
        <row r="53">
          <cell r="B53">
            <v>22251</v>
          </cell>
          <cell r="C53" t="str">
            <v>SHIV SANKAR GORAJ</v>
          </cell>
          <cell r="D53" t="str">
            <v>IMD</v>
          </cell>
          <cell r="G53">
            <v>450</v>
          </cell>
          <cell r="H53">
            <v>7</v>
          </cell>
          <cell r="I53">
            <v>0</v>
          </cell>
          <cell r="J53">
            <v>7</v>
          </cell>
          <cell r="K53">
            <v>2205</v>
          </cell>
          <cell r="L53">
            <v>945</v>
          </cell>
          <cell r="M53">
            <v>3150</v>
          </cell>
          <cell r="N53">
            <v>40</v>
          </cell>
          <cell r="O53">
            <v>2250</v>
          </cell>
          <cell r="P53">
            <v>440</v>
          </cell>
        </row>
        <row r="54">
          <cell r="B54">
            <v>22252</v>
          </cell>
          <cell r="C54" t="str">
            <v>MAHESHWARI</v>
          </cell>
          <cell r="D54" t="str">
            <v>Assembly</v>
          </cell>
          <cell r="G54">
            <v>410</v>
          </cell>
          <cell r="H54">
            <v>3</v>
          </cell>
          <cell r="I54">
            <v>0</v>
          </cell>
          <cell r="J54">
            <v>3</v>
          </cell>
          <cell r="K54">
            <v>861</v>
          </cell>
          <cell r="L54">
            <v>369</v>
          </cell>
          <cell r="M54">
            <v>1230</v>
          </cell>
          <cell r="N54">
            <v>3</v>
          </cell>
          <cell r="O54">
            <v>154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zoomScale="85" zoomScaleNormal="85" workbookViewId="0">
      <pane xSplit="3" ySplit="3" topLeftCell="L4" activePane="bottomRight" state="frozen"/>
      <selection pane="topRight"/>
      <selection pane="bottomLeft"/>
      <selection pane="bottomRight" activeCell="W5" sqref="W5"/>
    </sheetView>
  </sheetViews>
  <sheetFormatPr defaultColWidth="9.1796875" defaultRowHeight="14.5"/>
  <cols>
    <col min="1" max="1" width="5" customWidth="1"/>
    <col min="2" max="2" width="15.453125" customWidth="1"/>
    <col min="3" max="3" width="28.1796875" customWidth="1"/>
    <col min="4" max="4" width="15.1796875" customWidth="1"/>
    <col min="5" max="5" width="19.453125" customWidth="1"/>
    <col min="6" max="6" width="16.1796875" customWidth="1"/>
    <col min="7" max="7" width="11.54296875" customWidth="1"/>
    <col min="8" max="8" width="11.54296875" hidden="1" customWidth="1"/>
    <col min="9" max="9" width="10.1796875" customWidth="1"/>
    <col min="10" max="10" width="10.54296875" customWidth="1"/>
    <col min="11" max="11" width="9.81640625" customWidth="1"/>
    <col min="12" max="12" width="10.453125" customWidth="1"/>
    <col min="13" max="13" width="9.81640625" customWidth="1"/>
    <col min="14" max="14" width="12.1796875" customWidth="1"/>
    <col min="15" max="15" width="11.1796875" customWidth="1"/>
    <col min="16" max="16" width="10.54296875" customWidth="1"/>
    <col min="17" max="17" width="11.54296875" customWidth="1"/>
    <col min="18" max="18" width="8.54296875" customWidth="1"/>
    <col min="19" max="19" width="9.81640625" customWidth="1"/>
    <col min="20" max="20" width="9.453125" customWidth="1"/>
    <col min="21" max="21" width="8.1796875" customWidth="1"/>
    <col min="22" max="22" width="13" customWidth="1"/>
    <col min="23" max="23" width="23.81640625" customWidth="1"/>
  </cols>
  <sheetData>
    <row r="1" spans="1:23" s="50" customFormat="1" ht="28.5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</row>
    <row r="2" spans="1:23" s="51" customFormat="1" ht="23.5">
      <c r="A2" s="154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 spans="1:23" s="52" customFormat="1" ht="63">
      <c r="A3" s="55" t="s">
        <v>2</v>
      </c>
      <c r="B3" s="55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55" t="s">
        <v>8</v>
      </c>
      <c r="H3" s="55"/>
      <c r="I3" s="55" t="s">
        <v>9</v>
      </c>
      <c r="J3" s="55" t="s">
        <v>10</v>
      </c>
      <c r="K3" s="55" t="s">
        <v>11</v>
      </c>
      <c r="L3" s="55" t="s">
        <v>12</v>
      </c>
      <c r="M3" s="55" t="s">
        <v>13</v>
      </c>
      <c r="N3" s="55" t="s">
        <v>14</v>
      </c>
      <c r="O3" s="55" t="s">
        <v>15</v>
      </c>
      <c r="P3" s="55" t="s">
        <v>16</v>
      </c>
      <c r="Q3" s="55" t="s">
        <v>17</v>
      </c>
      <c r="R3" s="55" t="s">
        <v>18</v>
      </c>
      <c r="S3" s="55" t="s">
        <v>19</v>
      </c>
      <c r="T3" s="55" t="s">
        <v>20</v>
      </c>
      <c r="U3" s="55" t="s">
        <v>21</v>
      </c>
      <c r="V3" s="68" t="s">
        <v>22</v>
      </c>
      <c r="W3" s="68" t="s">
        <v>23</v>
      </c>
    </row>
    <row r="4" spans="1:23" s="53" customFormat="1" ht="29.25" customHeight="1">
      <c r="A4" s="55">
        <v>1</v>
      </c>
      <c r="B4" s="56">
        <v>20357</v>
      </c>
      <c r="C4" s="57" t="s">
        <v>24</v>
      </c>
      <c r="D4" s="58" t="s">
        <v>25</v>
      </c>
      <c r="E4" s="59">
        <v>101501794693</v>
      </c>
      <c r="F4" s="58">
        <v>5608953024</v>
      </c>
      <c r="G4" s="56">
        <v>8910</v>
      </c>
      <c r="H4" s="56">
        <v>4</v>
      </c>
      <c r="I4" s="64"/>
      <c r="J4" s="56">
        <f>ROUND((G4/31*I4)*70%,0)</f>
        <v>0</v>
      </c>
      <c r="K4" s="56">
        <f>ROUND((G4/31*I4)*30%,0)</f>
        <v>0</v>
      </c>
      <c r="L4" s="65"/>
      <c r="M4" s="56">
        <f>+ROUND(((G4/31)/8)*L4,0)</f>
        <v>0</v>
      </c>
      <c r="N4" s="65"/>
      <c r="O4" s="65"/>
      <c r="P4" s="56"/>
      <c r="Q4" s="56">
        <f>J4+K4+M4+N4+O4+P4</f>
        <v>0</v>
      </c>
      <c r="R4" s="69">
        <f>+J4*12%</f>
        <v>0</v>
      </c>
      <c r="S4" s="56">
        <f>CEILING((Q4-P4)*0.75%,1)</f>
        <v>0</v>
      </c>
      <c r="T4" s="65"/>
      <c r="U4" s="56"/>
      <c r="V4" s="70">
        <f>ROUND(Q4-R4-S4-T4-U4,0)</f>
        <v>0</v>
      </c>
      <c r="W4" s="68"/>
    </row>
    <row r="5" spans="1:23" s="54" customFormat="1" ht="35.15" customHeight="1">
      <c r="A5" s="155" t="s">
        <v>26</v>
      </c>
      <c r="B5" s="156"/>
      <c r="C5" s="157"/>
      <c r="D5" s="60"/>
      <c r="E5" s="60"/>
      <c r="F5" s="60"/>
      <c r="G5" s="61"/>
      <c r="H5" s="62">
        <f t="shared" ref="H5:V5" si="0">SUM(H4:H4)</f>
        <v>4</v>
      </c>
      <c r="I5" s="66">
        <f t="shared" si="0"/>
        <v>0</v>
      </c>
      <c r="J5" s="56">
        <f t="shared" si="0"/>
        <v>0</v>
      </c>
      <c r="K5" s="56">
        <f t="shared" si="0"/>
        <v>0</v>
      </c>
      <c r="L5" s="56">
        <f t="shared" si="0"/>
        <v>0</v>
      </c>
      <c r="M5" s="56">
        <f t="shared" si="0"/>
        <v>0</v>
      </c>
      <c r="N5" s="56">
        <f t="shared" si="0"/>
        <v>0</v>
      </c>
      <c r="O5" s="56">
        <f t="shared" si="0"/>
        <v>0</v>
      </c>
      <c r="P5" s="56">
        <f t="shared" si="0"/>
        <v>0</v>
      </c>
      <c r="Q5" s="56">
        <f t="shared" si="0"/>
        <v>0</v>
      </c>
      <c r="R5" s="56">
        <f t="shared" si="0"/>
        <v>0</v>
      </c>
      <c r="S5" s="56">
        <f t="shared" si="0"/>
        <v>0</v>
      </c>
      <c r="T5" s="56">
        <f t="shared" si="0"/>
        <v>0</v>
      </c>
      <c r="U5" s="56">
        <f t="shared" si="0"/>
        <v>0</v>
      </c>
      <c r="V5" s="56">
        <f t="shared" si="0"/>
        <v>0</v>
      </c>
      <c r="W5" s="60"/>
    </row>
    <row r="6" spans="1:23" ht="30" customHeight="1">
      <c r="H6" s="63"/>
      <c r="I6" s="67"/>
      <c r="J6" s="67"/>
      <c r="L6" s="67"/>
      <c r="N6" s="67"/>
      <c r="O6" s="67"/>
      <c r="Q6" s="71"/>
      <c r="T6" s="67"/>
    </row>
    <row r="7" spans="1:23">
      <c r="Q7" s="67"/>
    </row>
    <row r="9" spans="1:23">
      <c r="K9" s="67"/>
    </row>
    <row r="14" spans="1:23">
      <c r="G14" s="3"/>
    </row>
  </sheetData>
  <sortState ref="A4:U10">
    <sortCondition ref="B4:B10"/>
  </sortState>
  <mergeCells count="3">
    <mergeCell ref="A1:W1"/>
    <mergeCell ref="A2:W2"/>
    <mergeCell ref="A5:C5"/>
  </mergeCells>
  <pageMargins left="0.31496062992126" right="0" top="0.74803149606299202" bottom="0" header="0" footer="0"/>
  <pageSetup scale="5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35"/>
  <sheetViews>
    <sheetView view="pageBreakPreview" zoomScale="90" zoomScaleNormal="85" zoomScaleSheetLayoutView="90" workbookViewId="0">
      <selection activeCell="I8" sqref="I8:I9"/>
    </sheetView>
  </sheetViews>
  <sheetFormatPr defaultRowHeight="15.5"/>
  <cols>
    <col min="1" max="1" width="5.1796875" style="104" customWidth="1"/>
    <col min="2" max="7" width="8.7265625" style="104"/>
    <col min="8" max="8" width="19.1796875" style="104" customWidth="1"/>
    <col min="9" max="9" width="17.81640625" style="104" customWidth="1"/>
    <col min="10" max="10" width="8.7265625" style="104"/>
    <col min="11" max="11" width="12.1796875" style="104" bestFit="1" customWidth="1"/>
    <col min="12" max="237" width="8.7265625" style="104"/>
    <col min="238" max="238" width="7.54296875" style="104" customWidth="1"/>
    <col min="239" max="239" width="18.453125" style="104" customWidth="1"/>
    <col min="240" max="240" width="10.81640625" style="104" bestFit="1" customWidth="1"/>
    <col min="241" max="493" width="8.7265625" style="104"/>
    <col min="494" max="494" width="7.54296875" style="104" customWidth="1"/>
    <col min="495" max="495" width="18.453125" style="104" customWidth="1"/>
    <col min="496" max="496" width="10.81640625" style="104" bestFit="1" customWidth="1"/>
    <col min="497" max="749" width="8.7265625" style="104"/>
    <col min="750" max="750" width="7.54296875" style="104" customWidth="1"/>
    <col min="751" max="751" width="18.453125" style="104" customWidth="1"/>
    <col min="752" max="752" width="10.81640625" style="104" bestFit="1" customWidth="1"/>
    <col min="753" max="1005" width="8.7265625" style="104"/>
    <col min="1006" max="1006" width="7.54296875" style="104" customWidth="1"/>
    <col min="1007" max="1007" width="18.453125" style="104" customWidth="1"/>
    <col min="1008" max="1008" width="10.81640625" style="104" bestFit="1" customWidth="1"/>
    <col min="1009" max="1261" width="8.7265625" style="104"/>
    <col min="1262" max="1262" width="7.54296875" style="104" customWidth="1"/>
    <col min="1263" max="1263" width="18.453125" style="104" customWidth="1"/>
    <col min="1264" max="1264" width="10.81640625" style="104" bestFit="1" customWidth="1"/>
    <col min="1265" max="1517" width="8.7265625" style="104"/>
    <col min="1518" max="1518" width="7.54296875" style="104" customWidth="1"/>
    <col min="1519" max="1519" width="18.453125" style="104" customWidth="1"/>
    <col min="1520" max="1520" width="10.81640625" style="104" bestFit="1" customWidth="1"/>
    <col min="1521" max="1773" width="8.7265625" style="104"/>
    <col min="1774" max="1774" width="7.54296875" style="104" customWidth="1"/>
    <col min="1775" max="1775" width="18.453125" style="104" customWidth="1"/>
    <col min="1776" max="1776" width="10.81640625" style="104" bestFit="1" customWidth="1"/>
    <col min="1777" max="2029" width="8.7265625" style="104"/>
    <col min="2030" max="2030" width="7.54296875" style="104" customWidth="1"/>
    <col min="2031" max="2031" width="18.453125" style="104" customWidth="1"/>
    <col min="2032" max="2032" width="10.81640625" style="104" bestFit="1" customWidth="1"/>
    <col min="2033" max="2285" width="8.7265625" style="104"/>
    <col min="2286" max="2286" width="7.54296875" style="104" customWidth="1"/>
    <col min="2287" max="2287" width="18.453125" style="104" customWidth="1"/>
    <col min="2288" max="2288" width="10.81640625" style="104" bestFit="1" customWidth="1"/>
    <col min="2289" max="2541" width="8.7265625" style="104"/>
    <col min="2542" max="2542" width="7.54296875" style="104" customWidth="1"/>
    <col min="2543" max="2543" width="18.453125" style="104" customWidth="1"/>
    <col min="2544" max="2544" width="10.81640625" style="104" bestFit="1" customWidth="1"/>
    <col min="2545" max="2797" width="8.7265625" style="104"/>
    <col min="2798" max="2798" width="7.54296875" style="104" customWidth="1"/>
    <col min="2799" max="2799" width="18.453125" style="104" customWidth="1"/>
    <col min="2800" max="2800" width="10.81640625" style="104" bestFit="1" customWidth="1"/>
    <col min="2801" max="3053" width="8.7265625" style="104"/>
    <col min="3054" max="3054" width="7.54296875" style="104" customWidth="1"/>
    <col min="3055" max="3055" width="18.453125" style="104" customWidth="1"/>
    <col min="3056" max="3056" width="10.81640625" style="104" bestFit="1" customWidth="1"/>
    <col min="3057" max="3309" width="8.7265625" style="104"/>
    <col min="3310" max="3310" width="7.54296875" style="104" customWidth="1"/>
    <col min="3311" max="3311" width="18.453125" style="104" customWidth="1"/>
    <col min="3312" max="3312" width="10.81640625" style="104" bestFit="1" customWidth="1"/>
    <col min="3313" max="3565" width="8.7265625" style="104"/>
    <col min="3566" max="3566" width="7.54296875" style="104" customWidth="1"/>
    <col min="3567" max="3567" width="18.453125" style="104" customWidth="1"/>
    <col min="3568" max="3568" width="10.81640625" style="104" bestFit="1" customWidth="1"/>
    <col min="3569" max="3821" width="8.7265625" style="104"/>
    <col min="3822" max="3822" width="7.54296875" style="104" customWidth="1"/>
    <col min="3823" max="3823" width="18.453125" style="104" customWidth="1"/>
    <col min="3824" max="3824" width="10.81640625" style="104" bestFit="1" customWidth="1"/>
    <col min="3825" max="4077" width="8.7265625" style="104"/>
    <col min="4078" max="4078" width="7.54296875" style="104" customWidth="1"/>
    <col min="4079" max="4079" width="18.453125" style="104" customWidth="1"/>
    <col min="4080" max="4080" width="10.81640625" style="104" bestFit="1" customWidth="1"/>
    <col min="4081" max="4333" width="8.7265625" style="104"/>
    <col min="4334" max="4334" width="7.54296875" style="104" customWidth="1"/>
    <col min="4335" max="4335" width="18.453125" style="104" customWidth="1"/>
    <col min="4336" max="4336" width="10.81640625" style="104" bestFit="1" customWidth="1"/>
    <col min="4337" max="4589" width="8.7265625" style="104"/>
    <col min="4590" max="4590" width="7.54296875" style="104" customWidth="1"/>
    <col min="4591" max="4591" width="18.453125" style="104" customWidth="1"/>
    <col min="4592" max="4592" width="10.81640625" style="104" bestFit="1" customWidth="1"/>
    <col min="4593" max="4845" width="8.7265625" style="104"/>
    <col min="4846" max="4846" width="7.54296875" style="104" customWidth="1"/>
    <col min="4847" max="4847" width="18.453125" style="104" customWidth="1"/>
    <col min="4848" max="4848" width="10.81640625" style="104" bestFit="1" customWidth="1"/>
    <col min="4849" max="5101" width="8.7265625" style="104"/>
    <col min="5102" max="5102" width="7.54296875" style="104" customWidth="1"/>
    <col min="5103" max="5103" width="18.453125" style="104" customWidth="1"/>
    <col min="5104" max="5104" width="10.81640625" style="104" bestFit="1" customWidth="1"/>
    <col min="5105" max="5357" width="8.7265625" style="104"/>
    <col min="5358" max="5358" width="7.54296875" style="104" customWidth="1"/>
    <col min="5359" max="5359" width="18.453125" style="104" customWidth="1"/>
    <col min="5360" max="5360" width="10.81640625" style="104" bestFit="1" customWidth="1"/>
    <col min="5361" max="5613" width="8.7265625" style="104"/>
    <col min="5614" max="5614" width="7.54296875" style="104" customWidth="1"/>
    <col min="5615" max="5615" width="18.453125" style="104" customWidth="1"/>
    <col min="5616" max="5616" width="10.81640625" style="104" bestFit="1" customWidth="1"/>
    <col min="5617" max="5869" width="8.7265625" style="104"/>
    <col min="5870" max="5870" width="7.54296875" style="104" customWidth="1"/>
    <col min="5871" max="5871" width="18.453125" style="104" customWidth="1"/>
    <col min="5872" max="5872" width="10.81640625" style="104" bestFit="1" customWidth="1"/>
    <col min="5873" max="6125" width="8.7265625" style="104"/>
    <col min="6126" max="6126" width="7.54296875" style="104" customWidth="1"/>
    <col min="6127" max="6127" width="18.453125" style="104" customWidth="1"/>
    <col min="6128" max="6128" width="10.81640625" style="104" bestFit="1" customWidth="1"/>
    <col min="6129" max="6381" width="8.7265625" style="104"/>
    <col min="6382" max="6382" width="7.54296875" style="104" customWidth="1"/>
    <col min="6383" max="6383" width="18.453125" style="104" customWidth="1"/>
    <col min="6384" max="6384" width="10.81640625" style="104" bestFit="1" customWidth="1"/>
    <col min="6385" max="6637" width="8.7265625" style="104"/>
    <col min="6638" max="6638" width="7.54296875" style="104" customWidth="1"/>
    <col min="6639" max="6639" width="18.453125" style="104" customWidth="1"/>
    <col min="6640" max="6640" width="10.81640625" style="104" bestFit="1" customWidth="1"/>
    <col min="6641" max="6893" width="8.7265625" style="104"/>
    <col min="6894" max="6894" width="7.54296875" style="104" customWidth="1"/>
    <col min="6895" max="6895" width="18.453125" style="104" customWidth="1"/>
    <col min="6896" max="6896" width="10.81640625" style="104" bestFit="1" customWidth="1"/>
    <col min="6897" max="7149" width="8.7265625" style="104"/>
    <col min="7150" max="7150" width="7.54296875" style="104" customWidth="1"/>
    <col min="7151" max="7151" width="18.453125" style="104" customWidth="1"/>
    <col min="7152" max="7152" width="10.81640625" style="104" bestFit="1" customWidth="1"/>
    <col min="7153" max="7405" width="8.7265625" style="104"/>
    <col min="7406" max="7406" width="7.54296875" style="104" customWidth="1"/>
    <col min="7407" max="7407" width="18.453125" style="104" customWidth="1"/>
    <col min="7408" max="7408" width="10.81640625" style="104" bestFit="1" customWidth="1"/>
    <col min="7409" max="7661" width="8.7265625" style="104"/>
    <col min="7662" max="7662" width="7.54296875" style="104" customWidth="1"/>
    <col min="7663" max="7663" width="18.453125" style="104" customWidth="1"/>
    <col min="7664" max="7664" width="10.81640625" style="104" bestFit="1" customWidth="1"/>
    <col min="7665" max="7917" width="8.7265625" style="104"/>
    <col min="7918" max="7918" width="7.54296875" style="104" customWidth="1"/>
    <col min="7919" max="7919" width="18.453125" style="104" customWidth="1"/>
    <col min="7920" max="7920" width="10.81640625" style="104" bestFit="1" customWidth="1"/>
    <col min="7921" max="8173" width="8.7265625" style="104"/>
    <col min="8174" max="8174" width="7.54296875" style="104" customWidth="1"/>
    <col min="8175" max="8175" width="18.453125" style="104" customWidth="1"/>
    <col min="8176" max="8176" width="10.81640625" style="104" bestFit="1" customWidth="1"/>
    <col min="8177" max="8429" width="8.7265625" style="104"/>
    <col min="8430" max="8430" width="7.54296875" style="104" customWidth="1"/>
    <col min="8431" max="8431" width="18.453125" style="104" customWidth="1"/>
    <col min="8432" max="8432" width="10.81640625" style="104" bestFit="1" customWidth="1"/>
    <col min="8433" max="8685" width="8.7265625" style="104"/>
    <col min="8686" max="8686" width="7.54296875" style="104" customWidth="1"/>
    <col min="8687" max="8687" width="18.453125" style="104" customWidth="1"/>
    <col min="8688" max="8688" width="10.81640625" style="104" bestFit="1" customWidth="1"/>
    <col min="8689" max="8941" width="8.7265625" style="104"/>
    <col min="8942" max="8942" width="7.54296875" style="104" customWidth="1"/>
    <col min="8943" max="8943" width="18.453125" style="104" customWidth="1"/>
    <col min="8944" max="8944" width="10.81640625" style="104" bestFit="1" customWidth="1"/>
    <col min="8945" max="9197" width="8.7265625" style="104"/>
    <col min="9198" max="9198" width="7.54296875" style="104" customWidth="1"/>
    <col min="9199" max="9199" width="18.453125" style="104" customWidth="1"/>
    <col min="9200" max="9200" width="10.81640625" style="104" bestFit="1" customWidth="1"/>
    <col min="9201" max="9453" width="8.7265625" style="104"/>
    <col min="9454" max="9454" width="7.54296875" style="104" customWidth="1"/>
    <col min="9455" max="9455" width="18.453125" style="104" customWidth="1"/>
    <col min="9456" max="9456" width="10.81640625" style="104" bestFit="1" customWidth="1"/>
    <col min="9457" max="9709" width="8.7265625" style="104"/>
    <col min="9710" max="9710" width="7.54296875" style="104" customWidth="1"/>
    <col min="9711" max="9711" width="18.453125" style="104" customWidth="1"/>
    <col min="9712" max="9712" width="10.81640625" style="104" bestFit="1" customWidth="1"/>
    <col min="9713" max="9965" width="8.7265625" style="104"/>
    <col min="9966" max="9966" width="7.54296875" style="104" customWidth="1"/>
    <col min="9967" max="9967" width="18.453125" style="104" customWidth="1"/>
    <col min="9968" max="9968" width="10.81640625" style="104" bestFit="1" customWidth="1"/>
    <col min="9969" max="10221" width="8.7265625" style="104"/>
    <col min="10222" max="10222" width="7.54296875" style="104" customWidth="1"/>
    <col min="10223" max="10223" width="18.453125" style="104" customWidth="1"/>
    <col min="10224" max="10224" width="10.81640625" style="104" bestFit="1" customWidth="1"/>
    <col min="10225" max="10477" width="8.7265625" style="104"/>
    <col min="10478" max="10478" width="7.54296875" style="104" customWidth="1"/>
    <col min="10479" max="10479" width="18.453125" style="104" customWidth="1"/>
    <col min="10480" max="10480" width="10.81640625" style="104" bestFit="1" customWidth="1"/>
    <col min="10481" max="10733" width="8.7265625" style="104"/>
    <col min="10734" max="10734" width="7.54296875" style="104" customWidth="1"/>
    <col min="10735" max="10735" width="18.453125" style="104" customWidth="1"/>
    <col min="10736" max="10736" width="10.81640625" style="104" bestFit="1" customWidth="1"/>
    <col min="10737" max="10989" width="8.7265625" style="104"/>
    <col min="10990" max="10990" width="7.54296875" style="104" customWidth="1"/>
    <col min="10991" max="10991" width="18.453125" style="104" customWidth="1"/>
    <col min="10992" max="10992" width="10.81640625" style="104" bestFit="1" customWidth="1"/>
    <col min="10993" max="11245" width="8.7265625" style="104"/>
    <col min="11246" max="11246" width="7.54296875" style="104" customWidth="1"/>
    <col min="11247" max="11247" width="18.453125" style="104" customWidth="1"/>
    <col min="11248" max="11248" width="10.81640625" style="104" bestFit="1" customWidth="1"/>
    <col min="11249" max="11501" width="8.7265625" style="104"/>
    <col min="11502" max="11502" width="7.54296875" style="104" customWidth="1"/>
    <col min="11503" max="11503" width="18.453125" style="104" customWidth="1"/>
    <col min="11504" max="11504" width="10.81640625" style="104" bestFit="1" customWidth="1"/>
    <col min="11505" max="11757" width="8.7265625" style="104"/>
    <col min="11758" max="11758" width="7.54296875" style="104" customWidth="1"/>
    <col min="11759" max="11759" width="18.453125" style="104" customWidth="1"/>
    <col min="11760" max="11760" width="10.81640625" style="104" bestFit="1" customWidth="1"/>
    <col min="11761" max="12013" width="8.7265625" style="104"/>
    <col min="12014" max="12014" width="7.54296875" style="104" customWidth="1"/>
    <col min="12015" max="12015" width="18.453125" style="104" customWidth="1"/>
    <col min="12016" max="12016" width="10.81640625" style="104" bestFit="1" customWidth="1"/>
    <col min="12017" max="12269" width="8.7265625" style="104"/>
    <col min="12270" max="12270" width="7.54296875" style="104" customWidth="1"/>
    <col min="12271" max="12271" width="18.453125" style="104" customWidth="1"/>
    <col min="12272" max="12272" width="10.81640625" style="104" bestFit="1" customWidth="1"/>
    <col min="12273" max="12525" width="8.7265625" style="104"/>
    <col min="12526" max="12526" width="7.54296875" style="104" customWidth="1"/>
    <col min="12527" max="12527" width="18.453125" style="104" customWidth="1"/>
    <col min="12528" max="12528" width="10.81640625" style="104" bestFit="1" customWidth="1"/>
    <col min="12529" max="12781" width="8.7265625" style="104"/>
    <col min="12782" max="12782" width="7.54296875" style="104" customWidth="1"/>
    <col min="12783" max="12783" width="18.453125" style="104" customWidth="1"/>
    <col min="12784" max="12784" width="10.81640625" style="104" bestFit="1" customWidth="1"/>
    <col min="12785" max="13037" width="8.7265625" style="104"/>
    <col min="13038" max="13038" width="7.54296875" style="104" customWidth="1"/>
    <col min="13039" max="13039" width="18.453125" style="104" customWidth="1"/>
    <col min="13040" max="13040" width="10.81640625" style="104" bestFit="1" customWidth="1"/>
    <col min="13041" max="13293" width="8.7265625" style="104"/>
    <col min="13294" max="13294" width="7.54296875" style="104" customWidth="1"/>
    <col min="13295" max="13295" width="18.453125" style="104" customWidth="1"/>
    <col min="13296" max="13296" width="10.81640625" style="104" bestFit="1" customWidth="1"/>
    <col min="13297" max="13549" width="8.7265625" style="104"/>
    <col min="13550" max="13550" width="7.54296875" style="104" customWidth="1"/>
    <col min="13551" max="13551" width="18.453125" style="104" customWidth="1"/>
    <col min="13552" max="13552" width="10.81640625" style="104" bestFit="1" customWidth="1"/>
    <col min="13553" max="13805" width="8.7265625" style="104"/>
    <col min="13806" max="13806" width="7.54296875" style="104" customWidth="1"/>
    <col min="13807" max="13807" width="18.453125" style="104" customWidth="1"/>
    <col min="13808" max="13808" width="10.81640625" style="104" bestFit="1" customWidth="1"/>
    <col min="13809" max="14061" width="8.7265625" style="104"/>
    <col min="14062" max="14062" width="7.54296875" style="104" customWidth="1"/>
    <col min="14063" max="14063" width="18.453125" style="104" customWidth="1"/>
    <col min="14064" max="14064" width="10.81640625" style="104" bestFit="1" customWidth="1"/>
    <col min="14065" max="14317" width="8.7265625" style="104"/>
    <col min="14318" max="14318" width="7.54296875" style="104" customWidth="1"/>
    <col min="14319" max="14319" width="18.453125" style="104" customWidth="1"/>
    <col min="14320" max="14320" width="10.81640625" style="104" bestFit="1" customWidth="1"/>
    <col min="14321" max="14573" width="8.7265625" style="104"/>
    <col min="14574" max="14574" width="7.54296875" style="104" customWidth="1"/>
    <col min="14575" max="14575" width="18.453125" style="104" customWidth="1"/>
    <col min="14576" max="14576" width="10.81640625" style="104" bestFit="1" customWidth="1"/>
    <col min="14577" max="14829" width="8.7265625" style="104"/>
    <col min="14830" max="14830" width="7.54296875" style="104" customWidth="1"/>
    <col min="14831" max="14831" width="18.453125" style="104" customWidth="1"/>
    <col min="14832" max="14832" width="10.81640625" style="104" bestFit="1" customWidth="1"/>
    <col min="14833" max="15085" width="8.7265625" style="104"/>
    <col min="15086" max="15086" width="7.54296875" style="104" customWidth="1"/>
    <col min="15087" max="15087" width="18.453125" style="104" customWidth="1"/>
    <col min="15088" max="15088" width="10.81640625" style="104" bestFit="1" customWidth="1"/>
    <col min="15089" max="15341" width="8.7265625" style="104"/>
    <col min="15342" max="15342" width="7.54296875" style="104" customWidth="1"/>
    <col min="15343" max="15343" width="18.453125" style="104" customWidth="1"/>
    <col min="15344" max="15344" width="10.81640625" style="104" bestFit="1" customWidth="1"/>
    <col min="15345" max="15597" width="8.7265625" style="104"/>
    <col min="15598" max="15598" width="7.54296875" style="104" customWidth="1"/>
    <col min="15599" max="15599" width="18.453125" style="104" customWidth="1"/>
    <col min="15600" max="15600" width="10.81640625" style="104" bestFit="1" customWidth="1"/>
    <col min="15601" max="15853" width="8.7265625" style="104"/>
    <col min="15854" max="15854" width="7.54296875" style="104" customWidth="1"/>
    <col min="15855" max="15855" width="18.453125" style="104" customWidth="1"/>
    <col min="15856" max="15856" width="10.81640625" style="104" bestFit="1" customWidth="1"/>
    <col min="15857" max="16109" width="8.7265625" style="104"/>
    <col min="16110" max="16110" width="7.54296875" style="104" customWidth="1"/>
    <col min="16111" max="16111" width="18.453125" style="104" customWidth="1"/>
    <col min="16112" max="16112" width="10.81640625" style="104" bestFit="1" customWidth="1"/>
    <col min="16113" max="16358" width="8.7265625" style="104"/>
    <col min="16359" max="16384" width="8.81640625" style="104" customWidth="1"/>
  </cols>
  <sheetData>
    <row r="1" spans="2:10" ht="16" thickBot="1"/>
    <row r="2" spans="2:10">
      <c r="B2" s="179"/>
      <c r="C2" s="180"/>
      <c r="D2" s="180"/>
      <c r="E2" s="180"/>
      <c r="F2" s="180"/>
      <c r="G2" s="180"/>
      <c r="H2" s="180"/>
      <c r="I2" s="181"/>
    </row>
    <row r="3" spans="2:10" ht="15" customHeight="1">
      <c r="B3" s="182" t="s">
        <v>204</v>
      </c>
      <c r="C3" s="183"/>
      <c r="D3" s="183"/>
      <c r="E3" s="183"/>
      <c r="F3" s="183"/>
      <c r="G3" s="183"/>
      <c r="H3" s="183"/>
      <c r="I3" s="184"/>
    </row>
    <row r="4" spans="2:10" ht="15.75" customHeight="1" thickBot="1">
      <c r="B4" s="182" t="s">
        <v>205</v>
      </c>
      <c r="C4" s="183"/>
      <c r="D4" s="183"/>
      <c r="E4" s="183"/>
      <c r="F4" s="183"/>
      <c r="G4" s="183"/>
      <c r="H4" s="183"/>
      <c r="I4" s="184"/>
    </row>
    <row r="5" spans="2:10" s="105" customFormat="1" ht="23.5" thickBot="1">
      <c r="B5" s="185" t="s">
        <v>27</v>
      </c>
      <c r="C5" s="186"/>
      <c r="D5" s="186"/>
      <c r="E5" s="186"/>
      <c r="F5" s="186"/>
      <c r="G5" s="186"/>
      <c r="H5" s="186"/>
      <c r="I5" s="187"/>
    </row>
    <row r="6" spans="2:10">
      <c r="B6" s="106" t="s">
        <v>28</v>
      </c>
      <c r="C6" s="107"/>
      <c r="D6" s="107"/>
      <c r="E6" s="107"/>
      <c r="F6" s="108"/>
      <c r="G6" s="160" t="s">
        <v>29</v>
      </c>
      <c r="H6" s="161"/>
      <c r="I6" s="192" t="s">
        <v>216</v>
      </c>
    </row>
    <row r="7" spans="2:10" ht="16" thickBot="1">
      <c r="B7" s="133" t="s">
        <v>0</v>
      </c>
      <c r="C7" s="146"/>
      <c r="D7" s="146"/>
      <c r="E7" s="146"/>
      <c r="F7" s="110"/>
      <c r="G7" s="162"/>
      <c r="H7" s="163"/>
      <c r="I7" s="193"/>
    </row>
    <row r="8" spans="2:10">
      <c r="B8" s="125" t="s">
        <v>206</v>
      </c>
      <c r="C8" s="147"/>
      <c r="D8" s="147"/>
      <c r="E8" s="147"/>
      <c r="F8" s="112"/>
      <c r="G8" s="160" t="s">
        <v>30</v>
      </c>
      <c r="H8" s="161"/>
      <c r="I8" s="194" t="s">
        <v>222</v>
      </c>
    </row>
    <row r="9" spans="2:10" ht="15.75" customHeight="1" thickBot="1">
      <c r="B9" s="125" t="s">
        <v>207</v>
      </c>
      <c r="C9" s="147"/>
      <c r="D9" s="147"/>
      <c r="E9" s="147"/>
      <c r="F9" s="112"/>
      <c r="G9" s="162"/>
      <c r="H9" s="163"/>
      <c r="I9" s="193"/>
    </row>
    <row r="10" spans="2:10">
      <c r="B10" s="125" t="s">
        <v>208</v>
      </c>
      <c r="C10" s="147"/>
      <c r="D10" s="147"/>
      <c r="E10" s="147"/>
      <c r="F10" s="112"/>
      <c r="G10" s="160" t="s">
        <v>32</v>
      </c>
      <c r="H10" s="161"/>
      <c r="I10" s="195" t="s">
        <v>33</v>
      </c>
    </row>
    <row r="11" spans="2:10" ht="15" customHeight="1" thickBot="1">
      <c r="B11" s="134" t="s">
        <v>31</v>
      </c>
      <c r="C11" s="113"/>
      <c r="D11" s="113"/>
      <c r="E11" s="113"/>
      <c r="F11" s="114"/>
      <c r="G11" s="162"/>
      <c r="H11" s="163"/>
      <c r="I11" s="193"/>
    </row>
    <row r="12" spans="2:10" ht="15.75" customHeight="1">
      <c r="B12" s="109" t="s">
        <v>34</v>
      </c>
      <c r="C12" s="147"/>
      <c r="D12" s="147"/>
      <c r="E12" s="147"/>
      <c r="F12" s="147"/>
      <c r="G12" s="160" t="s">
        <v>209</v>
      </c>
      <c r="H12" s="161"/>
      <c r="I12" s="195">
        <v>998519</v>
      </c>
    </row>
    <row r="13" spans="2:10" ht="16" thickBot="1">
      <c r="B13" s="133" t="s">
        <v>212</v>
      </c>
      <c r="C13" s="147"/>
      <c r="D13" s="147"/>
      <c r="E13" s="147"/>
      <c r="F13" s="147"/>
      <c r="G13" s="162"/>
      <c r="H13" s="163"/>
      <c r="I13" s="193"/>
    </row>
    <row r="14" spans="2:10">
      <c r="B14" s="49" t="s">
        <v>37</v>
      </c>
      <c r="C14" s="147"/>
      <c r="D14" s="147"/>
      <c r="E14" s="147"/>
      <c r="F14" s="147"/>
      <c r="G14" s="160" t="s">
        <v>35</v>
      </c>
      <c r="H14" s="161"/>
      <c r="I14" s="190" t="s">
        <v>36</v>
      </c>
      <c r="J14" s="115"/>
    </row>
    <row r="15" spans="2:10" ht="16" thickBot="1">
      <c r="B15" s="49" t="s">
        <v>38</v>
      </c>
      <c r="C15" s="147"/>
      <c r="D15" s="147"/>
      <c r="E15" s="147"/>
      <c r="F15" s="147"/>
      <c r="G15" s="162"/>
      <c r="H15" s="163"/>
      <c r="I15" s="191"/>
    </row>
    <row r="16" spans="2:10" ht="15.5" customHeight="1">
      <c r="B16" s="48" t="s">
        <v>39</v>
      </c>
      <c r="C16" s="147"/>
      <c r="D16" s="147"/>
      <c r="E16" s="147"/>
      <c r="F16" s="147"/>
      <c r="G16" s="160" t="s">
        <v>40</v>
      </c>
      <c r="H16" s="161"/>
      <c r="I16" s="188" t="s">
        <v>41</v>
      </c>
    </row>
    <row r="17" spans="2:11" ht="30.75" customHeight="1" thickBot="1">
      <c r="B17" s="111"/>
      <c r="C17" s="147"/>
      <c r="D17" s="147"/>
      <c r="E17" s="147"/>
      <c r="F17" s="147"/>
      <c r="G17" s="174"/>
      <c r="H17" s="175"/>
      <c r="I17" s="189"/>
    </row>
    <row r="18" spans="2:11" ht="15.5" customHeight="1" thickBot="1">
      <c r="B18" s="164" t="s">
        <v>42</v>
      </c>
      <c r="C18" s="165"/>
      <c r="D18" s="165"/>
      <c r="E18" s="165"/>
      <c r="F18" s="165"/>
      <c r="G18" s="165"/>
      <c r="H18" s="165"/>
      <c r="I18" s="116" t="s">
        <v>43</v>
      </c>
    </row>
    <row r="19" spans="2:11" ht="16" customHeight="1">
      <c r="B19" s="117"/>
      <c r="C19" s="148"/>
      <c r="D19" s="148"/>
      <c r="E19" s="148"/>
      <c r="F19" s="148"/>
      <c r="G19" s="148"/>
      <c r="H19" s="148"/>
      <c r="I19" s="118"/>
    </row>
    <row r="20" spans="2:11" ht="16.5">
      <c r="B20" s="119" t="s">
        <v>210</v>
      </c>
      <c r="C20" s="149"/>
      <c r="D20" s="149"/>
      <c r="E20" s="149"/>
      <c r="F20" s="149"/>
      <c r="G20" s="149"/>
      <c r="H20" s="149"/>
      <c r="I20" s="120">
        <f>'BREAKUP '!E10</f>
        <v>748749.02999999991</v>
      </c>
    </row>
    <row r="21" spans="2:11" ht="23.25" customHeight="1">
      <c r="B21" s="119" t="s">
        <v>217</v>
      </c>
      <c r="C21" s="149"/>
      <c r="D21" s="149"/>
      <c r="E21" s="149"/>
      <c r="F21" s="149"/>
      <c r="G21" s="149"/>
      <c r="H21" s="149"/>
      <c r="I21" s="121"/>
      <c r="K21" s="122"/>
    </row>
    <row r="22" spans="2:11" ht="17.5">
      <c r="B22" s="123"/>
      <c r="C22" s="150"/>
      <c r="D22" s="150"/>
      <c r="E22" s="150"/>
      <c r="F22" s="150"/>
      <c r="G22" s="150"/>
      <c r="H22" s="150"/>
      <c r="I22" s="124"/>
    </row>
    <row r="23" spans="2:11" ht="20.25" customHeight="1">
      <c r="B23" s="125" t="s">
        <v>44</v>
      </c>
      <c r="C23" s="151"/>
      <c r="D23" s="151"/>
      <c r="E23" s="151"/>
      <c r="F23" s="151"/>
      <c r="G23" s="151"/>
      <c r="H23" s="151"/>
      <c r="I23" s="126">
        <f>+I20*9%</f>
        <v>67387.412699999986</v>
      </c>
    </row>
    <row r="24" spans="2:11" ht="18">
      <c r="B24" s="125"/>
      <c r="C24" s="151"/>
      <c r="D24" s="151"/>
      <c r="E24" s="151"/>
      <c r="F24" s="151"/>
      <c r="G24" s="151"/>
      <c r="H24" s="151"/>
      <c r="I24" s="121"/>
    </row>
    <row r="25" spans="2:11" ht="18">
      <c r="B25" s="125" t="s">
        <v>45</v>
      </c>
      <c r="C25" s="151"/>
      <c r="D25" s="151"/>
      <c r="E25" s="151"/>
      <c r="F25" s="151"/>
      <c r="G25" s="151"/>
      <c r="H25" s="151"/>
      <c r="I25" s="126">
        <f>+I20*9%</f>
        <v>67387.412699999986</v>
      </c>
    </row>
    <row r="26" spans="2:11" ht="15.5" customHeight="1">
      <c r="B26" s="125"/>
      <c r="C26" s="151"/>
      <c r="D26" s="151"/>
      <c r="E26" s="151"/>
      <c r="F26" s="151"/>
      <c r="G26" s="151"/>
      <c r="H26" s="151"/>
      <c r="I26" s="121"/>
    </row>
    <row r="27" spans="2:11" ht="16" customHeight="1" thickBot="1">
      <c r="B27" s="125"/>
      <c r="C27" s="151"/>
      <c r="D27" s="151"/>
      <c r="E27" s="151"/>
      <c r="F27" s="151"/>
      <c r="G27" s="151"/>
      <c r="H27" s="151"/>
      <c r="I27" s="127">
        <f>SUM(I20:I26)</f>
        <v>883523.85539999988</v>
      </c>
    </row>
    <row r="28" spans="2:11" ht="39" customHeight="1" thickTop="1" thickBot="1">
      <c r="B28" s="125"/>
      <c r="C28" s="151"/>
      <c r="D28" s="151"/>
      <c r="E28" s="151"/>
      <c r="F28" s="151"/>
      <c r="G28" s="151"/>
      <c r="H28" s="151"/>
      <c r="I28" s="121"/>
    </row>
    <row r="29" spans="2:11">
      <c r="B29" s="166" t="s">
        <v>211</v>
      </c>
      <c r="C29" s="167"/>
      <c r="D29" s="167"/>
      <c r="E29" s="167"/>
      <c r="F29" s="167"/>
      <c r="G29" s="167"/>
      <c r="H29" s="167"/>
      <c r="I29" s="170">
        <f>I27</f>
        <v>883523.85539999988</v>
      </c>
    </row>
    <row r="30" spans="2:11" ht="16" thickBot="1">
      <c r="B30" s="168"/>
      <c r="C30" s="169"/>
      <c r="D30" s="169"/>
      <c r="E30" s="169"/>
      <c r="F30" s="169"/>
      <c r="G30" s="169"/>
      <c r="H30" s="169"/>
      <c r="I30" s="171"/>
    </row>
    <row r="31" spans="2:11" ht="16" thickBot="1">
      <c r="B31" s="176" t="str">
        <f>'BREAKUP '!B14:E14</f>
        <v>Rupees : Eight Lakhs Eighty Three Thousand Five Hundred And Twenty Four Only /-</v>
      </c>
      <c r="C31" s="177"/>
      <c r="D31" s="177"/>
      <c r="E31" s="177"/>
      <c r="F31" s="177"/>
      <c r="G31" s="177"/>
      <c r="H31" s="177"/>
      <c r="I31" s="178"/>
    </row>
    <row r="32" spans="2:11">
      <c r="B32" s="125"/>
      <c r="C32" s="151"/>
      <c r="D32" s="151"/>
      <c r="E32" s="151"/>
      <c r="F32" s="151"/>
      <c r="G32" s="151"/>
      <c r="H32" s="151"/>
      <c r="I32" s="128"/>
    </row>
    <row r="33" spans="2:9">
      <c r="B33" s="125"/>
      <c r="C33" s="151"/>
      <c r="D33" s="172"/>
      <c r="E33" s="172"/>
      <c r="F33" s="172"/>
      <c r="G33" s="172"/>
      <c r="H33" s="172"/>
      <c r="I33" s="173"/>
    </row>
    <row r="34" spans="2:9">
      <c r="B34" s="125"/>
      <c r="C34" s="151"/>
      <c r="D34" s="152"/>
      <c r="E34" s="152"/>
      <c r="F34" s="152"/>
      <c r="G34" s="152"/>
      <c r="H34" s="152"/>
      <c r="I34" s="129"/>
    </row>
    <row r="35" spans="2:9" ht="16" thickBot="1">
      <c r="B35" s="130"/>
      <c r="C35" s="131"/>
      <c r="D35" s="132"/>
      <c r="E35" s="132"/>
      <c r="F35" s="158"/>
      <c r="G35" s="158"/>
      <c r="H35" s="158"/>
      <c r="I35" s="159"/>
    </row>
  </sheetData>
  <mergeCells count="22">
    <mergeCell ref="B2:I2"/>
    <mergeCell ref="B3:I3"/>
    <mergeCell ref="B4:I4"/>
    <mergeCell ref="B5:I5"/>
    <mergeCell ref="I16:I17"/>
    <mergeCell ref="I14:I15"/>
    <mergeCell ref="G6:H7"/>
    <mergeCell ref="I6:I7"/>
    <mergeCell ref="G8:H9"/>
    <mergeCell ref="I8:I9"/>
    <mergeCell ref="G10:H11"/>
    <mergeCell ref="I10:I11"/>
    <mergeCell ref="G12:H13"/>
    <mergeCell ref="I12:I13"/>
    <mergeCell ref="F35:I35"/>
    <mergeCell ref="G14:H15"/>
    <mergeCell ref="B18:H18"/>
    <mergeCell ref="B29:H30"/>
    <mergeCell ref="I29:I30"/>
    <mergeCell ref="D33:I33"/>
    <mergeCell ref="G16:H17"/>
    <mergeCell ref="B31:I31"/>
  </mergeCells>
  <pageMargins left="0.59055118110236227" right="0" top="1.5748031496062993" bottom="0" header="0" footer="0"/>
  <pageSetup paperSize="9" fitToHeight="0" orientation="portrait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2"/>
  <sheetViews>
    <sheetView showGridLines="0" view="pageBreakPreview" zoomScale="60" zoomScaleNormal="55" workbookViewId="0">
      <selection activeCell="D15" sqref="D15"/>
    </sheetView>
  </sheetViews>
  <sheetFormatPr defaultColWidth="9.1796875" defaultRowHeight="15.5"/>
  <cols>
    <col min="1" max="1" width="3.453125" style="14" customWidth="1"/>
    <col min="2" max="2" width="9" style="14" customWidth="1"/>
    <col min="3" max="3" width="65.54296875" style="14" customWidth="1"/>
    <col min="4" max="4" width="19.1796875" style="14" customWidth="1"/>
    <col min="5" max="5" width="32.36328125" style="15" customWidth="1"/>
    <col min="6" max="6" width="12.1796875" style="14" customWidth="1"/>
    <col min="7" max="8" width="9.1796875" style="14"/>
    <col min="9" max="9" width="11.26953125" style="14" customWidth="1"/>
    <col min="10" max="16384" width="9.1796875" style="14"/>
  </cols>
  <sheetData>
    <row r="2" spans="2:9" ht="28.5" customHeight="1">
      <c r="B2" s="196" t="s">
        <v>215</v>
      </c>
      <c r="C2" s="197"/>
      <c r="D2" s="197"/>
      <c r="E2" s="198"/>
    </row>
    <row r="3" spans="2:9" ht="13.5" customHeight="1">
      <c r="B3" s="16"/>
      <c r="E3" s="17"/>
    </row>
    <row r="4" spans="2:9" ht="35.15" customHeight="1">
      <c r="B4" s="18" t="s">
        <v>46</v>
      </c>
      <c r="C4" s="199" t="s">
        <v>47</v>
      </c>
      <c r="D4" s="200"/>
      <c r="E4" s="19" t="s">
        <v>48</v>
      </c>
    </row>
    <row r="5" spans="2:9" ht="35.15" customHeight="1">
      <c r="B5" s="213">
        <v>1</v>
      </c>
      <c r="C5" s="201" t="s">
        <v>49</v>
      </c>
      <c r="D5" s="202"/>
      <c r="E5" s="215">
        <f>'D WAGES'!T47</f>
        <v>657637</v>
      </c>
    </row>
    <row r="6" spans="2:9" ht="35.15" customHeight="1">
      <c r="B6" s="214"/>
      <c r="C6" s="203" t="s">
        <v>218</v>
      </c>
      <c r="D6" s="204"/>
      <c r="E6" s="216"/>
      <c r="F6" s="23"/>
    </row>
    <row r="7" spans="2:9" ht="35.15" customHeight="1">
      <c r="B7" s="20">
        <v>2</v>
      </c>
      <c r="C7" s="21" t="s">
        <v>50</v>
      </c>
      <c r="D7" s="24">
        <f>'D WAGES'!K47</f>
        <v>292824</v>
      </c>
      <c r="E7" s="22">
        <f>D7*13%</f>
        <v>38067.120000000003</v>
      </c>
      <c r="F7" s="23"/>
    </row>
    <row r="8" spans="2:9" ht="35.15" customHeight="1">
      <c r="B8" s="20">
        <v>3</v>
      </c>
      <c r="C8" s="21" t="s">
        <v>51</v>
      </c>
      <c r="D8" s="25">
        <f>'D WAGES'!U47</f>
        <v>418052</v>
      </c>
      <c r="E8" s="22">
        <f>D8*3.25%</f>
        <v>13586.69</v>
      </c>
      <c r="F8" s="23"/>
    </row>
    <row r="9" spans="2:9" ht="35.15" customHeight="1">
      <c r="B9" s="26">
        <v>4</v>
      </c>
      <c r="C9" s="205" t="s">
        <v>52</v>
      </c>
      <c r="D9" s="206"/>
      <c r="E9" s="27">
        <f>+E5*6%</f>
        <v>39458.22</v>
      </c>
      <c r="F9" s="23"/>
    </row>
    <row r="10" spans="2:9" ht="35.15" customHeight="1">
      <c r="B10" s="26"/>
      <c r="C10" s="217" t="s">
        <v>53</v>
      </c>
      <c r="D10" s="218"/>
      <c r="E10" s="27">
        <f>+E9+E5+E7+E8</f>
        <v>748749.02999999991</v>
      </c>
    </row>
    <row r="11" spans="2:9" ht="35.15" customHeight="1">
      <c r="B11" s="26">
        <v>5</v>
      </c>
      <c r="C11" s="205" t="s">
        <v>54</v>
      </c>
      <c r="D11" s="206"/>
      <c r="E11" s="28">
        <f>+E10*9%</f>
        <v>67387.412699999986</v>
      </c>
    </row>
    <row r="12" spans="2:9" ht="35.15" customHeight="1">
      <c r="B12" s="26">
        <v>6</v>
      </c>
      <c r="C12" s="205" t="s">
        <v>55</v>
      </c>
      <c r="D12" s="206"/>
      <c r="E12" s="28">
        <f>+E10*9%</f>
        <v>67387.412699999986</v>
      </c>
    </row>
    <row r="13" spans="2:9" ht="35.15" customHeight="1">
      <c r="B13" s="29"/>
      <c r="C13" s="219" t="s">
        <v>56</v>
      </c>
      <c r="D13" s="220"/>
      <c r="E13" s="30">
        <f>+E12+E11+E10</f>
        <v>883523.85539999988</v>
      </c>
    </row>
    <row r="14" spans="2:9" ht="49.4" customHeight="1">
      <c r="B14" s="221" t="s">
        <v>221</v>
      </c>
      <c r="C14" s="222"/>
      <c r="D14" s="222"/>
      <c r="E14" s="223"/>
      <c r="G14" s="31"/>
      <c r="H14" s="31"/>
      <c r="I14" s="47"/>
    </row>
    <row r="15" spans="2:9" ht="35.15" customHeight="1">
      <c r="B15" s="32">
        <v>1</v>
      </c>
      <c r="C15" s="33" t="s">
        <v>57</v>
      </c>
      <c r="D15" s="34">
        <f>'D WAGES'!X47</f>
        <v>6240</v>
      </c>
      <c r="E15" s="35"/>
    </row>
    <row r="16" spans="2:9" ht="35.15" customHeight="1">
      <c r="B16" s="36">
        <v>2</v>
      </c>
      <c r="C16" s="37" t="s">
        <v>58</v>
      </c>
      <c r="D16" s="38">
        <f>'D WAGES'!Y47</f>
        <v>0</v>
      </c>
      <c r="E16" s="17"/>
    </row>
    <row r="17" spans="2:5" ht="35.15" customHeight="1">
      <c r="B17" s="39">
        <v>3</v>
      </c>
      <c r="C17" s="40" t="s">
        <v>220</v>
      </c>
      <c r="D17" s="41">
        <f>'ROOM ALLOW'!F21</f>
        <v>4250</v>
      </c>
      <c r="E17" s="42"/>
    </row>
    <row r="18" spans="2:5" ht="23.25" customHeight="1">
      <c r="B18" s="207"/>
      <c r="C18" s="208"/>
      <c r="D18" s="208"/>
      <c r="E18" s="209"/>
    </row>
    <row r="19" spans="2:5" ht="23">
      <c r="B19" s="43"/>
      <c r="C19" s="44"/>
      <c r="D19" s="44"/>
      <c r="E19" s="17"/>
    </row>
    <row r="20" spans="2:5">
      <c r="B20" s="45"/>
      <c r="C20" s="46"/>
      <c r="D20" s="46"/>
      <c r="E20" s="17"/>
    </row>
    <row r="21" spans="2:5">
      <c r="B21" s="45"/>
      <c r="C21" s="46"/>
      <c r="D21" s="46"/>
      <c r="E21" s="17"/>
    </row>
    <row r="22" spans="2:5" ht="45.75" customHeight="1">
      <c r="B22" s="210"/>
      <c r="C22" s="211"/>
      <c r="D22" s="211"/>
      <c r="E22" s="212"/>
    </row>
  </sheetData>
  <mergeCells count="14">
    <mergeCell ref="B18:E18"/>
    <mergeCell ref="B22:E22"/>
    <mergeCell ref="B5:B6"/>
    <mergeCell ref="E5:E6"/>
    <mergeCell ref="C10:D10"/>
    <mergeCell ref="C11:D11"/>
    <mergeCell ref="C12:D12"/>
    <mergeCell ref="C13:D13"/>
    <mergeCell ref="B14:E14"/>
    <mergeCell ref="B2:E2"/>
    <mergeCell ref="C4:D4"/>
    <mergeCell ref="C5:D5"/>
    <mergeCell ref="C6:D6"/>
    <mergeCell ref="C9:D9"/>
  </mergeCells>
  <pageMargins left="0.55118110236220474" right="0.43307086614173229" top="1.6141732283464567" bottom="0.15748031496062992" header="0" footer="0"/>
  <pageSetup paperSize="9" scale="7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8"/>
  <sheetViews>
    <sheetView topLeftCell="F47" workbookViewId="0">
      <selection activeCell="H47" sqref="H1:H1048576"/>
    </sheetView>
  </sheetViews>
  <sheetFormatPr defaultRowHeight="14.5"/>
  <cols>
    <col min="1" max="1" width="5.1796875" bestFit="1" customWidth="1"/>
    <col min="2" max="2" width="7.26953125" bestFit="1" customWidth="1"/>
    <col min="3" max="3" width="20.7265625" customWidth="1"/>
    <col min="4" max="4" width="15.7265625" hidden="1" customWidth="1"/>
    <col min="5" max="7" width="15.7265625" customWidth="1"/>
    <col min="8" max="8" width="4.26953125" customWidth="1"/>
    <col min="9" max="15" width="5.54296875" customWidth="1"/>
    <col min="16" max="16" width="7.453125" bestFit="1" customWidth="1"/>
    <col min="17" max="17" width="5.54296875" customWidth="1"/>
    <col min="18" max="19" width="15.7265625" customWidth="1"/>
  </cols>
  <sheetData>
    <row r="1" spans="1:23" ht="18.5">
      <c r="A1" s="224" t="s">
        <v>146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</row>
    <row r="2" spans="1:23">
      <c r="A2" s="225" t="s">
        <v>147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</row>
    <row r="3" spans="1:23">
      <c r="A3" s="225" t="s">
        <v>148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</row>
    <row r="4" spans="1:23" ht="15.5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6" spans="1:23" ht="72.5">
      <c r="A6" s="75" t="s">
        <v>149</v>
      </c>
      <c r="B6" s="75" t="s">
        <v>150</v>
      </c>
      <c r="C6" s="75" t="s">
        <v>151</v>
      </c>
      <c r="D6" s="75" t="s">
        <v>152</v>
      </c>
      <c r="E6" s="75" t="s">
        <v>108</v>
      </c>
      <c r="F6" s="75"/>
      <c r="G6" s="75"/>
      <c r="H6" s="75" t="s">
        <v>153</v>
      </c>
      <c r="I6" s="75" t="s">
        <v>59</v>
      </c>
      <c r="J6" s="75" t="s">
        <v>154</v>
      </c>
      <c r="K6" s="75" t="s">
        <v>155</v>
      </c>
      <c r="L6" s="75" t="s">
        <v>156</v>
      </c>
      <c r="M6" s="75" t="s">
        <v>157</v>
      </c>
      <c r="N6" s="227" t="s">
        <v>158</v>
      </c>
      <c r="O6" s="227"/>
      <c r="P6" s="227"/>
      <c r="Q6" s="227"/>
      <c r="R6" s="75" t="s">
        <v>159</v>
      </c>
      <c r="S6" s="76" t="s">
        <v>160</v>
      </c>
      <c r="T6" s="77" t="s">
        <v>161</v>
      </c>
    </row>
    <row r="7" spans="1:2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 t="s">
        <v>162</v>
      </c>
      <c r="O7" s="75" t="s">
        <v>163</v>
      </c>
      <c r="P7" s="75" t="s">
        <v>164</v>
      </c>
      <c r="Q7" s="75" t="s">
        <v>165</v>
      </c>
      <c r="R7" s="75"/>
      <c r="S7" s="75"/>
    </row>
    <row r="8" spans="1:23">
      <c r="A8" s="78">
        <v>1</v>
      </c>
      <c r="B8" s="78">
        <v>20385</v>
      </c>
      <c r="C8" s="78" t="s">
        <v>68</v>
      </c>
      <c r="D8" s="78" t="s">
        <v>166</v>
      </c>
      <c r="E8" s="78" t="s">
        <v>67</v>
      </c>
      <c r="F8" s="78" t="e">
        <f>+VLOOKUP(B8,#REF!,3,0)</f>
        <v>#REF!</v>
      </c>
      <c r="G8" s="78" t="e">
        <f>+E8=F8</f>
        <v>#REF!</v>
      </c>
      <c r="H8" s="78">
        <v>21</v>
      </c>
      <c r="I8" s="78">
        <v>3</v>
      </c>
      <c r="J8" s="78">
        <v>0</v>
      </c>
      <c r="K8" s="78">
        <v>0</v>
      </c>
      <c r="L8" s="78">
        <v>0</v>
      </c>
      <c r="M8" s="78">
        <v>2</v>
      </c>
      <c r="N8" s="78">
        <v>21</v>
      </c>
      <c r="O8" s="78">
        <v>0</v>
      </c>
      <c r="P8" s="78">
        <v>0</v>
      </c>
      <c r="Q8" s="78">
        <v>0</v>
      </c>
      <c r="R8" s="78">
        <v>61</v>
      </c>
      <c r="S8" s="78">
        <v>5</v>
      </c>
      <c r="T8">
        <f>P8*45</f>
        <v>0</v>
      </c>
      <c r="U8">
        <v>0</v>
      </c>
      <c r="V8">
        <f>+VLOOKUP(B8,'[1]D WAGES'!$B$4:$P$54,15,0)</f>
        <v>0</v>
      </c>
      <c r="W8">
        <f>+U8-V8</f>
        <v>0</v>
      </c>
    </row>
    <row r="9" spans="1:23">
      <c r="A9" s="78">
        <v>2</v>
      </c>
      <c r="B9" s="78">
        <v>21227</v>
      </c>
      <c r="C9" s="78" t="s">
        <v>71</v>
      </c>
      <c r="D9" s="78" t="s">
        <v>166</v>
      </c>
      <c r="E9" s="78" t="s">
        <v>70</v>
      </c>
      <c r="F9" s="78" t="e">
        <f>+VLOOKUP(B9,#REF!,3,0)</f>
        <v>#REF!</v>
      </c>
      <c r="G9" s="78" t="e">
        <f t="shared" ref="G9:G67" si="0">+E9=F9</f>
        <v>#REF!</v>
      </c>
      <c r="H9" s="78">
        <v>21</v>
      </c>
      <c r="I9" s="78">
        <v>3</v>
      </c>
      <c r="J9" s="78">
        <v>2</v>
      </c>
      <c r="K9" s="78">
        <v>0</v>
      </c>
      <c r="L9" s="78">
        <v>0</v>
      </c>
      <c r="M9" s="78">
        <v>2</v>
      </c>
      <c r="N9" s="78">
        <v>21</v>
      </c>
      <c r="O9" s="78">
        <v>0</v>
      </c>
      <c r="P9" s="78">
        <v>0</v>
      </c>
      <c r="Q9" s="78">
        <v>0</v>
      </c>
      <c r="R9" s="78">
        <v>45</v>
      </c>
      <c r="S9" s="78">
        <v>3</v>
      </c>
      <c r="T9">
        <f t="shared" ref="T9:T63" si="1">P9*45</f>
        <v>0</v>
      </c>
      <c r="U9">
        <v>0</v>
      </c>
      <c r="V9">
        <f>+VLOOKUP(B9,'[1]D WAGES'!$B$4:$P$54,15,0)</f>
        <v>0</v>
      </c>
      <c r="W9">
        <f t="shared" ref="W9:W67" si="2">+U9-V9</f>
        <v>0</v>
      </c>
    </row>
    <row r="10" spans="1:23">
      <c r="A10" s="78">
        <v>3</v>
      </c>
      <c r="B10" s="78">
        <v>21295</v>
      </c>
      <c r="C10" s="78" t="s">
        <v>72</v>
      </c>
      <c r="D10" s="78" t="s">
        <v>166</v>
      </c>
      <c r="E10" s="78" t="s">
        <v>67</v>
      </c>
      <c r="F10" s="78" t="e">
        <f>+VLOOKUP(B10,#REF!,3,0)</f>
        <v>#REF!</v>
      </c>
      <c r="G10" s="78" t="e">
        <f t="shared" si="0"/>
        <v>#REF!</v>
      </c>
      <c r="H10" s="78">
        <v>22</v>
      </c>
      <c r="I10" s="78">
        <v>3</v>
      </c>
      <c r="J10" s="78">
        <v>2</v>
      </c>
      <c r="K10" s="78">
        <v>0</v>
      </c>
      <c r="L10" s="78">
        <v>0</v>
      </c>
      <c r="M10" s="78">
        <v>1</v>
      </c>
      <c r="N10" s="78">
        <v>22</v>
      </c>
      <c r="O10" s="78">
        <v>0</v>
      </c>
      <c r="P10" s="78">
        <v>0</v>
      </c>
      <c r="Q10" s="78">
        <v>0</v>
      </c>
      <c r="R10" s="78">
        <v>46</v>
      </c>
      <c r="S10" s="78">
        <v>3</v>
      </c>
      <c r="T10">
        <f t="shared" si="1"/>
        <v>0</v>
      </c>
      <c r="U10">
        <v>0</v>
      </c>
      <c r="V10">
        <f>+VLOOKUP(B10,'[1]D WAGES'!$B$4:$P$54,15,0)</f>
        <v>0</v>
      </c>
      <c r="W10">
        <f t="shared" si="2"/>
        <v>0</v>
      </c>
    </row>
    <row r="11" spans="1:23">
      <c r="A11" s="78">
        <v>4</v>
      </c>
      <c r="B11" s="78">
        <v>21332</v>
      </c>
      <c r="C11" s="78" t="s">
        <v>73</v>
      </c>
      <c r="D11" s="78" t="s">
        <v>166</v>
      </c>
      <c r="E11" s="78" t="s">
        <v>67</v>
      </c>
      <c r="F11" s="78" t="e">
        <f>+VLOOKUP(B11,#REF!,3,0)</f>
        <v>#REF!</v>
      </c>
      <c r="G11" s="78" t="e">
        <f t="shared" si="0"/>
        <v>#REF!</v>
      </c>
      <c r="H11" s="78">
        <v>9</v>
      </c>
      <c r="I11" s="78">
        <v>3</v>
      </c>
      <c r="J11" s="78">
        <v>5</v>
      </c>
      <c r="K11" s="78">
        <v>0</v>
      </c>
      <c r="L11" s="78">
        <v>0</v>
      </c>
      <c r="M11" s="78">
        <v>14</v>
      </c>
      <c r="N11" s="78">
        <v>9</v>
      </c>
      <c r="O11" s="78">
        <v>0</v>
      </c>
      <c r="P11" s="78">
        <v>0</v>
      </c>
      <c r="Q11" s="78">
        <v>0</v>
      </c>
      <c r="R11" s="78">
        <v>9</v>
      </c>
      <c r="S11" s="78">
        <v>0</v>
      </c>
      <c r="T11">
        <f t="shared" si="1"/>
        <v>0</v>
      </c>
      <c r="U11">
        <v>0</v>
      </c>
      <c r="V11">
        <f>+VLOOKUP(B11,'[1]D WAGES'!$B$4:$P$54,15,0)</f>
        <v>0</v>
      </c>
      <c r="W11">
        <f t="shared" si="2"/>
        <v>0</v>
      </c>
    </row>
    <row r="12" spans="1:23">
      <c r="A12" s="78">
        <v>6</v>
      </c>
      <c r="B12" s="78">
        <v>21481</v>
      </c>
      <c r="C12" s="78" t="s">
        <v>75</v>
      </c>
      <c r="D12" s="78" t="s">
        <v>166</v>
      </c>
      <c r="E12" s="78" t="s">
        <v>67</v>
      </c>
      <c r="F12" s="78" t="e">
        <f>+VLOOKUP(B12,#REF!,3,0)</f>
        <v>#REF!</v>
      </c>
      <c r="G12" s="78" t="e">
        <f t="shared" si="0"/>
        <v>#REF!</v>
      </c>
      <c r="H12" s="78">
        <v>20</v>
      </c>
      <c r="I12" s="78">
        <v>3</v>
      </c>
      <c r="J12" s="78">
        <v>3</v>
      </c>
      <c r="K12" s="78">
        <v>0</v>
      </c>
      <c r="L12" s="78">
        <v>0</v>
      </c>
      <c r="M12" s="78">
        <v>3</v>
      </c>
      <c r="N12" s="78">
        <v>20</v>
      </c>
      <c r="O12" s="78">
        <v>0</v>
      </c>
      <c r="P12" s="78">
        <v>0</v>
      </c>
      <c r="Q12" s="78">
        <v>0</v>
      </c>
      <c r="R12" s="78">
        <v>36</v>
      </c>
      <c r="S12" s="78">
        <v>2</v>
      </c>
      <c r="T12">
        <f t="shared" si="1"/>
        <v>0</v>
      </c>
      <c r="U12">
        <v>0</v>
      </c>
      <c r="V12">
        <f>+VLOOKUP(B12,'[1]D WAGES'!$B$4:$P$54,15,0)</f>
        <v>0</v>
      </c>
      <c r="W12">
        <f t="shared" si="2"/>
        <v>0</v>
      </c>
    </row>
    <row r="13" spans="1:23">
      <c r="A13" s="78">
        <v>7</v>
      </c>
      <c r="B13" s="78">
        <v>21515</v>
      </c>
      <c r="C13" s="78" t="s">
        <v>77</v>
      </c>
      <c r="D13" s="78" t="s">
        <v>166</v>
      </c>
      <c r="E13" s="78" t="s">
        <v>67</v>
      </c>
      <c r="F13" s="78" t="e">
        <f>+VLOOKUP(B13,#REF!,3,0)</f>
        <v>#REF!</v>
      </c>
      <c r="G13" s="78" t="e">
        <f t="shared" si="0"/>
        <v>#REF!</v>
      </c>
      <c r="H13" s="78">
        <v>21</v>
      </c>
      <c r="I13" s="78">
        <v>3</v>
      </c>
      <c r="J13" s="78">
        <v>2</v>
      </c>
      <c r="K13" s="78">
        <v>0</v>
      </c>
      <c r="L13" s="78">
        <v>0</v>
      </c>
      <c r="M13" s="78">
        <v>2</v>
      </c>
      <c r="N13" s="78">
        <v>21</v>
      </c>
      <c r="O13" s="78">
        <v>0</v>
      </c>
      <c r="P13" s="78">
        <v>0</v>
      </c>
      <c r="Q13" s="78">
        <v>0</v>
      </c>
      <c r="R13" s="78">
        <v>45</v>
      </c>
      <c r="S13" s="78">
        <v>3</v>
      </c>
      <c r="T13">
        <f t="shared" si="1"/>
        <v>0</v>
      </c>
      <c r="U13">
        <v>0</v>
      </c>
      <c r="V13">
        <f>+VLOOKUP(B13,'[1]D WAGES'!$B$4:$P$54,15,0)</f>
        <v>0</v>
      </c>
      <c r="W13">
        <f t="shared" si="2"/>
        <v>0</v>
      </c>
    </row>
    <row r="14" spans="1:23">
      <c r="A14" s="78">
        <v>8</v>
      </c>
      <c r="B14" s="78">
        <v>21517</v>
      </c>
      <c r="C14" s="78" t="s">
        <v>79</v>
      </c>
      <c r="D14" s="78" t="s">
        <v>166</v>
      </c>
      <c r="E14" s="78" t="s">
        <v>67</v>
      </c>
      <c r="F14" s="78" t="e">
        <f>+VLOOKUP(B14,#REF!,3,0)</f>
        <v>#REF!</v>
      </c>
      <c r="G14" s="78" t="e">
        <f t="shared" si="0"/>
        <v>#REF!</v>
      </c>
      <c r="H14" s="78">
        <v>18</v>
      </c>
      <c r="I14" s="78">
        <v>3</v>
      </c>
      <c r="J14" s="78">
        <v>4</v>
      </c>
      <c r="K14" s="78">
        <v>0</v>
      </c>
      <c r="L14" s="78">
        <v>0</v>
      </c>
      <c r="M14" s="78">
        <v>5</v>
      </c>
      <c r="N14" s="78">
        <v>18</v>
      </c>
      <c r="O14" s="78">
        <v>0</v>
      </c>
      <c r="P14" s="78">
        <v>0</v>
      </c>
      <c r="Q14" s="78">
        <v>0</v>
      </c>
      <c r="R14" s="78">
        <v>26</v>
      </c>
      <c r="S14" s="78">
        <v>1</v>
      </c>
      <c r="T14">
        <f t="shared" si="1"/>
        <v>0</v>
      </c>
      <c r="U14">
        <v>0</v>
      </c>
      <c r="V14">
        <f>+VLOOKUP(B14,'[1]D WAGES'!$B$4:$P$54,15,0)</f>
        <v>0</v>
      </c>
      <c r="W14">
        <f t="shared" si="2"/>
        <v>0</v>
      </c>
    </row>
    <row r="15" spans="1:23">
      <c r="A15" s="78">
        <v>9</v>
      </c>
      <c r="B15" s="78">
        <v>21555</v>
      </c>
      <c r="C15" s="78" t="s">
        <v>81</v>
      </c>
      <c r="D15" s="78" t="s">
        <v>166</v>
      </c>
      <c r="E15" s="78" t="s">
        <v>82</v>
      </c>
      <c r="F15" s="78" t="e">
        <f>+VLOOKUP(B15,#REF!,3,0)</f>
        <v>#REF!</v>
      </c>
      <c r="G15" s="78" t="e">
        <f t="shared" si="0"/>
        <v>#REF!</v>
      </c>
      <c r="H15" s="78">
        <v>21</v>
      </c>
      <c r="I15" s="78">
        <v>3</v>
      </c>
      <c r="J15" s="78">
        <v>1</v>
      </c>
      <c r="K15" s="78">
        <v>0</v>
      </c>
      <c r="L15" s="78">
        <v>0</v>
      </c>
      <c r="M15" s="78">
        <v>2</v>
      </c>
      <c r="N15" s="78">
        <v>0</v>
      </c>
      <c r="O15" s="78">
        <v>1</v>
      </c>
      <c r="P15" s="78">
        <v>20</v>
      </c>
      <c r="Q15" s="78">
        <v>0</v>
      </c>
      <c r="R15" s="78">
        <v>127</v>
      </c>
      <c r="S15" s="78">
        <v>23</v>
      </c>
      <c r="T15">
        <f t="shared" si="1"/>
        <v>900</v>
      </c>
      <c r="U15">
        <f t="shared" ref="U15:U67" si="3">+S15*20</f>
        <v>460</v>
      </c>
      <c r="V15">
        <f>+VLOOKUP(B15,'[1]D WAGES'!$B$4:$P$54,15,0)</f>
        <v>460</v>
      </c>
      <c r="W15">
        <f t="shared" si="2"/>
        <v>0</v>
      </c>
    </row>
    <row r="16" spans="1:23">
      <c r="A16" s="78">
        <v>10</v>
      </c>
      <c r="B16" s="78">
        <v>21588</v>
      </c>
      <c r="C16" s="78" t="s">
        <v>83</v>
      </c>
      <c r="D16" s="78" t="s">
        <v>166</v>
      </c>
      <c r="E16" s="78" t="s">
        <v>67</v>
      </c>
      <c r="F16" s="78" t="e">
        <f>+VLOOKUP(B16,#REF!,3,0)</f>
        <v>#REF!</v>
      </c>
      <c r="G16" s="78" t="e">
        <f t="shared" si="0"/>
        <v>#REF!</v>
      </c>
      <c r="H16" s="78">
        <v>17</v>
      </c>
      <c r="I16" s="78">
        <v>3</v>
      </c>
      <c r="J16" s="78">
        <v>3</v>
      </c>
      <c r="K16" s="78">
        <v>0</v>
      </c>
      <c r="L16" s="78">
        <v>0</v>
      </c>
      <c r="M16" s="78">
        <v>6</v>
      </c>
      <c r="N16" s="78">
        <v>17</v>
      </c>
      <c r="O16" s="78">
        <v>0</v>
      </c>
      <c r="P16" s="78">
        <v>0</v>
      </c>
      <c r="Q16" s="78">
        <v>0</v>
      </c>
      <c r="R16" s="78">
        <v>33</v>
      </c>
      <c r="S16" s="78">
        <v>2</v>
      </c>
      <c r="T16">
        <f t="shared" si="1"/>
        <v>0</v>
      </c>
      <c r="U16">
        <v>0</v>
      </c>
      <c r="V16">
        <f>+VLOOKUP(B16,'[1]D WAGES'!$B$4:$P$54,15,0)</f>
        <v>0</v>
      </c>
      <c r="W16">
        <f t="shared" si="2"/>
        <v>0</v>
      </c>
    </row>
    <row r="17" spans="1:23">
      <c r="A17" s="78">
        <v>11</v>
      </c>
      <c r="B17" s="78">
        <v>21710</v>
      </c>
      <c r="C17" s="78" t="s">
        <v>84</v>
      </c>
      <c r="D17" s="78" t="s">
        <v>166</v>
      </c>
      <c r="E17" s="78" t="s">
        <v>67</v>
      </c>
      <c r="F17" s="78" t="e">
        <f>+VLOOKUP(B17,#REF!,3,0)</f>
        <v>#REF!</v>
      </c>
      <c r="G17" s="78" t="e">
        <f t="shared" si="0"/>
        <v>#REF!</v>
      </c>
      <c r="H17" s="78">
        <v>23</v>
      </c>
      <c r="I17" s="78">
        <v>3</v>
      </c>
      <c r="J17" s="78">
        <v>0</v>
      </c>
      <c r="K17" s="78">
        <v>0</v>
      </c>
      <c r="L17" s="78">
        <v>0</v>
      </c>
      <c r="M17" s="78">
        <v>0</v>
      </c>
      <c r="N17" s="78">
        <v>23</v>
      </c>
      <c r="O17" s="78">
        <v>0</v>
      </c>
      <c r="P17" s="78">
        <v>0</v>
      </c>
      <c r="Q17" s="78">
        <v>0</v>
      </c>
      <c r="R17" s="78">
        <v>63</v>
      </c>
      <c r="S17" s="78">
        <v>5</v>
      </c>
      <c r="T17">
        <f t="shared" si="1"/>
        <v>0</v>
      </c>
      <c r="U17">
        <v>0</v>
      </c>
      <c r="V17">
        <f>+VLOOKUP(B17,'[1]D WAGES'!$B$4:$P$54,15,0)</f>
        <v>0</v>
      </c>
      <c r="W17">
        <f t="shared" si="2"/>
        <v>0</v>
      </c>
    </row>
    <row r="18" spans="1:23">
      <c r="A18" s="78">
        <v>12</v>
      </c>
      <c r="B18" s="78">
        <v>21713</v>
      </c>
      <c r="C18" s="78" t="s">
        <v>86</v>
      </c>
      <c r="D18" s="78" t="s">
        <v>166</v>
      </c>
      <c r="E18" s="78" t="s">
        <v>25</v>
      </c>
      <c r="F18" s="78" t="e">
        <f>+VLOOKUP(B18,#REF!,3,0)</f>
        <v>#REF!</v>
      </c>
      <c r="G18" s="78" t="e">
        <f t="shared" si="0"/>
        <v>#REF!</v>
      </c>
      <c r="H18" s="78">
        <v>22</v>
      </c>
      <c r="I18" s="78">
        <v>3</v>
      </c>
      <c r="J18" s="78">
        <v>2</v>
      </c>
      <c r="K18" s="78">
        <v>0</v>
      </c>
      <c r="L18" s="78">
        <v>0</v>
      </c>
      <c r="M18" s="78">
        <v>1</v>
      </c>
      <c r="N18" s="78">
        <v>0</v>
      </c>
      <c r="O18" s="78">
        <v>12</v>
      </c>
      <c r="P18" s="78">
        <v>10</v>
      </c>
      <c r="Q18" s="78">
        <v>0</v>
      </c>
      <c r="R18" s="78">
        <v>124</v>
      </c>
      <c r="S18" s="78">
        <v>25</v>
      </c>
      <c r="T18">
        <f t="shared" si="1"/>
        <v>450</v>
      </c>
      <c r="U18">
        <f t="shared" si="3"/>
        <v>500</v>
      </c>
      <c r="V18">
        <f>+VLOOKUP(B18,'[1]D WAGES'!$B$4:$P$54,15,0)</f>
        <v>500</v>
      </c>
      <c r="W18">
        <f t="shared" si="2"/>
        <v>0</v>
      </c>
    </row>
    <row r="19" spans="1:23">
      <c r="A19" s="78">
        <v>13</v>
      </c>
      <c r="B19" s="78">
        <v>22042</v>
      </c>
      <c r="C19" s="78" t="s">
        <v>88</v>
      </c>
      <c r="D19" s="78" t="s">
        <v>166</v>
      </c>
      <c r="E19" s="78" t="s">
        <v>25</v>
      </c>
      <c r="F19" s="78" t="e">
        <f>+VLOOKUP(B19,#REF!,3,0)</f>
        <v>#REF!</v>
      </c>
      <c r="G19" s="78" t="e">
        <f t="shared" si="0"/>
        <v>#REF!</v>
      </c>
      <c r="H19" s="78">
        <v>18</v>
      </c>
      <c r="I19" s="78">
        <v>3</v>
      </c>
      <c r="J19" s="78">
        <v>3</v>
      </c>
      <c r="K19" s="78">
        <v>0</v>
      </c>
      <c r="L19" s="78">
        <v>0</v>
      </c>
      <c r="M19" s="78">
        <v>5</v>
      </c>
      <c r="N19" s="78">
        <v>0</v>
      </c>
      <c r="O19" s="78">
        <v>10</v>
      </c>
      <c r="P19" s="78">
        <v>8</v>
      </c>
      <c r="Q19" s="78">
        <v>0</v>
      </c>
      <c r="R19" s="78">
        <v>81</v>
      </c>
      <c r="S19" s="78">
        <v>19</v>
      </c>
      <c r="T19">
        <f t="shared" si="1"/>
        <v>360</v>
      </c>
      <c r="U19">
        <f t="shared" si="3"/>
        <v>380</v>
      </c>
      <c r="V19">
        <f>+VLOOKUP(B19,'[1]D WAGES'!$B$4:$P$54,15,0)</f>
        <v>380</v>
      </c>
      <c r="W19">
        <f t="shared" si="2"/>
        <v>0</v>
      </c>
    </row>
    <row r="20" spans="1:23">
      <c r="A20" s="78">
        <v>14</v>
      </c>
      <c r="B20" s="78">
        <v>22050</v>
      </c>
      <c r="C20" s="78" t="s">
        <v>89</v>
      </c>
      <c r="D20" s="78" t="s">
        <v>166</v>
      </c>
      <c r="E20" s="78" t="s">
        <v>67</v>
      </c>
      <c r="F20" s="78" t="e">
        <f>+VLOOKUP(B20,#REF!,3,0)</f>
        <v>#REF!</v>
      </c>
      <c r="G20" s="78" t="e">
        <f t="shared" si="0"/>
        <v>#REF!</v>
      </c>
      <c r="H20" s="78">
        <v>22</v>
      </c>
      <c r="I20" s="78">
        <v>3</v>
      </c>
      <c r="J20" s="78">
        <v>0</v>
      </c>
      <c r="K20" s="78">
        <v>0</v>
      </c>
      <c r="L20" s="78">
        <v>0</v>
      </c>
      <c r="M20" s="78">
        <v>1</v>
      </c>
      <c r="N20" s="78">
        <v>22</v>
      </c>
      <c r="O20" s="78">
        <v>0</v>
      </c>
      <c r="P20" s="78">
        <v>0</v>
      </c>
      <c r="Q20" s="78">
        <v>0</v>
      </c>
      <c r="R20" s="78">
        <v>62</v>
      </c>
      <c r="S20" s="78">
        <v>5</v>
      </c>
      <c r="T20">
        <f t="shared" si="1"/>
        <v>0</v>
      </c>
      <c r="U20">
        <v>0</v>
      </c>
      <c r="V20">
        <f>+VLOOKUP(B20,'[1]D WAGES'!$B$4:$P$54,15,0)</f>
        <v>0</v>
      </c>
      <c r="W20">
        <f t="shared" si="2"/>
        <v>0</v>
      </c>
    </row>
    <row r="21" spans="1:23">
      <c r="A21" s="78">
        <v>16</v>
      </c>
      <c r="B21" s="78">
        <v>22104</v>
      </c>
      <c r="C21" s="78" t="s">
        <v>92</v>
      </c>
      <c r="D21" s="78" t="s">
        <v>166</v>
      </c>
      <c r="E21" s="78" t="s">
        <v>67</v>
      </c>
      <c r="F21" s="78" t="e">
        <f>+VLOOKUP(B21,#REF!,3,0)</f>
        <v>#REF!</v>
      </c>
      <c r="G21" s="78" t="e">
        <f t="shared" si="0"/>
        <v>#REF!</v>
      </c>
      <c r="H21" s="78">
        <v>23</v>
      </c>
      <c r="I21" s="78">
        <v>3</v>
      </c>
      <c r="J21" s="78">
        <v>4</v>
      </c>
      <c r="K21" s="78">
        <v>0</v>
      </c>
      <c r="L21" s="78">
        <v>0</v>
      </c>
      <c r="M21" s="78">
        <v>0</v>
      </c>
      <c r="N21" s="78">
        <v>23</v>
      </c>
      <c r="O21" s="78">
        <v>0</v>
      </c>
      <c r="P21" s="78">
        <v>0</v>
      </c>
      <c r="Q21" s="78">
        <v>0</v>
      </c>
      <c r="R21" s="78">
        <v>31</v>
      </c>
      <c r="S21" s="78">
        <v>1</v>
      </c>
      <c r="T21">
        <f t="shared" si="1"/>
        <v>0</v>
      </c>
      <c r="U21">
        <v>0</v>
      </c>
      <c r="V21">
        <f>+VLOOKUP(B21,'[1]D WAGES'!$B$4:$P$54,15,0)</f>
        <v>0</v>
      </c>
      <c r="W21">
        <f t="shared" si="2"/>
        <v>0</v>
      </c>
    </row>
    <row r="22" spans="1:23">
      <c r="A22" s="78">
        <v>17</v>
      </c>
      <c r="B22" s="78">
        <v>22111</v>
      </c>
      <c r="C22" s="78" t="s">
        <v>75</v>
      </c>
      <c r="D22" s="78" t="s">
        <v>166</v>
      </c>
      <c r="E22" s="78" t="s">
        <v>67</v>
      </c>
      <c r="F22" s="78" t="e">
        <f>+VLOOKUP(B22,#REF!,3,0)</f>
        <v>#REF!</v>
      </c>
      <c r="G22" s="78" t="e">
        <f t="shared" si="0"/>
        <v>#REF!</v>
      </c>
      <c r="H22" s="78">
        <v>18</v>
      </c>
      <c r="I22" s="78">
        <v>3</v>
      </c>
      <c r="J22" s="78">
        <v>5</v>
      </c>
      <c r="K22" s="78">
        <v>0</v>
      </c>
      <c r="L22" s="78">
        <v>0</v>
      </c>
      <c r="M22" s="78">
        <v>5</v>
      </c>
      <c r="N22" s="78">
        <v>18</v>
      </c>
      <c r="O22" s="78">
        <v>0</v>
      </c>
      <c r="P22" s="78">
        <v>0</v>
      </c>
      <c r="Q22" s="78">
        <v>0</v>
      </c>
      <c r="R22" s="78">
        <v>18</v>
      </c>
      <c r="S22" s="78">
        <v>0</v>
      </c>
      <c r="T22">
        <f t="shared" si="1"/>
        <v>0</v>
      </c>
      <c r="U22">
        <f t="shared" si="3"/>
        <v>0</v>
      </c>
      <c r="V22">
        <f>+VLOOKUP(B22,'[1]D WAGES'!$B$4:$P$54,15,0)</f>
        <v>0</v>
      </c>
      <c r="W22">
        <f t="shared" si="2"/>
        <v>0</v>
      </c>
    </row>
    <row r="23" spans="1:23">
      <c r="A23" s="78">
        <v>18</v>
      </c>
      <c r="B23" s="78">
        <v>22115</v>
      </c>
      <c r="C23" s="78" t="s">
        <v>94</v>
      </c>
      <c r="D23" s="78" t="s">
        <v>166</v>
      </c>
      <c r="E23" s="78" t="s">
        <v>67</v>
      </c>
      <c r="F23" s="78" t="e">
        <f>+VLOOKUP(B23,#REF!,3,0)</f>
        <v>#REF!</v>
      </c>
      <c r="G23" s="78" t="e">
        <f t="shared" si="0"/>
        <v>#REF!</v>
      </c>
      <c r="H23" s="78">
        <v>21</v>
      </c>
      <c r="I23" s="78">
        <v>3</v>
      </c>
      <c r="J23" s="78">
        <v>3</v>
      </c>
      <c r="K23" s="78">
        <v>0</v>
      </c>
      <c r="L23" s="78">
        <v>0</v>
      </c>
      <c r="M23" s="78">
        <v>2</v>
      </c>
      <c r="N23" s="78">
        <v>21</v>
      </c>
      <c r="O23" s="78">
        <v>0</v>
      </c>
      <c r="P23" s="78">
        <v>0</v>
      </c>
      <c r="Q23" s="78">
        <v>0</v>
      </c>
      <c r="R23" s="78">
        <v>37</v>
      </c>
      <c r="S23" s="78">
        <v>2</v>
      </c>
      <c r="T23">
        <f t="shared" si="1"/>
        <v>0</v>
      </c>
      <c r="U23">
        <v>0</v>
      </c>
      <c r="V23">
        <f>+VLOOKUP(B23,'[1]D WAGES'!$B$4:$P$54,15,0)</f>
        <v>0</v>
      </c>
      <c r="W23">
        <f t="shared" si="2"/>
        <v>0</v>
      </c>
    </row>
    <row r="24" spans="1:23">
      <c r="A24" s="78">
        <v>19</v>
      </c>
      <c r="B24" s="78">
        <v>22133</v>
      </c>
      <c r="C24" s="78" t="s">
        <v>96</v>
      </c>
      <c r="D24" s="78" t="s">
        <v>166</v>
      </c>
      <c r="E24" s="78" t="s">
        <v>97</v>
      </c>
      <c r="F24" s="78" t="e">
        <f>+VLOOKUP(B24,#REF!,3,0)</f>
        <v>#REF!</v>
      </c>
      <c r="G24" s="78" t="e">
        <f t="shared" si="0"/>
        <v>#REF!</v>
      </c>
      <c r="H24" s="78">
        <v>21</v>
      </c>
      <c r="I24" s="78">
        <v>3</v>
      </c>
      <c r="J24" s="78">
        <v>3</v>
      </c>
      <c r="K24" s="78">
        <v>0</v>
      </c>
      <c r="L24" s="78">
        <v>0</v>
      </c>
      <c r="M24" s="78">
        <v>2</v>
      </c>
      <c r="N24" s="78">
        <v>0</v>
      </c>
      <c r="O24" s="78">
        <v>10</v>
      </c>
      <c r="P24" s="78">
        <v>11</v>
      </c>
      <c r="Q24" s="78">
        <v>0</v>
      </c>
      <c r="R24" s="78">
        <v>108</v>
      </c>
      <c r="S24" s="78">
        <v>23</v>
      </c>
      <c r="T24">
        <f t="shared" si="1"/>
        <v>495</v>
      </c>
      <c r="U24">
        <f t="shared" si="3"/>
        <v>460</v>
      </c>
      <c r="V24">
        <f>+VLOOKUP(B24,'[1]D WAGES'!$B$4:$P$54,15,0)</f>
        <v>460</v>
      </c>
      <c r="W24">
        <f t="shared" si="2"/>
        <v>0</v>
      </c>
    </row>
    <row r="25" spans="1:23">
      <c r="A25" s="78">
        <v>20</v>
      </c>
      <c r="B25" s="78">
        <v>22146</v>
      </c>
      <c r="C25" s="78" t="s">
        <v>167</v>
      </c>
      <c r="D25" s="78" t="s">
        <v>166</v>
      </c>
      <c r="E25" s="78" t="s">
        <v>70</v>
      </c>
      <c r="F25" s="78" t="e">
        <f>+VLOOKUP(B25,#REF!,3,0)</f>
        <v>#REF!</v>
      </c>
      <c r="G25" s="78" t="e">
        <f t="shared" si="0"/>
        <v>#REF!</v>
      </c>
      <c r="H25" s="78">
        <v>23</v>
      </c>
      <c r="I25" s="78">
        <v>3</v>
      </c>
      <c r="J25" s="78">
        <v>3</v>
      </c>
      <c r="K25" s="78">
        <v>0</v>
      </c>
      <c r="L25" s="78">
        <v>0</v>
      </c>
      <c r="M25" s="78">
        <v>0</v>
      </c>
      <c r="N25" s="78">
        <v>23</v>
      </c>
      <c r="O25" s="78">
        <v>0</v>
      </c>
      <c r="P25" s="78">
        <v>0</v>
      </c>
      <c r="Q25" s="78">
        <v>0</v>
      </c>
      <c r="R25" s="78">
        <v>39</v>
      </c>
      <c r="S25" s="78">
        <v>2</v>
      </c>
      <c r="T25">
        <f t="shared" si="1"/>
        <v>0</v>
      </c>
      <c r="V25">
        <f>+VLOOKUP(B25,'[1]D WAGES'!$B$4:$P$54,15,0)</f>
        <v>0</v>
      </c>
      <c r="W25">
        <f t="shared" si="2"/>
        <v>0</v>
      </c>
    </row>
    <row r="26" spans="1:23">
      <c r="A26" s="78">
        <v>21</v>
      </c>
      <c r="B26" s="78">
        <v>22149</v>
      </c>
      <c r="C26" s="78" t="s">
        <v>99</v>
      </c>
      <c r="D26" s="78" t="s">
        <v>166</v>
      </c>
      <c r="E26" s="78" t="s">
        <v>67</v>
      </c>
      <c r="F26" s="78" t="e">
        <f>+VLOOKUP(B26,#REF!,3,0)</f>
        <v>#REF!</v>
      </c>
      <c r="G26" s="78" t="e">
        <f t="shared" si="0"/>
        <v>#REF!</v>
      </c>
      <c r="H26" s="78">
        <v>18</v>
      </c>
      <c r="I26" s="78">
        <v>3</v>
      </c>
      <c r="J26" s="78">
        <v>1</v>
      </c>
      <c r="K26" s="78">
        <v>0</v>
      </c>
      <c r="L26" s="78">
        <v>0</v>
      </c>
      <c r="M26" s="78">
        <v>5</v>
      </c>
      <c r="N26" s="78">
        <v>18</v>
      </c>
      <c r="O26" s="78">
        <v>0</v>
      </c>
      <c r="P26" s="78">
        <v>0</v>
      </c>
      <c r="Q26" s="78">
        <v>0</v>
      </c>
      <c r="R26" s="78">
        <v>50</v>
      </c>
      <c r="S26" s="78">
        <v>4</v>
      </c>
      <c r="T26">
        <f t="shared" si="1"/>
        <v>0</v>
      </c>
      <c r="V26">
        <f>+VLOOKUP(B26,'[1]D WAGES'!$B$4:$P$54,15,0)</f>
        <v>0</v>
      </c>
      <c r="W26">
        <f t="shared" si="2"/>
        <v>0</v>
      </c>
    </row>
    <row r="27" spans="1:23">
      <c r="A27" s="78">
        <v>22</v>
      </c>
      <c r="B27" s="78">
        <v>22168</v>
      </c>
      <c r="C27" s="78" t="s">
        <v>100</v>
      </c>
      <c r="D27" s="78" t="s">
        <v>166</v>
      </c>
      <c r="E27" s="78" t="s">
        <v>67</v>
      </c>
      <c r="F27" s="78" t="e">
        <f>+VLOOKUP(B27,#REF!,3,0)</f>
        <v>#REF!</v>
      </c>
      <c r="G27" s="78" t="e">
        <f t="shared" si="0"/>
        <v>#REF!</v>
      </c>
      <c r="H27" s="78">
        <v>18.5</v>
      </c>
      <c r="I27" s="78">
        <v>3</v>
      </c>
      <c r="J27" s="78">
        <v>4</v>
      </c>
      <c r="K27" s="78">
        <v>0</v>
      </c>
      <c r="L27" s="78">
        <v>0</v>
      </c>
      <c r="M27" s="78">
        <v>4.5</v>
      </c>
      <c r="N27" s="78">
        <v>18.5</v>
      </c>
      <c r="O27" s="78">
        <v>0</v>
      </c>
      <c r="P27" s="78">
        <v>0</v>
      </c>
      <c r="Q27" s="78">
        <v>0</v>
      </c>
      <c r="R27" s="78">
        <v>26</v>
      </c>
      <c r="S27" s="78">
        <v>1</v>
      </c>
      <c r="T27">
        <f t="shared" si="1"/>
        <v>0</v>
      </c>
      <c r="V27">
        <f>+VLOOKUP(B27,'[1]D WAGES'!$B$4:$P$54,15,0)</f>
        <v>0</v>
      </c>
      <c r="W27">
        <f t="shared" si="2"/>
        <v>0</v>
      </c>
    </row>
    <row r="28" spans="1:23">
      <c r="A28" s="78">
        <v>24</v>
      </c>
      <c r="B28" s="78">
        <v>22176</v>
      </c>
      <c r="C28" s="78" t="s">
        <v>101</v>
      </c>
      <c r="D28" s="78" t="s">
        <v>166</v>
      </c>
      <c r="E28" s="78" t="s">
        <v>67</v>
      </c>
      <c r="F28" s="78" t="e">
        <f>+VLOOKUP(B28,#REF!,3,0)</f>
        <v>#REF!</v>
      </c>
      <c r="G28" s="78" t="e">
        <f t="shared" si="0"/>
        <v>#REF!</v>
      </c>
      <c r="H28" s="78">
        <v>19</v>
      </c>
      <c r="I28" s="78">
        <v>3</v>
      </c>
      <c r="J28" s="78">
        <v>1</v>
      </c>
      <c r="K28" s="78">
        <v>0</v>
      </c>
      <c r="L28" s="78">
        <v>0</v>
      </c>
      <c r="M28" s="78">
        <v>4</v>
      </c>
      <c r="N28" s="78">
        <v>19</v>
      </c>
      <c r="O28" s="78">
        <v>0</v>
      </c>
      <c r="P28" s="78">
        <v>0</v>
      </c>
      <c r="Q28" s="78">
        <v>0</v>
      </c>
      <c r="R28" s="78">
        <v>51</v>
      </c>
      <c r="S28" s="78">
        <v>4</v>
      </c>
      <c r="T28">
        <f t="shared" si="1"/>
        <v>0</v>
      </c>
      <c r="V28">
        <f>+VLOOKUP(B28,'[1]D WAGES'!$B$4:$P$54,15,0)</f>
        <v>0</v>
      </c>
      <c r="W28">
        <f t="shared" si="2"/>
        <v>0</v>
      </c>
    </row>
    <row r="29" spans="1:23">
      <c r="A29" s="78">
        <v>25</v>
      </c>
      <c r="B29" s="78">
        <v>22204</v>
      </c>
      <c r="C29" s="78" t="s">
        <v>102</v>
      </c>
      <c r="D29" s="78" t="s">
        <v>166</v>
      </c>
      <c r="E29" s="78" t="s">
        <v>25</v>
      </c>
      <c r="F29" s="78" t="e">
        <f>+VLOOKUP(B29,#REF!,3,0)</f>
        <v>#REF!</v>
      </c>
      <c r="G29" s="78" t="e">
        <f t="shared" si="0"/>
        <v>#REF!</v>
      </c>
      <c r="H29" s="78">
        <v>23</v>
      </c>
      <c r="I29" s="78">
        <v>3</v>
      </c>
      <c r="J29" s="78">
        <v>5</v>
      </c>
      <c r="K29" s="78">
        <v>0</v>
      </c>
      <c r="L29" s="78">
        <v>0</v>
      </c>
      <c r="M29" s="78">
        <v>0</v>
      </c>
      <c r="N29" s="78">
        <v>0</v>
      </c>
      <c r="O29" s="78">
        <v>23</v>
      </c>
      <c r="P29" s="78">
        <v>0</v>
      </c>
      <c r="Q29" s="78">
        <v>0</v>
      </c>
      <c r="R29" s="78">
        <v>89</v>
      </c>
      <c r="S29" s="78">
        <v>22</v>
      </c>
      <c r="T29">
        <f t="shared" si="1"/>
        <v>0</v>
      </c>
      <c r="U29">
        <f t="shared" si="3"/>
        <v>440</v>
      </c>
      <c r="V29">
        <f>+VLOOKUP(B29,'[1]D WAGES'!$B$4:$P$54,15,0)</f>
        <v>440</v>
      </c>
      <c r="W29">
        <f t="shared" si="2"/>
        <v>0</v>
      </c>
    </row>
    <row r="30" spans="1:23">
      <c r="A30" s="78">
        <v>26</v>
      </c>
      <c r="B30" s="78">
        <v>22215</v>
      </c>
      <c r="C30" s="78" t="s">
        <v>103</v>
      </c>
      <c r="D30" s="78" t="s">
        <v>166</v>
      </c>
      <c r="E30" s="78" t="s">
        <v>67</v>
      </c>
      <c r="F30" s="78" t="e">
        <f>+VLOOKUP(B30,#REF!,3,0)</f>
        <v>#REF!</v>
      </c>
      <c r="G30" s="78" t="e">
        <f t="shared" si="0"/>
        <v>#REF!</v>
      </c>
      <c r="H30" s="78">
        <v>22</v>
      </c>
      <c r="I30" s="78">
        <v>3</v>
      </c>
      <c r="J30" s="78">
        <v>0</v>
      </c>
      <c r="K30" s="78">
        <v>0</v>
      </c>
      <c r="L30" s="78">
        <v>0</v>
      </c>
      <c r="M30" s="78">
        <v>1</v>
      </c>
      <c r="N30" s="78">
        <v>0</v>
      </c>
      <c r="O30" s="78">
        <v>22</v>
      </c>
      <c r="P30" s="78">
        <v>0</v>
      </c>
      <c r="Q30" s="78">
        <v>0</v>
      </c>
      <c r="R30" s="78">
        <v>133</v>
      </c>
      <c r="S30" s="78">
        <v>27</v>
      </c>
      <c r="T30">
        <f t="shared" si="1"/>
        <v>0</v>
      </c>
      <c r="U30">
        <f t="shared" si="3"/>
        <v>540</v>
      </c>
      <c r="V30">
        <f>+VLOOKUP(B30,'[1]D WAGES'!$B$4:$P$54,15,0)</f>
        <v>540</v>
      </c>
      <c r="W30">
        <f t="shared" si="2"/>
        <v>0</v>
      </c>
    </row>
    <row r="31" spans="1:23">
      <c r="A31" s="78">
        <v>27</v>
      </c>
      <c r="B31" s="78">
        <v>22217</v>
      </c>
      <c r="C31" s="78" t="s">
        <v>104</v>
      </c>
      <c r="D31" s="78" t="s">
        <v>166</v>
      </c>
      <c r="E31" s="78" t="s">
        <v>25</v>
      </c>
      <c r="F31" s="78" t="e">
        <f>+VLOOKUP(B31,#REF!,3,0)</f>
        <v>#REF!</v>
      </c>
      <c r="G31" s="78" t="e">
        <f t="shared" si="0"/>
        <v>#REF!</v>
      </c>
      <c r="H31" s="78">
        <v>10</v>
      </c>
      <c r="I31" s="78">
        <v>0</v>
      </c>
      <c r="J31" s="78">
        <v>1</v>
      </c>
      <c r="K31" s="78">
        <v>0</v>
      </c>
      <c r="L31" s="78">
        <v>0</v>
      </c>
      <c r="M31" s="78">
        <v>1</v>
      </c>
      <c r="N31" s="78">
        <v>0</v>
      </c>
      <c r="O31" s="78">
        <v>4</v>
      </c>
      <c r="P31" s="78">
        <v>6</v>
      </c>
      <c r="Q31" s="78">
        <v>0</v>
      </c>
      <c r="R31" s="78">
        <v>40</v>
      </c>
      <c r="S31" s="78">
        <v>10</v>
      </c>
      <c r="T31">
        <f t="shared" si="1"/>
        <v>270</v>
      </c>
      <c r="U31">
        <f t="shared" si="3"/>
        <v>200</v>
      </c>
      <c r="V31">
        <f>+VLOOKUP(B31,'[1]D WAGES'!$B$4:$P$54,15,0)</f>
        <v>200</v>
      </c>
      <c r="W31">
        <f t="shared" si="2"/>
        <v>0</v>
      </c>
    </row>
    <row r="32" spans="1:23">
      <c r="A32" s="78">
        <v>28</v>
      </c>
      <c r="B32" s="78">
        <v>22222</v>
      </c>
      <c r="C32" s="78" t="s">
        <v>111</v>
      </c>
      <c r="D32" s="78" t="s">
        <v>166</v>
      </c>
      <c r="E32" s="78" t="s">
        <v>25</v>
      </c>
      <c r="F32" s="78" t="e">
        <f>+VLOOKUP(B32,#REF!,3,0)</f>
        <v>#REF!</v>
      </c>
      <c r="G32" s="78" t="e">
        <f t="shared" si="0"/>
        <v>#REF!</v>
      </c>
      <c r="H32" s="78">
        <v>11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6</v>
      </c>
      <c r="P32" s="78">
        <v>5</v>
      </c>
      <c r="Q32" s="78">
        <v>0</v>
      </c>
      <c r="R32" s="78">
        <v>56</v>
      </c>
      <c r="S32" s="78">
        <v>12</v>
      </c>
      <c r="T32">
        <f t="shared" si="1"/>
        <v>225</v>
      </c>
      <c r="U32">
        <f t="shared" si="3"/>
        <v>240</v>
      </c>
      <c r="V32">
        <f>+VLOOKUP(B32,'[1]D WAGES'!$B$4:$P$54,15,0)</f>
        <v>240</v>
      </c>
      <c r="W32">
        <f t="shared" si="2"/>
        <v>0</v>
      </c>
    </row>
    <row r="33" spans="1:23">
      <c r="A33" s="78">
        <v>29</v>
      </c>
      <c r="B33" s="78">
        <v>22223</v>
      </c>
      <c r="C33" s="78" t="s">
        <v>112</v>
      </c>
      <c r="D33" s="78" t="s">
        <v>166</v>
      </c>
      <c r="E33" s="78" t="s">
        <v>25</v>
      </c>
      <c r="F33" s="78" t="e">
        <f>+VLOOKUP(B33,#REF!,3,0)</f>
        <v>#REF!</v>
      </c>
      <c r="G33" s="78" t="e">
        <f t="shared" si="0"/>
        <v>#REF!</v>
      </c>
      <c r="H33" s="78">
        <v>11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7</v>
      </c>
      <c r="P33" s="78">
        <v>4</v>
      </c>
      <c r="Q33" s="78">
        <v>0</v>
      </c>
      <c r="R33" s="78">
        <v>56</v>
      </c>
      <c r="S33" s="78">
        <v>12</v>
      </c>
      <c r="T33">
        <f t="shared" si="1"/>
        <v>180</v>
      </c>
      <c r="U33">
        <f t="shared" si="3"/>
        <v>240</v>
      </c>
      <c r="V33">
        <f>+VLOOKUP(B33,'[1]D WAGES'!$B$4:$P$54,15,0)</f>
        <v>240</v>
      </c>
      <c r="W33">
        <f t="shared" si="2"/>
        <v>0</v>
      </c>
    </row>
    <row r="34" spans="1:23">
      <c r="A34" s="78">
        <v>31</v>
      </c>
      <c r="B34" s="78">
        <v>22225</v>
      </c>
      <c r="C34" s="78" t="s">
        <v>113</v>
      </c>
      <c r="D34" s="78" t="s">
        <v>166</v>
      </c>
      <c r="E34" s="78" t="s">
        <v>25</v>
      </c>
      <c r="F34" s="78" t="e">
        <f>+VLOOKUP(B34,#REF!,3,0)</f>
        <v>#REF!</v>
      </c>
      <c r="G34" s="78" t="e">
        <f t="shared" si="0"/>
        <v>#REF!</v>
      </c>
      <c r="H34" s="78">
        <v>11</v>
      </c>
      <c r="I34" s="78">
        <v>0</v>
      </c>
      <c r="J34" s="78">
        <v>1</v>
      </c>
      <c r="K34" s="78">
        <v>0</v>
      </c>
      <c r="L34" s="78">
        <v>0</v>
      </c>
      <c r="M34" s="78">
        <v>1</v>
      </c>
      <c r="N34" s="78">
        <v>0</v>
      </c>
      <c r="O34" s="78">
        <v>4</v>
      </c>
      <c r="P34" s="78">
        <v>7</v>
      </c>
      <c r="Q34" s="78">
        <v>0</v>
      </c>
      <c r="R34" s="78">
        <v>68</v>
      </c>
      <c r="S34" s="78">
        <v>13</v>
      </c>
      <c r="T34">
        <f t="shared" si="1"/>
        <v>315</v>
      </c>
      <c r="U34">
        <f t="shared" si="3"/>
        <v>260</v>
      </c>
      <c r="V34">
        <f>+VLOOKUP(B34,'[1]D WAGES'!$B$4:$P$54,15,0)</f>
        <v>260</v>
      </c>
      <c r="W34">
        <f t="shared" si="2"/>
        <v>0</v>
      </c>
    </row>
    <row r="35" spans="1:23">
      <c r="A35" s="78">
        <v>33</v>
      </c>
      <c r="B35" s="78">
        <v>22229</v>
      </c>
      <c r="C35" s="78" t="s">
        <v>114</v>
      </c>
      <c r="D35" s="78" t="s">
        <v>166</v>
      </c>
      <c r="E35" s="78" t="s">
        <v>25</v>
      </c>
      <c r="F35" s="78" t="e">
        <f>+VLOOKUP(B35,#REF!,3,0)</f>
        <v>#REF!</v>
      </c>
      <c r="G35" s="78" t="e">
        <f t="shared" si="0"/>
        <v>#REF!</v>
      </c>
      <c r="H35" s="78">
        <v>22</v>
      </c>
      <c r="I35" s="78">
        <v>3</v>
      </c>
      <c r="J35" s="78">
        <v>1</v>
      </c>
      <c r="K35" s="78">
        <v>0</v>
      </c>
      <c r="L35" s="78">
        <v>0</v>
      </c>
      <c r="M35" s="78">
        <v>1</v>
      </c>
      <c r="N35" s="78">
        <v>0</v>
      </c>
      <c r="O35" s="78">
        <v>12</v>
      </c>
      <c r="P35" s="78">
        <v>10</v>
      </c>
      <c r="Q35" s="78">
        <v>0</v>
      </c>
      <c r="R35" s="78">
        <v>136</v>
      </c>
      <c r="S35" s="78">
        <v>26</v>
      </c>
      <c r="T35">
        <f t="shared" si="1"/>
        <v>450</v>
      </c>
      <c r="U35">
        <f t="shared" si="3"/>
        <v>520</v>
      </c>
      <c r="V35">
        <f>+VLOOKUP(B35,'[1]D WAGES'!$B$4:$P$54,15,0)</f>
        <v>520</v>
      </c>
      <c r="W35">
        <f t="shared" si="2"/>
        <v>0</v>
      </c>
    </row>
    <row r="36" spans="1:23">
      <c r="A36" s="78">
        <v>34</v>
      </c>
      <c r="B36" s="78">
        <v>22231</v>
      </c>
      <c r="C36" s="78" t="s">
        <v>91</v>
      </c>
      <c r="D36" s="78" t="s">
        <v>166</v>
      </c>
      <c r="E36" s="78" t="s">
        <v>25</v>
      </c>
      <c r="F36" s="78" t="e">
        <f>+VLOOKUP(B36,#REF!,3,0)</f>
        <v>#REF!</v>
      </c>
      <c r="G36" s="78" t="e">
        <f t="shared" si="0"/>
        <v>#REF!</v>
      </c>
      <c r="H36" s="78">
        <v>2</v>
      </c>
      <c r="I36" s="78">
        <v>0</v>
      </c>
      <c r="J36" s="78">
        <v>1</v>
      </c>
      <c r="K36" s="78">
        <v>0</v>
      </c>
      <c r="L36" s="78">
        <v>0</v>
      </c>
      <c r="M36" s="78">
        <v>3</v>
      </c>
      <c r="N36" s="78">
        <v>0</v>
      </c>
      <c r="O36" s="78">
        <v>0</v>
      </c>
      <c r="P36" s="78">
        <v>2</v>
      </c>
      <c r="Q36" s="78">
        <v>0</v>
      </c>
      <c r="R36" s="78">
        <v>8</v>
      </c>
      <c r="S36" s="78">
        <v>2</v>
      </c>
      <c r="T36">
        <f t="shared" si="1"/>
        <v>90</v>
      </c>
      <c r="U36">
        <f t="shared" si="3"/>
        <v>40</v>
      </c>
      <c r="V36">
        <f>+VLOOKUP(B36,'[1]D WAGES'!$B$4:$P$54,15,0)</f>
        <v>40</v>
      </c>
      <c r="W36">
        <f t="shared" si="2"/>
        <v>0</v>
      </c>
    </row>
    <row r="37" spans="1:23">
      <c r="A37" s="78">
        <v>35</v>
      </c>
      <c r="B37" s="78">
        <v>22232</v>
      </c>
      <c r="C37" s="78" t="s">
        <v>115</v>
      </c>
      <c r="D37" s="78" t="s">
        <v>166</v>
      </c>
      <c r="E37" s="78" t="s">
        <v>25</v>
      </c>
      <c r="F37" s="78" t="e">
        <f>+VLOOKUP(B37,#REF!,3,0)</f>
        <v>#REF!</v>
      </c>
      <c r="G37" s="78" t="e">
        <f t="shared" si="0"/>
        <v>#REF!</v>
      </c>
      <c r="H37" s="78">
        <v>23</v>
      </c>
      <c r="I37" s="78">
        <v>3</v>
      </c>
      <c r="J37" s="78">
        <v>1</v>
      </c>
      <c r="K37" s="78">
        <v>0</v>
      </c>
      <c r="L37" s="78">
        <v>0</v>
      </c>
      <c r="M37" s="78">
        <v>0</v>
      </c>
      <c r="N37" s="78">
        <v>0</v>
      </c>
      <c r="O37" s="78">
        <v>11</v>
      </c>
      <c r="P37" s="78">
        <v>12</v>
      </c>
      <c r="Q37" s="78">
        <v>0</v>
      </c>
      <c r="R37" s="78">
        <v>140</v>
      </c>
      <c r="S37" s="78">
        <v>27</v>
      </c>
      <c r="T37">
        <f t="shared" si="1"/>
        <v>540</v>
      </c>
      <c r="U37">
        <f t="shared" si="3"/>
        <v>540</v>
      </c>
      <c r="V37">
        <f>+VLOOKUP(B37,'[1]D WAGES'!$B$4:$P$54,15,0)</f>
        <v>540</v>
      </c>
      <c r="W37">
        <f t="shared" si="2"/>
        <v>0</v>
      </c>
    </row>
    <row r="38" spans="1:23">
      <c r="A38" s="78">
        <v>37</v>
      </c>
      <c r="B38" s="78">
        <v>22234</v>
      </c>
      <c r="C38" s="78" t="s">
        <v>116</v>
      </c>
      <c r="D38" s="78" t="s">
        <v>166</v>
      </c>
      <c r="E38" s="78" t="s">
        <v>25</v>
      </c>
      <c r="F38" s="78" t="e">
        <f>+VLOOKUP(B38,#REF!,3,0)</f>
        <v>#REF!</v>
      </c>
      <c r="G38" s="78" t="e">
        <f t="shared" si="0"/>
        <v>#REF!</v>
      </c>
      <c r="H38" s="78">
        <v>23</v>
      </c>
      <c r="I38" s="78">
        <v>3</v>
      </c>
      <c r="J38" s="78">
        <v>1</v>
      </c>
      <c r="K38" s="78">
        <v>0</v>
      </c>
      <c r="L38" s="78">
        <v>0</v>
      </c>
      <c r="M38" s="78">
        <v>0</v>
      </c>
      <c r="N38" s="78">
        <v>0</v>
      </c>
      <c r="O38" s="78">
        <v>11</v>
      </c>
      <c r="P38" s="78">
        <v>12</v>
      </c>
      <c r="Q38" s="78">
        <v>0</v>
      </c>
      <c r="R38" s="78">
        <v>140</v>
      </c>
      <c r="S38" s="78">
        <v>27</v>
      </c>
      <c r="T38">
        <f t="shared" si="1"/>
        <v>540</v>
      </c>
      <c r="U38">
        <f t="shared" si="3"/>
        <v>540</v>
      </c>
      <c r="V38">
        <f>+VLOOKUP(B38,'[1]D WAGES'!$B$4:$P$54,15,0)</f>
        <v>540</v>
      </c>
      <c r="W38">
        <f t="shared" si="2"/>
        <v>0</v>
      </c>
    </row>
    <row r="39" spans="1:23">
      <c r="A39" s="78">
        <v>39</v>
      </c>
      <c r="B39" s="78">
        <v>22240</v>
      </c>
      <c r="C39" s="78" t="s">
        <v>117</v>
      </c>
      <c r="D39" s="78" t="s">
        <v>166</v>
      </c>
      <c r="E39" s="78" t="s">
        <v>118</v>
      </c>
      <c r="F39" s="78" t="e">
        <f>+VLOOKUP(B39,#REF!,3,0)</f>
        <v>#REF!</v>
      </c>
      <c r="G39" s="78" t="e">
        <f t="shared" si="0"/>
        <v>#REF!</v>
      </c>
      <c r="H39" s="78">
        <v>2</v>
      </c>
      <c r="I39" s="78">
        <v>0</v>
      </c>
      <c r="J39" s="78">
        <v>1</v>
      </c>
      <c r="K39" s="78">
        <v>0</v>
      </c>
      <c r="L39" s="78">
        <v>0</v>
      </c>
      <c r="M39" s="78">
        <v>3</v>
      </c>
      <c r="N39" s="78">
        <v>0</v>
      </c>
      <c r="O39" s="78">
        <v>2</v>
      </c>
      <c r="P39" s="78">
        <v>0</v>
      </c>
      <c r="Q39" s="78">
        <v>0</v>
      </c>
      <c r="R39" s="78">
        <v>4</v>
      </c>
      <c r="S39" s="78">
        <v>0</v>
      </c>
      <c r="T39">
        <f t="shared" si="1"/>
        <v>0</v>
      </c>
      <c r="U39">
        <f t="shared" si="3"/>
        <v>0</v>
      </c>
      <c r="V39">
        <f>+VLOOKUP(B39,'[1]D WAGES'!$B$4:$P$54,15,0)</f>
        <v>0</v>
      </c>
      <c r="W39">
        <f t="shared" si="2"/>
        <v>0</v>
      </c>
    </row>
    <row r="40" spans="1:23">
      <c r="A40" s="78">
        <v>40</v>
      </c>
      <c r="B40" s="78">
        <v>22241</v>
      </c>
      <c r="C40" s="78" t="s">
        <v>119</v>
      </c>
      <c r="D40" s="78" t="s">
        <v>166</v>
      </c>
      <c r="E40" s="78" t="s">
        <v>67</v>
      </c>
      <c r="F40" s="78" t="e">
        <f>+VLOOKUP(B40,#REF!,3,0)</f>
        <v>#REF!</v>
      </c>
      <c r="G40" s="78" t="e">
        <f t="shared" si="0"/>
        <v>#REF!</v>
      </c>
      <c r="H40" s="78">
        <v>21.5</v>
      </c>
      <c r="I40" s="78">
        <v>3</v>
      </c>
      <c r="J40" s="78">
        <v>3</v>
      </c>
      <c r="K40" s="78">
        <v>0</v>
      </c>
      <c r="L40" s="78">
        <v>0</v>
      </c>
      <c r="M40" s="78">
        <v>1.5</v>
      </c>
      <c r="N40" s="78">
        <v>21.5</v>
      </c>
      <c r="O40" s="78">
        <v>0</v>
      </c>
      <c r="P40" s="78">
        <v>0</v>
      </c>
      <c r="Q40" s="78">
        <v>0</v>
      </c>
      <c r="R40" s="78">
        <v>17</v>
      </c>
      <c r="S40" s="78">
        <v>2</v>
      </c>
      <c r="T40">
        <f t="shared" si="1"/>
        <v>0</v>
      </c>
      <c r="V40">
        <f>+VLOOKUP(B40,'[1]D WAGES'!$B$4:$P$54,15,0)</f>
        <v>0</v>
      </c>
      <c r="W40">
        <f t="shared" si="2"/>
        <v>0</v>
      </c>
    </row>
    <row r="41" spans="1:23">
      <c r="A41" s="78">
        <v>41</v>
      </c>
      <c r="B41" s="78">
        <v>22242</v>
      </c>
      <c r="C41" s="78" t="s">
        <v>66</v>
      </c>
      <c r="D41" s="78" t="s">
        <v>166</v>
      </c>
      <c r="E41" s="78" t="s">
        <v>67</v>
      </c>
      <c r="F41" s="78" t="e">
        <f>+VLOOKUP(B41,#REF!,3,0)</f>
        <v>#REF!</v>
      </c>
      <c r="G41" s="78" t="e">
        <f t="shared" si="0"/>
        <v>#REF!</v>
      </c>
      <c r="H41" s="78">
        <v>21</v>
      </c>
      <c r="I41" s="78">
        <v>3</v>
      </c>
      <c r="J41" s="78">
        <v>3</v>
      </c>
      <c r="K41" s="78">
        <v>0</v>
      </c>
      <c r="L41" s="78">
        <v>0</v>
      </c>
      <c r="M41" s="78">
        <v>2</v>
      </c>
      <c r="N41" s="78">
        <v>21</v>
      </c>
      <c r="O41" s="78">
        <v>0</v>
      </c>
      <c r="P41" s="78">
        <v>0</v>
      </c>
      <c r="Q41" s="78">
        <v>0</v>
      </c>
      <c r="R41" s="78">
        <v>40</v>
      </c>
      <c r="S41" s="78">
        <v>2</v>
      </c>
      <c r="T41">
        <f t="shared" si="1"/>
        <v>0</v>
      </c>
      <c r="V41">
        <f>+VLOOKUP(B41,'[1]D WAGES'!$B$4:$P$54,15,0)</f>
        <v>0</v>
      </c>
      <c r="W41">
        <f t="shared" si="2"/>
        <v>0</v>
      </c>
    </row>
    <row r="42" spans="1:23">
      <c r="A42" s="78">
        <v>43</v>
      </c>
      <c r="B42" s="78">
        <v>22248</v>
      </c>
      <c r="C42" s="78" t="s">
        <v>120</v>
      </c>
      <c r="D42" s="78" t="s">
        <v>166</v>
      </c>
      <c r="E42" s="78" t="s">
        <v>67</v>
      </c>
      <c r="F42" s="78" t="e">
        <f>+VLOOKUP(B42,#REF!,3,0)</f>
        <v>#REF!</v>
      </c>
      <c r="G42" s="78" t="e">
        <f t="shared" si="0"/>
        <v>#REF!</v>
      </c>
      <c r="H42" s="78">
        <v>22</v>
      </c>
      <c r="I42" s="78">
        <v>3</v>
      </c>
      <c r="J42" s="78">
        <v>1</v>
      </c>
      <c r="K42" s="78">
        <v>0</v>
      </c>
      <c r="L42" s="78">
        <v>0</v>
      </c>
      <c r="M42" s="78">
        <v>1</v>
      </c>
      <c r="N42" s="78">
        <v>22</v>
      </c>
      <c r="O42" s="78">
        <v>0</v>
      </c>
      <c r="P42" s="78">
        <v>0</v>
      </c>
      <c r="Q42" s="78">
        <v>0</v>
      </c>
      <c r="R42" s="78">
        <v>55</v>
      </c>
      <c r="S42" s="78">
        <v>4</v>
      </c>
      <c r="T42">
        <f t="shared" si="1"/>
        <v>0</v>
      </c>
      <c r="V42">
        <f>+VLOOKUP(B42,'[1]D WAGES'!$B$4:$P$54,15,0)</f>
        <v>0</v>
      </c>
      <c r="W42">
        <f t="shared" si="2"/>
        <v>0</v>
      </c>
    </row>
    <row r="43" spans="1:23">
      <c r="A43" s="78">
        <v>44</v>
      </c>
      <c r="B43" s="78">
        <v>22249</v>
      </c>
      <c r="C43" s="78" t="s">
        <v>121</v>
      </c>
      <c r="D43" s="78" t="s">
        <v>166</v>
      </c>
      <c r="E43" s="78" t="s">
        <v>25</v>
      </c>
      <c r="F43" s="78" t="e">
        <f>+VLOOKUP(B43,#REF!,3,0)</f>
        <v>#REF!</v>
      </c>
      <c r="G43" s="78" t="e">
        <f t="shared" si="0"/>
        <v>#REF!</v>
      </c>
      <c r="H43" s="78">
        <v>19</v>
      </c>
      <c r="I43" s="78">
        <v>3</v>
      </c>
      <c r="J43" s="78">
        <v>3</v>
      </c>
      <c r="K43" s="78">
        <v>0</v>
      </c>
      <c r="L43" s="78">
        <v>0</v>
      </c>
      <c r="M43" s="78">
        <v>4</v>
      </c>
      <c r="N43" s="78">
        <v>0</v>
      </c>
      <c r="O43" s="78">
        <v>10</v>
      </c>
      <c r="P43" s="78">
        <v>9</v>
      </c>
      <c r="Q43" s="78">
        <v>0</v>
      </c>
      <c r="R43" s="78">
        <v>100</v>
      </c>
      <c r="S43" s="78">
        <v>21</v>
      </c>
      <c r="T43">
        <f t="shared" si="1"/>
        <v>405</v>
      </c>
      <c r="U43">
        <f t="shared" si="3"/>
        <v>420</v>
      </c>
      <c r="V43">
        <f>+VLOOKUP(B43,'[1]D WAGES'!$B$4:$P$54,15,0)</f>
        <v>420</v>
      </c>
      <c r="W43">
        <f t="shared" si="2"/>
        <v>0</v>
      </c>
    </row>
    <row r="44" spans="1:23">
      <c r="A44" s="78">
        <v>45</v>
      </c>
      <c r="B44" s="78">
        <v>22250</v>
      </c>
      <c r="C44" s="78" t="s">
        <v>122</v>
      </c>
      <c r="D44" s="78" t="s">
        <v>166</v>
      </c>
      <c r="E44" s="78" t="s">
        <v>25</v>
      </c>
      <c r="F44" s="78" t="e">
        <f>+VLOOKUP(B44,#REF!,3,0)</f>
        <v>#REF!</v>
      </c>
      <c r="G44" s="78" t="e">
        <f t="shared" si="0"/>
        <v>#REF!</v>
      </c>
      <c r="H44" s="78">
        <v>9</v>
      </c>
      <c r="I44" s="78">
        <v>0</v>
      </c>
      <c r="J44" s="78">
        <v>0</v>
      </c>
      <c r="K44" s="78">
        <v>0</v>
      </c>
      <c r="L44" s="78">
        <v>0</v>
      </c>
      <c r="M44" s="78">
        <v>1</v>
      </c>
      <c r="N44" s="78">
        <v>0</v>
      </c>
      <c r="O44" s="78">
        <v>7</v>
      </c>
      <c r="P44" s="78">
        <v>2</v>
      </c>
      <c r="Q44" s="78">
        <v>0</v>
      </c>
      <c r="R44" s="78">
        <v>47</v>
      </c>
      <c r="S44" s="78">
        <v>10</v>
      </c>
      <c r="T44">
        <f t="shared" si="1"/>
        <v>90</v>
      </c>
      <c r="U44">
        <f t="shared" si="3"/>
        <v>200</v>
      </c>
      <c r="V44">
        <f>+VLOOKUP(B44,'[1]D WAGES'!$B$4:$P$54,15,0)</f>
        <v>200</v>
      </c>
      <c r="W44">
        <f t="shared" si="2"/>
        <v>0</v>
      </c>
    </row>
    <row r="45" spans="1:23">
      <c r="A45" s="78">
        <v>46</v>
      </c>
      <c r="B45" s="78">
        <v>22251</v>
      </c>
      <c r="C45" s="78" t="s">
        <v>123</v>
      </c>
      <c r="D45" s="78" t="s">
        <v>166</v>
      </c>
      <c r="E45" s="78" t="s">
        <v>25</v>
      </c>
      <c r="F45" s="78" t="e">
        <f>+VLOOKUP(B45,#REF!,3,0)</f>
        <v>#REF!</v>
      </c>
      <c r="G45" s="78" t="e">
        <f t="shared" si="0"/>
        <v>#REF!</v>
      </c>
      <c r="H45" s="78">
        <v>19</v>
      </c>
      <c r="I45" s="78">
        <v>3</v>
      </c>
      <c r="J45" s="78">
        <v>2</v>
      </c>
      <c r="K45" s="78">
        <v>0</v>
      </c>
      <c r="L45" s="78">
        <v>0</v>
      </c>
      <c r="M45" s="78">
        <v>4</v>
      </c>
      <c r="N45" s="78">
        <v>0</v>
      </c>
      <c r="O45" s="78">
        <v>10</v>
      </c>
      <c r="P45" s="78">
        <v>9</v>
      </c>
      <c r="Q45" s="78">
        <v>0</v>
      </c>
      <c r="R45" s="78">
        <v>112</v>
      </c>
      <c r="S45" s="78">
        <v>22</v>
      </c>
      <c r="T45">
        <f t="shared" si="1"/>
        <v>405</v>
      </c>
      <c r="U45">
        <f t="shared" si="3"/>
        <v>440</v>
      </c>
      <c r="V45">
        <f>+VLOOKUP(B45,'[1]D WAGES'!$B$4:$P$54,15,0)</f>
        <v>440</v>
      </c>
      <c r="W45">
        <f t="shared" si="2"/>
        <v>0</v>
      </c>
    </row>
    <row r="46" spans="1:23">
      <c r="A46" s="78">
        <v>48</v>
      </c>
      <c r="B46" s="78">
        <v>22253</v>
      </c>
      <c r="C46" s="78" t="s">
        <v>124</v>
      </c>
      <c r="D46" s="78" t="s">
        <v>166</v>
      </c>
      <c r="E46" s="78" t="s">
        <v>25</v>
      </c>
      <c r="F46" s="78" t="e">
        <f>+VLOOKUP(B46,#REF!,3,0)</f>
        <v>#REF!</v>
      </c>
      <c r="G46" s="78" t="e">
        <f t="shared" si="0"/>
        <v>#REF!</v>
      </c>
      <c r="H46" s="78">
        <v>17</v>
      </c>
      <c r="I46" s="78">
        <v>3</v>
      </c>
      <c r="J46" s="78">
        <v>5</v>
      </c>
      <c r="K46" s="78">
        <v>0</v>
      </c>
      <c r="L46" s="78">
        <v>0</v>
      </c>
      <c r="M46" s="78">
        <v>6</v>
      </c>
      <c r="N46" s="78">
        <v>0</v>
      </c>
      <c r="O46" s="78">
        <v>11</v>
      </c>
      <c r="P46" s="78">
        <v>6</v>
      </c>
      <c r="Q46" s="78">
        <v>0</v>
      </c>
      <c r="R46" s="78">
        <v>68</v>
      </c>
      <c r="S46" s="78">
        <v>17</v>
      </c>
      <c r="T46">
        <f t="shared" si="1"/>
        <v>270</v>
      </c>
      <c r="U46">
        <f t="shared" si="3"/>
        <v>340</v>
      </c>
      <c r="V46" t="e">
        <f>+VLOOKUP(B46,#REF!,16,0)</f>
        <v>#REF!</v>
      </c>
      <c r="W46" t="e">
        <f t="shared" si="2"/>
        <v>#REF!</v>
      </c>
    </row>
    <row r="47" spans="1:23">
      <c r="A47" s="78">
        <v>49</v>
      </c>
      <c r="B47" s="78">
        <v>22254</v>
      </c>
      <c r="C47" s="78" t="s">
        <v>125</v>
      </c>
      <c r="D47" s="78" t="s">
        <v>166</v>
      </c>
      <c r="E47" s="78" t="s">
        <v>25</v>
      </c>
      <c r="F47" s="78" t="e">
        <f>+VLOOKUP(B47,#REF!,3,0)</f>
        <v>#REF!</v>
      </c>
      <c r="G47" s="78" t="e">
        <f t="shared" si="0"/>
        <v>#REF!</v>
      </c>
      <c r="H47" s="78">
        <v>3</v>
      </c>
      <c r="I47" s="78">
        <v>0</v>
      </c>
      <c r="J47" s="78">
        <v>0</v>
      </c>
      <c r="K47" s="78">
        <v>0</v>
      </c>
      <c r="L47" s="78">
        <v>0</v>
      </c>
      <c r="M47" s="78">
        <v>2</v>
      </c>
      <c r="N47" s="78">
        <v>0</v>
      </c>
      <c r="O47" s="78">
        <v>3</v>
      </c>
      <c r="P47" s="78">
        <v>0</v>
      </c>
      <c r="Q47" s="78">
        <v>0</v>
      </c>
      <c r="R47" s="78">
        <v>24</v>
      </c>
      <c r="S47" s="78">
        <v>4</v>
      </c>
      <c r="T47">
        <f t="shared" si="1"/>
        <v>0</v>
      </c>
      <c r="U47">
        <f t="shared" si="3"/>
        <v>80</v>
      </c>
      <c r="V47" t="e">
        <f>+VLOOKUP(B47,#REF!,16,0)</f>
        <v>#REF!</v>
      </c>
      <c r="W47" t="e">
        <f t="shared" si="2"/>
        <v>#REF!</v>
      </c>
    </row>
    <row r="48" spans="1:23">
      <c r="A48" s="78">
        <v>50</v>
      </c>
      <c r="B48" s="78">
        <v>22255</v>
      </c>
      <c r="C48" s="78" t="s">
        <v>126</v>
      </c>
      <c r="D48" s="78" t="s">
        <v>166</v>
      </c>
      <c r="E48" s="78" t="s">
        <v>25</v>
      </c>
      <c r="F48" s="78" t="e">
        <f>+VLOOKUP(B48,#REF!,3,0)</f>
        <v>#REF!</v>
      </c>
      <c r="G48" s="78" t="e">
        <f t="shared" si="0"/>
        <v>#REF!</v>
      </c>
      <c r="H48" s="78">
        <v>20</v>
      </c>
      <c r="I48" s="78">
        <v>3</v>
      </c>
      <c r="J48" s="78">
        <v>4</v>
      </c>
      <c r="K48" s="78">
        <v>0</v>
      </c>
      <c r="L48" s="78">
        <v>0</v>
      </c>
      <c r="M48" s="78">
        <v>1</v>
      </c>
      <c r="N48" s="78">
        <v>0</v>
      </c>
      <c r="O48" s="78">
        <v>12</v>
      </c>
      <c r="P48" s="78">
        <v>8</v>
      </c>
      <c r="Q48" s="78">
        <v>0</v>
      </c>
      <c r="R48" s="78">
        <v>80</v>
      </c>
      <c r="S48" s="78">
        <v>20</v>
      </c>
      <c r="T48">
        <f t="shared" si="1"/>
        <v>360</v>
      </c>
      <c r="U48">
        <f t="shared" si="3"/>
        <v>400</v>
      </c>
      <c r="V48" t="e">
        <f>+VLOOKUP(B48,#REF!,16,0)</f>
        <v>#REF!</v>
      </c>
      <c r="W48" t="e">
        <f t="shared" si="2"/>
        <v>#REF!</v>
      </c>
    </row>
    <row r="49" spans="1:23">
      <c r="A49" s="78">
        <v>51</v>
      </c>
      <c r="B49" s="78">
        <v>22256</v>
      </c>
      <c r="C49" s="78" t="s">
        <v>127</v>
      </c>
      <c r="D49" s="78" t="s">
        <v>166</v>
      </c>
      <c r="E49" s="78" t="s">
        <v>67</v>
      </c>
      <c r="F49" s="78" t="e">
        <f>+VLOOKUP(B49,#REF!,3,0)</f>
        <v>#REF!</v>
      </c>
      <c r="G49" s="78" t="e">
        <f t="shared" si="0"/>
        <v>#REF!</v>
      </c>
      <c r="H49" s="78">
        <v>12</v>
      </c>
      <c r="I49" s="78">
        <v>2</v>
      </c>
      <c r="J49" s="78">
        <v>4</v>
      </c>
      <c r="K49" s="78">
        <v>0</v>
      </c>
      <c r="L49" s="78">
        <v>0</v>
      </c>
      <c r="M49" s="78">
        <v>6</v>
      </c>
      <c r="N49" s="78">
        <v>12</v>
      </c>
      <c r="O49" s="78">
        <v>0</v>
      </c>
      <c r="P49" s="78">
        <v>0</v>
      </c>
      <c r="Q49" s="78">
        <v>0</v>
      </c>
      <c r="R49" s="78">
        <v>12</v>
      </c>
      <c r="S49" s="78">
        <v>0</v>
      </c>
      <c r="T49">
        <f t="shared" si="1"/>
        <v>0</v>
      </c>
      <c r="U49">
        <f t="shared" si="3"/>
        <v>0</v>
      </c>
      <c r="V49" t="e">
        <f>+VLOOKUP(B49,#REF!,16,0)</f>
        <v>#REF!</v>
      </c>
      <c r="W49" t="e">
        <f t="shared" si="2"/>
        <v>#REF!</v>
      </c>
    </row>
    <row r="50" spans="1:23">
      <c r="A50" s="78">
        <v>52</v>
      </c>
      <c r="B50" s="78">
        <v>22257</v>
      </c>
      <c r="C50" s="78" t="s">
        <v>128</v>
      </c>
      <c r="D50" s="78" t="s">
        <v>166</v>
      </c>
      <c r="E50" s="78" t="s">
        <v>118</v>
      </c>
      <c r="F50" s="78" t="e">
        <f>+VLOOKUP(B50,#REF!,3,0)</f>
        <v>#REF!</v>
      </c>
      <c r="G50" s="78" t="e">
        <f t="shared" si="0"/>
        <v>#REF!</v>
      </c>
      <c r="H50" s="78">
        <v>18</v>
      </c>
      <c r="I50" s="78">
        <v>2</v>
      </c>
      <c r="J50" s="78">
        <v>1</v>
      </c>
      <c r="K50" s="78">
        <v>0</v>
      </c>
      <c r="L50" s="78">
        <v>0</v>
      </c>
      <c r="M50" s="78">
        <v>0</v>
      </c>
      <c r="N50" s="78">
        <v>0</v>
      </c>
      <c r="O50" s="78">
        <v>18</v>
      </c>
      <c r="P50" s="78">
        <v>0</v>
      </c>
      <c r="Q50" s="78">
        <v>0</v>
      </c>
      <c r="R50" s="78">
        <v>96</v>
      </c>
      <c r="S50" s="78">
        <v>20</v>
      </c>
      <c r="T50">
        <f t="shared" si="1"/>
        <v>0</v>
      </c>
      <c r="U50">
        <f t="shared" si="3"/>
        <v>400</v>
      </c>
      <c r="V50" t="e">
        <f>+VLOOKUP(B50,#REF!,16,0)</f>
        <v>#REF!</v>
      </c>
      <c r="W50" t="e">
        <f t="shared" si="2"/>
        <v>#REF!</v>
      </c>
    </row>
    <row r="51" spans="1:23">
      <c r="A51" s="78">
        <v>53</v>
      </c>
      <c r="B51" s="78">
        <v>22258</v>
      </c>
      <c r="C51" s="78" t="s">
        <v>129</v>
      </c>
      <c r="D51" s="78" t="s">
        <v>166</v>
      </c>
      <c r="E51" s="78" t="s">
        <v>97</v>
      </c>
      <c r="F51" s="78" t="e">
        <f>+VLOOKUP(B51,#REF!,3,0)</f>
        <v>#REF!</v>
      </c>
      <c r="G51" s="78" t="e">
        <f t="shared" si="0"/>
        <v>#REF!</v>
      </c>
      <c r="H51" s="78">
        <v>6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4</v>
      </c>
      <c r="P51" s="78">
        <v>2</v>
      </c>
      <c r="Q51" s="78">
        <v>0</v>
      </c>
      <c r="R51" s="78">
        <v>31</v>
      </c>
      <c r="S51" s="78">
        <v>6</v>
      </c>
      <c r="T51">
        <f t="shared" si="1"/>
        <v>90</v>
      </c>
      <c r="U51">
        <f t="shared" si="3"/>
        <v>120</v>
      </c>
      <c r="V51" t="e">
        <f>+VLOOKUP(B51,#REF!,16,0)</f>
        <v>#REF!</v>
      </c>
      <c r="W51" t="e">
        <f t="shared" si="2"/>
        <v>#REF!</v>
      </c>
    </row>
    <row r="52" spans="1:23">
      <c r="A52" s="78">
        <v>54</v>
      </c>
      <c r="B52" s="78">
        <v>22259</v>
      </c>
      <c r="C52" s="78" t="s">
        <v>130</v>
      </c>
      <c r="D52" s="78" t="s">
        <v>166</v>
      </c>
      <c r="E52" s="78" t="s">
        <v>97</v>
      </c>
      <c r="F52" s="78" t="e">
        <f>+VLOOKUP(B52,#REF!,3,0)</f>
        <v>#REF!</v>
      </c>
      <c r="G52" s="78" t="e">
        <f t="shared" si="0"/>
        <v>#REF!</v>
      </c>
      <c r="H52" s="78">
        <v>15</v>
      </c>
      <c r="I52" s="78">
        <v>2</v>
      </c>
      <c r="J52" s="78">
        <v>1</v>
      </c>
      <c r="K52" s="78">
        <v>0</v>
      </c>
      <c r="L52" s="78">
        <v>0</v>
      </c>
      <c r="M52" s="78">
        <v>2</v>
      </c>
      <c r="N52" s="78">
        <v>0</v>
      </c>
      <c r="O52" s="78">
        <v>7</v>
      </c>
      <c r="P52" s="78">
        <v>8</v>
      </c>
      <c r="Q52" s="78">
        <v>0</v>
      </c>
      <c r="R52" s="78">
        <v>94</v>
      </c>
      <c r="S52" s="78">
        <v>18</v>
      </c>
      <c r="T52">
        <f t="shared" si="1"/>
        <v>360</v>
      </c>
      <c r="U52">
        <f t="shared" si="3"/>
        <v>360</v>
      </c>
      <c r="V52" t="e">
        <f>+VLOOKUP(B52,#REF!,16,0)</f>
        <v>#REF!</v>
      </c>
      <c r="W52" t="e">
        <f t="shared" si="2"/>
        <v>#REF!</v>
      </c>
    </row>
    <row r="53" spans="1:23">
      <c r="A53" s="78">
        <v>55</v>
      </c>
      <c r="B53" s="78">
        <v>22260</v>
      </c>
      <c r="C53" s="78" t="s">
        <v>131</v>
      </c>
      <c r="D53" s="78" t="s">
        <v>166</v>
      </c>
      <c r="E53" s="78" t="s">
        <v>67</v>
      </c>
      <c r="F53" s="78" t="e">
        <f>+VLOOKUP(B53,#REF!,3,0)</f>
        <v>#REF!</v>
      </c>
      <c r="G53" s="78" t="e">
        <f t="shared" si="0"/>
        <v>#REF!</v>
      </c>
      <c r="H53" s="78">
        <v>9</v>
      </c>
      <c r="I53" s="78">
        <v>3</v>
      </c>
      <c r="J53" s="78">
        <v>4</v>
      </c>
      <c r="K53" s="78">
        <v>0</v>
      </c>
      <c r="L53" s="78">
        <v>0</v>
      </c>
      <c r="M53" s="78">
        <v>9</v>
      </c>
      <c r="N53" s="78">
        <v>9</v>
      </c>
      <c r="O53" s="78">
        <v>0</v>
      </c>
      <c r="P53" s="78">
        <v>0</v>
      </c>
      <c r="Q53" s="78">
        <v>0</v>
      </c>
      <c r="R53" s="78">
        <v>1</v>
      </c>
      <c r="S53" s="78">
        <v>0</v>
      </c>
      <c r="T53">
        <f t="shared" si="1"/>
        <v>0</v>
      </c>
      <c r="U53">
        <f t="shared" si="3"/>
        <v>0</v>
      </c>
      <c r="V53" t="e">
        <f>+VLOOKUP(B53,#REF!,16,0)</f>
        <v>#REF!</v>
      </c>
      <c r="W53" t="e">
        <f t="shared" si="2"/>
        <v>#REF!</v>
      </c>
    </row>
    <row r="54" spans="1:23">
      <c r="A54" s="78">
        <v>56</v>
      </c>
      <c r="B54" s="78">
        <v>22262</v>
      </c>
      <c r="C54" s="78" t="s">
        <v>132</v>
      </c>
      <c r="D54" s="78" t="s">
        <v>166</v>
      </c>
      <c r="E54" s="78" t="s">
        <v>67</v>
      </c>
      <c r="F54" s="78" t="e">
        <f>+VLOOKUP(B54,#REF!,3,0)</f>
        <v>#REF!</v>
      </c>
      <c r="G54" s="78" t="e">
        <f t="shared" si="0"/>
        <v>#REF!</v>
      </c>
      <c r="H54" s="78">
        <v>5.5</v>
      </c>
      <c r="I54" s="78">
        <v>0</v>
      </c>
      <c r="J54" s="78">
        <v>1</v>
      </c>
      <c r="K54" s="78">
        <v>0</v>
      </c>
      <c r="L54" s="78">
        <v>0</v>
      </c>
      <c r="M54" s="78">
        <v>0.5</v>
      </c>
      <c r="N54" s="78">
        <v>5.5</v>
      </c>
      <c r="O54" s="78">
        <v>0</v>
      </c>
      <c r="P54" s="78">
        <v>0</v>
      </c>
      <c r="Q54" s="78">
        <v>0</v>
      </c>
      <c r="R54" s="78">
        <v>2</v>
      </c>
      <c r="S54" s="78">
        <v>0</v>
      </c>
      <c r="T54">
        <f t="shared" si="1"/>
        <v>0</v>
      </c>
      <c r="U54">
        <f t="shared" si="3"/>
        <v>0</v>
      </c>
      <c r="V54" t="e">
        <f>+VLOOKUP(B54,#REF!,16,0)</f>
        <v>#REF!</v>
      </c>
      <c r="W54" t="e">
        <f t="shared" si="2"/>
        <v>#REF!</v>
      </c>
    </row>
    <row r="55" spans="1:23">
      <c r="A55" s="78">
        <v>57</v>
      </c>
      <c r="B55" s="78">
        <v>22263</v>
      </c>
      <c r="C55" s="78" t="s">
        <v>133</v>
      </c>
      <c r="D55" s="78" t="s">
        <v>166</v>
      </c>
      <c r="E55" s="78" t="s">
        <v>67</v>
      </c>
      <c r="F55" s="78" t="e">
        <f>+VLOOKUP(B55,#REF!,3,0)</f>
        <v>#REF!</v>
      </c>
      <c r="G55" s="78" t="e">
        <f t="shared" si="0"/>
        <v>#REF!</v>
      </c>
      <c r="H55" s="78">
        <v>5.5</v>
      </c>
      <c r="I55" s="78">
        <v>0</v>
      </c>
      <c r="J55" s="78">
        <v>1</v>
      </c>
      <c r="K55" s="78">
        <v>0</v>
      </c>
      <c r="L55" s="78">
        <v>0</v>
      </c>
      <c r="M55" s="78">
        <v>0.5</v>
      </c>
      <c r="N55" s="78">
        <v>5.5</v>
      </c>
      <c r="O55" s="78">
        <v>0</v>
      </c>
      <c r="P55" s="78">
        <v>0</v>
      </c>
      <c r="Q55" s="78">
        <v>0</v>
      </c>
      <c r="R55" s="78">
        <v>2</v>
      </c>
      <c r="S55" s="78">
        <v>0</v>
      </c>
      <c r="T55">
        <f t="shared" si="1"/>
        <v>0</v>
      </c>
      <c r="U55">
        <f t="shared" si="3"/>
        <v>0</v>
      </c>
      <c r="V55" t="e">
        <f>+VLOOKUP(B55,#REF!,16,0)</f>
        <v>#REF!</v>
      </c>
      <c r="W55" t="e">
        <f t="shared" si="2"/>
        <v>#REF!</v>
      </c>
    </row>
    <row r="56" spans="1:23">
      <c r="A56" s="78">
        <v>58</v>
      </c>
      <c r="B56" s="78">
        <v>22264</v>
      </c>
      <c r="C56" s="78" t="s">
        <v>134</v>
      </c>
      <c r="D56" s="78" t="s">
        <v>166</v>
      </c>
      <c r="E56" s="78" t="s">
        <v>67</v>
      </c>
      <c r="F56" s="78" t="e">
        <f>+VLOOKUP(B56,#REF!,3,0)</f>
        <v>#REF!</v>
      </c>
      <c r="G56" s="78" t="e">
        <f t="shared" si="0"/>
        <v>#REF!</v>
      </c>
      <c r="H56" s="78">
        <v>5.5</v>
      </c>
      <c r="I56" s="78">
        <v>0</v>
      </c>
      <c r="J56" s="78">
        <v>1</v>
      </c>
      <c r="K56" s="78">
        <v>0</v>
      </c>
      <c r="L56" s="78">
        <v>0</v>
      </c>
      <c r="M56" s="78">
        <v>0.5</v>
      </c>
      <c r="N56" s="78">
        <v>5.5</v>
      </c>
      <c r="O56" s="78">
        <v>0</v>
      </c>
      <c r="P56" s="78">
        <v>0</v>
      </c>
      <c r="Q56" s="78">
        <v>0</v>
      </c>
      <c r="R56" s="78">
        <v>2</v>
      </c>
      <c r="S56" s="78">
        <v>0</v>
      </c>
      <c r="T56">
        <f t="shared" si="1"/>
        <v>0</v>
      </c>
      <c r="U56">
        <f t="shared" si="3"/>
        <v>0</v>
      </c>
      <c r="V56" t="e">
        <f>+VLOOKUP(B56,#REF!,16,0)</f>
        <v>#REF!</v>
      </c>
      <c r="W56" t="e">
        <f t="shared" si="2"/>
        <v>#REF!</v>
      </c>
    </row>
    <row r="57" spans="1:23">
      <c r="A57" s="78">
        <v>59</v>
      </c>
      <c r="B57" s="78">
        <v>22265</v>
      </c>
      <c r="C57" s="78" t="s">
        <v>135</v>
      </c>
      <c r="D57" s="78" t="s">
        <v>166</v>
      </c>
      <c r="E57" s="78" t="s">
        <v>97</v>
      </c>
      <c r="F57" s="78" t="e">
        <f>+VLOOKUP(B57,#REF!,3,0)</f>
        <v>#REF!</v>
      </c>
      <c r="G57" s="78" t="e">
        <f t="shared" si="0"/>
        <v>#REF!</v>
      </c>
      <c r="H57" s="78">
        <v>5</v>
      </c>
      <c r="I57" s="78">
        <v>0</v>
      </c>
      <c r="J57" s="78">
        <v>0</v>
      </c>
      <c r="K57" s="78">
        <v>0</v>
      </c>
      <c r="L57" s="78">
        <v>0</v>
      </c>
      <c r="M57" s="78">
        <v>1</v>
      </c>
      <c r="N57" s="78">
        <v>0</v>
      </c>
      <c r="O57" s="78">
        <v>5</v>
      </c>
      <c r="P57" s="78">
        <v>0</v>
      </c>
      <c r="Q57" s="78">
        <v>0</v>
      </c>
      <c r="R57" s="78">
        <v>28</v>
      </c>
      <c r="S57" s="78">
        <v>5</v>
      </c>
      <c r="T57">
        <f t="shared" si="1"/>
        <v>0</v>
      </c>
      <c r="U57">
        <f t="shared" si="3"/>
        <v>100</v>
      </c>
      <c r="V57" t="e">
        <f>+VLOOKUP(B57,#REF!,16,0)</f>
        <v>#REF!</v>
      </c>
      <c r="W57" t="e">
        <f t="shared" si="2"/>
        <v>#REF!</v>
      </c>
    </row>
    <row r="58" spans="1:23">
      <c r="A58" s="78">
        <v>60</v>
      </c>
      <c r="B58" s="78">
        <v>22266</v>
      </c>
      <c r="C58" s="78" t="s">
        <v>136</v>
      </c>
      <c r="D58" s="78" t="s">
        <v>166</v>
      </c>
      <c r="E58" s="78" t="s">
        <v>70</v>
      </c>
      <c r="F58" s="78" t="e">
        <f>+VLOOKUP(B58,#REF!,3,0)</f>
        <v>#REF!</v>
      </c>
      <c r="G58" s="78" t="e">
        <f t="shared" si="0"/>
        <v>#REF!</v>
      </c>
      <c r="H58" s="78">
        <v>5.5</v>
      </c>
      <c r="I58" s="78">
        <v>0</v>
      </c>
      <c r="J58" s="78">
        <v>1</v>
      </c>
      <c r="K58" s="78">
        <v>0</v>
      </c>
      <c r="L58" s="78">
        <v>0</v>
      </c>
      <c r="M58" s="78">
        <v>0.5</v>
      </c>
      <c r="N58" s="78">
        <v>5.5</v>
      </c>
      <c r="O58" s="78">
        <v>0</v>
      </c>
      <c r="P58" s="78">
        <v>0</v>
      </c>
      <c r="Q58" s="78">
        <v>0</v>
      </c>
      <c r="R58" s="78">
        <v>2</v>
      </c>
      <c r="S58" s="78">
        <v>0</v>
      </c>
      <c r="T58">
        <f t="shared" si="1"/>
        <v>0</v>
      </c>
      <c r="U58">
        <f t="shared" si="3"/>
        <v>0</v>
      </c>
      <c r="V58" t="e">
        <f>+VLOOKUP(B58,#REF!,16,0)</f>
        <v>#REF!</v>
      </c>
      <c r="W58" t="e">
        <f t="shared" si="2"/>
        <v>#REF!</v>
      </c>
    </row>
    <row r="59" spans="1:23">
      <c r="A59" s="78">
        <v>61</v>
      </c>
      <c r="B59" s="78">
        <v>22267</v>
      </c>
      <c r="C59" s="78" t="s">
        <v>137</v>
      </c>
      <c r="D59" s="78" t="s">
        <v>166</v>
      </c>
      <c r="E59" s="78" t="s">
        <v>67</v>
      </c>
      <c r="F59" s="78" t="e">
        <f>+VLOOKUP(B59,#REF!,3,0)</f>
        <v>#REF!</v>
      </c>
      <c r="G59" s="78" t="e">
        <f t="shared" si="0"/>
        <v>#REF!</v>
      </c>
      <c r="H59" s="78">
        <v>4</v>
      </c>
      <c r="I59" s="78">
        <v>0</v>
      </c>
      <c r="J59" s="78">
        <v>1</v>
      </c>
      <c r="K59" s="78">
        <v>0</v>
      </c>
      <c r="L59" s="78">
        <v>0</v>
      </c>
      <c r="M59" s="78">
        <v>1</v>
      </c>
      <c r="N59" s="78">
        <v>4</v>
      </c>
      <c r="O59" s="78">
        <v>0</v>
      </c>
      <c r="P59" s="78">
        <v>0</v>
      </c>
      <c r="Q59" s="78">
        <v>0</v>
      </c>
      <c r="R59" s="78">
        <v>2</v>
      </c>
      <c r="S59" s="78">
        <v>0</v>
      </c>
      <c r="T59">
        <f t="shared" si="1"/>
        <v>0</v>
      </c>
      <c r="U59">
        <f t="shared" si="3"/>
        <v>0</v>
      </c>
      <c r="V59" t="e">
        <f>+VLOOKUP(B59,#REF!,16,0)</f>
        <v>#REF!</v>
      </c>
      <c r="W59" t="e">
        <f t="shared" si="2"/>
        <v>#REF!</v>
      </c>
    </row>
    <row r="60" spans="1:23">
      <c r="A60" s="78">
        <v>62</v>
      </c>
      <c r="B60" s="78">
        <v>22268</v>
      </c>
      <c r="C60" s="78" t="s">
        <v>138</v>
      </c>
      <c r="D60" s="78" t="s">
        <v>166</v>
      </c>
      <c r="E60" s="78" t="s">
        <v>67</v>
      </c>
      <c r="F60" s="78" t="e">
        <f>+VLOOKUP(B60,#REF!,3,0)</f>
        <v>#REF!</v>
      </c>
      <c r="G60" s="78" t="e">
        <f t="shared" si="0"/>
        <v>#REF!</v>
      </c>
      <c r="H60" s="78">
        <v>2</v>
      </c>
      <c r="I60" s="78">
        <v>0</v>
      </c>
      <c r="J60" s="78">
        <v>1</v>
      </c>
      <c r="K60" s="78">
        <v>0</v>
      </c>
      <c r="L60" s="78">
        <v>0</v>
      </c>
      <c r="M60" s="78">
        <v>1</v>
      </c>
      <c r="N60" s="78">
        <v>2</v>
      </c>
      <c r="O60" s="78">
        <v>0</v>
      </c>
      <c r="P60" s="78">
        <v>0</v>
      </c>
      <c r="Q60" s="78">
        <v>0</v>
      </c>
      <c r="R60" s="78">
        <v>1</v>
      </c>
      <c r="S60" s="78">
        <v>0</v>
      </c>
      <c r="T60">
        <f t="shared" si="1"/>
        <v>0</v>
      </c>
      <c r="U60">
        <f t="shared" si="3"/>
        <v>0</v>
      </c>
      <c r="V60" t="e">
        <f>+VLOOKUP(B60,#REF!,16,0)</f>
        <v>#REF!</v>
      </c>
      <c r="W60" t="e">
        <f t="shared" si="2"/>
        <v>#REF!</v>
      </c>
    </row>
    <row r="61" spans="1:23">
      <c r="A61" s="78">
        <v>63</v>
      </c>
      <c r="B61" s="78">
        <v>22269</v>
      </c>
      <c r="C61" s="78" t="s">
        <v>139</v>
      </c>
      <c r="D61" s="78" t="s">
        <v>166</v>
      </c>
      <c r="E61" s="78" t="s">
        <v>67</v>
      </c>
      <c r="F61" s="78" t="e">
        <f>+VLOOKUP(B61,#REF!,3,0)</f>
        <v>#REF!</v>
      </c>
      <c r="G61" s="78" t="e">
        <f t="shared" si="0"/>
        <v>#REF!</v>
      </c>
      <c r="H61" s="78">
        <v>3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3</v>
      </c>
      <c r="P61" s="78">
        <v>0</v>
      </c>
      <c r="Q61" s="78">
        <v>0</v>
      </c>
      <c r="R61" s="78">
        <v>21</v>
      </c>
      <c r="S61" s="78">
        <v>4</v>
      </c>
      <c r="T61">
        <f t="shared" si="1"/>
        <v>0</v>
      </c>
      <c r="U61">
        <f t="shared" si="3"/>
        <v>80</v>
      </c>
      <c r="V61" t="e">
        <f>+VLOOKUP(B61,#REF!,16,0)</f>
        <v>#REF!</v>
      </c>
      <c r="W61" t="e">
        <f t="shared" si="2"/>
        <v>#REF!</v>
      </c>
    </row>
    <row r="62" spans="1:23">
      <c r="A62" s="78">
        <v>64</v>
      </c>
      <c r="B62" s="78">
        <v>22270</v>
      </c>
      <c r="C62" s="78" t="s">
        <v>140</v>
      </c>
      <c r="D62" s="78" t="s">
        <v>166</v>
      </c>
      <c r="E62" s="78" t="s">
        <v>67</v>
      </c>
      <c r="F62" s="78" t="e">
        <f>+VLOOKUP(B62,#REF!,3,0)</f>
        <v>#REF!</v>
      </c>
      <c r="G62" s="78" t="e">
        <f t="shared" si="0"/>
        <v>#REF!</v>
      </c>
      <c r="H62" s="78">
        <v>3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3</v>
      </c>
      <c r="O62" s="78">
        <v>0</v>
      </c>
      <c r="P62" s="78">
        <v>0</v>
      </c>
      <c r="Q62" s="78">
        <v>0</v>
      </c>
      <c r="R62" s="78">
        <v>21</v>
      </c>
      <c r="S62" s="78">
        <v>4</v>
      </c>
      <c r="T62">
        <f t="shared" si="1"/>
        <v>0</v>
      </c>
      <c r="U62">
        <f t="shared" si="3"/>
        <v>80</v>
      </c>
      <c r="V62" t="e">
        <f>+VLOOKUP(B62,#REF!,16,0)</f>
        <v>#REF!</v>
      </c>
      <c r="W62" t="e">
        <f t="shared" si="2"/>
        <v>#REF!</v>
      </c>
    </row>
    <row r="63" spans="1:23">
      <c r="A63" s="78">
        <v>65</v>
      </c>
      <c r="B63" s="78">
        <v>22271</v>
      </c>
      <c r="C63" s="78" t="s">
        <v>141</v>
      </c>
      <c r="D63" s="78" t="s">
        <v>166</v>
      </c>
      <c r="E63" s="78" t="s">
        <v>97</v>
      </c>
      <c r="F63" s="78" t="e">
        <f>+VLOOKUP(B63,#REF!,3,0)</f>
        <v>#REF!</v>
      </c>
      <c r="G63" s="78" t="e">
        <f t="shared" si="0"/>
        <v>#REF!</v>
      </c>
      <c r="H63" s="78">
        <v>2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2</v>
      </c>
      <c r="Q63" s="78">
        <v>0</v>
      </c>
      <c r="R63" s="78">
        <v>20</v>
      </c>
      <c r="S63" s="78">
        <v>3</v>
      </c>
      <c r="T63">
        <f t="shared" si="1"/>
        <v>90</v>
      </c>
      <c r="U63">
        <f t="shared" si="3"/>
        <v>60</v>
      </c>
      <c r="V63" t="e">
        <f>+VLOOKUP(B63,#REF!,16,0)</f>
        <v>#REF!</v>
      </c>
      <c r="W63" t="e">
        <f t="shared" si="2"/>
        <v>#REF!</v>
      </c>
    </row>
    <row r="64" spans="1:23">
      <c r="A64" s="78">
        <v>66</v>
      </c>
      <c r="B64" s="78">
        <v>22272</v>
      </c>
      <c r="C64" s="78" t="s">
        <v>142</v>
      </c>
      <c r="D64" s="78" t="s">
        <v>166</v>
      </c>
      <c r="E64" s="78" t="s">
        <v>25</v>
      </c>
      <c r="F64" s="78" t="e">
        <f>+VLOOKUP(B64,#REF!,3,0)</f>
        <v>#REF!</v>
      </c>
      <c r="G64" s="78" t="e">
        <f t="shared" si="0"/>
        <v>#REF!</v>
      </c>
      <c r="H64" s="78">
        <v>2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2</v>
      </c>
      <c r="P64" s="78">
        <v>0</v>
      </c>
      <c r="Q64" s="78">
        <v>0</v>
      </c>
      <c r="R64" s="78">
        <v>20</v>
      </c>
      <c r="S64" s="78">
        <v>3</v>
      </c>
      <c r="T64">
        <f>P64*45</f>
        <v>0</v>
      </c>
      <c r="U64">
        <f t="shared" si="3"/>
        <v>60</v>
      </c>
      <c r="V64" t="e">
        <f>+VLOOKUP(B64,#REF!,16,0)</f>
        <v>#REF!</v>
      </c>
      <c r="W64" t="e">
        <f t="shared" si="2"/>
        <v>#REF!</v>
      </c>
    </row>
    <row r="65" spans="1:23">
      <c r="A65" s="78">
        <v>67</v>
      </c>
      <c r="B65" s="78">
        <v>22273</v>
      </c>
      <c r="C65" s="78" t="s">
        <v>143</v>
      </c>
      <c r="D65" s="78" t="s">
        <v>166</v>
      </c>
      <c r="E65" s="78" t="s">
        <v>25</v>
      </c>
      <c r="F65" s="78" t="e">
        <f>+VLOOKUP(B65,#REF!,3,0)</f>
        <v>#REF!</v>
      </c>
      <c r="G65" s="78" t="e">
        <f t="shared" si="0"/>
        <v>#REF!</v>
      </c>
      <c r="H65" s="78">
        <v>2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2</v>
      </c>
      <c r="P65" s="78">
        <v>0</v>
      </c>
      <c r="Q65" s="78">
        <v>0</v>
      </c>
      <c r="R65" s="78">
        <v>20</v>
      </c>
      <c r="S65" s="78">
        <v>3</v>
      </c>
      <c r="T65">
        <f>P65*45</f>
        <v>0</v>
      </c>
      <c r="U65">
        <f t="shared" si="3"/>
        <v>60</v>
      </c>
      <c r="V65" t="e">
        <f>+VLOOKUP(B65,#REF!,16,0)</f>
        <v>#REF!</v>
      </c>
      <c r="W65" t="e">
        <f t="shared" si="2"/>
        <v>#REF!</v>
      </c>
    </row>
    <row r="66" spans="1:23">
      <c r="A66" s="78">
        <v>68</v>
      </c>
      <c r="B66" s="78">
        <v>22274</v>
      </c>
      <c r="C66" s="78" t="s">
        <v>144</v>
      </c>
      <c r="D66" s="78" t="s">
        <v>166</v>
      </c>
      <c r="E66" s="78" t="s">
        <v>25</v>
      </c>
      <c r="F66" s="78" t="e">
        <f>+VLOOKUP(B66,#REF!,3,0)</f>
        <v>#REF!</v>
      </c>
      <c r="G66" s="78" t="e">
        <f t="shared" si="0"/>
        <v>#REF!</v>
      </c>
      <c r="H66" s="78">
        <v>2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2</v>
      </c>
      <c r="P66" s="78">
        <v>0</v>
      </c>
      <c r="Q66" s="78">
        <v>0</v>
      </c>
      <c r="R66" s="78">
        <v>20</v>
      </c>
      <c r="S66" s="78">
        <v>3</v>
      </c>
      <c r="T66">
        <f>P66*45</f>
        <v>0</v>
      </c>
      <c r="U66">
        <f t="shared" si="3"/>
        <v>60</v>
      </c>
      <c r="V66" t="e">
        <f>+VLOOKUP(B66,#REF!,16,0)</f>
        <v>#REF!</v>
      </c>
      <c r="W66" t="e">
        <f t="shared" si="2"/>
        <v>#REF!</v>
      </c>
    </row>
    <row r="67" spans="1:23">
      <c r="A67" s="78">
        <v>69</v>
      </c>
      <c r="B67" s="78">
        <v>22275</v>
      </c>
      <c r="C67" s="78" t="s">
        <v>145</v>
      </c>
      <c r="D67" s="78" t="s">
        <v>166</v>
      </c>
      <c r="E67" s="78" t="s">
        <v>97</v>
      </c>
      <c r="F67" s="78" t="e">
        <f>+VLOOKUP(B67,#REF!,3,0)</f>
        <v>#REF!</v>
      </c>
      <c r="G67" s="78" t="e">
        <f t="shared" si="0"/>
        <v>#REF!</v>
      </c>
      <c r="H67" s="78">
        <v>1</v>
      </c>
      <c r="I67" s="78">
        <v>0</v>
      </c>
      <c r="J67" s="78">
        <v>1</v>
      </c>
      <c r="K67" s="78">
        <v>0</v>
      </c>
      <c r="L67" s="78">
        <v>0</v>
      </c>
      <c r="M67" s="78">
        <v>0</v>
      </c>
      <c r="N67" s="78">
        <v>0</v>
      </c>
      <c r="O67" s="78">
        <v>1</v>
      </c>
      <c r="P67" s="78">
        <v>0</v>
      </c>
      <c r="Q67" s="78">
        <v>0</v>
      </c>
      <c r="R67" s="78">
        <v>0</v>
      </c>
      <c r="S67" s="78">
        <v>0</v>
      </c>
      <c r="T67">
        <f>P67*45</f>
        <v>0</v>
      </c>
      <c r="U67">
        <f t="shared" si="3"/>
        <v>0</v>
      </c>
      <c r="V67" t="e">
        <f>+VLOOKUP(B67,#REF!,16,0)</f>
        <v>#REF!</v>
      </c>
      <c r="W67" t="e">
        <f t="shared" si="2"/>
        <v>#REF!</v>
      </c>
    </row>
    <row r="68" spans="1:23">
      <c r="R68">
        <f>SUM(R8:R67)</f>
        <v>2926</v>
      </c>
    </row>
  </sheetData>
  <mergeCells count="5">
    <mergeCell ref="A1:S1"/>
    <mergeCell ref="A2:S2"/>
    <mergeCell ref="A3:S3"/>
    <mergeCell ref="A4:S4"/>
    <mergeCell ref="N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topLeftCell="A5" workbookViewId="0">
      <selection activeCell="D19" sqref="D19"/>
    </sheetView>
  </sheetViews>
  <sheetFormatPr defaultRowHeight="14.5"/>
  <sheetData>
    <row r="1" spans="1:11" ht="18.5">
      <c r="A1" s="224" t="s">
        <v>146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1" ht="15.5">
      <c r="A2" s="226" t="s">
        <v>168</v>
      </c>
      <c r="B2" s="226"/>
      <c r="C2" s="226"/>
      <c r="D2" s="226"/>
      <c r="E2" s="226"/>
      <c r="F2" s="226"/>
      <c r="G2" s="226"/>
      <c r="H2" s="226"/>
      <c r="I2" s="226"/>
      <c r="J2" s="226"/>
    </row>
    <row r="5" spans="1:11" ht="15.5">
      <c r="A5" s="79" t="s">
        <v>149</v>
      </c>
      <c r="B5" s="79" t="s">
        <v>169</v>
      </c>
      <c r="C5" s="79" t="s">
        <v>170</v>
      </c>
      <c r="D5" s="79" t="s">
        <v>171</v>
      </c>
      <c r="E5" s="79" t="s">
        <v>172</v>
      </c>
      <c r="F5" s="79" t="s">
        <v>173</v>
      </c>
      <c r="G5" s="79" t="s">
        <v>174</v>
      </c>
      <c r="H5" s="79" t="s">
        <v>175</v>
      </c>
      <c r="I5" s="79" t="s">
        <v>176</v>
      </c>
      <c r="J5" s="79" t="s">
        <v>177</v>
      </c>
      <c r="K5" s="80" t="s">
        <v>178</v>
      </c>
    </row>
    <row r="6" spans="1:11">
      <c r="A6" s="4">
        <v>1</v>
      </c>
      <c r="B6" s="4">
        <v>21295</v>
      </c>
      <c r="C6" s="4" t="s">
        <v>72</v>
      </c>
      <c r="D6" s="4" t="s">
        <v>179</v>
      </c>
      <c r="E6" s="4" t="s">
        <v>67</v>
      </c>
      <c r="F6" s="4" t="s">
        <v>166</v>
      </c>
      <c r="G6" s="4" t="s">
        <v>161</v>
      </c>
      <c r="H6" s="4" t="s">
        <v>166</v>
      </c>
      <c r="I6" s="4">
        <v>2</v>
      </c>
      <c r="J6" s="4">
        <v>2</v>
      </c>
      <c r="K6">
        <v>40</v>
      </c>
    </row>
    <row r="7" spans="1:11">
      <c r="A7" s="4">
        <v>2</v>
      </c>
      <c r="B7" s="4">
        <v>21481</v>
      </c>
      <c r="C7" s="4" t="s">
        <v>75</v>
      </c>
      <c r="D7" s="4" t="s">
        <v>179</v>
      </c>
      <c r="E7" s="4" t="s">
        <v>67</v>
      </c>
      <c r="F7" s="4" t="s">
        <v>166</v>
      </c>
      <c r="G7" s="4" t="s">
        <v>161</v>
      </c>
      <c r="H7" s="4" t="s">
        <v>166</v>
      </c>
      <c r="I7" s="4">
        <v>2</v>
      </c>
      <c r="J7" s="4">
        <v>2</v>
      </c>
      <c r="K7">
        <v>40</v>
      </c>
    </row>
    <row r="8" spans="1:11">
      <c r="A8" s="4">
        <v>3</v>
      </c>
      <c r="B8" s="4">
        <v>21713</v>
      </c>
      <c r="C8" s="4" t="s">
        <v>86</v>
      </c>
      <c r="D8" s="4" t="s">
        <v>179</v>
      </c>
      <c r="E8" s="4" t="s">
        <v>25</v>
      </c>
      <c r="F8" s="4" t="s">
        <v>166</v>
      </c>
      <c r="G8" s="4" t="s">
        <v>161</v>
      </c>
      <c r="H8" s="4" t="s">
        <v>166</v>
      </c>
      <c r="I8" s="4">
        <v>15</v>
      </c>
      <c r="J8" s="4">
        <v>15</v>
      </c>
      <c r="K8">
        <v>300</v>
      </c>
    </row>
    <row r="9" spans="1:11">
      <c r="A9" s="4">
        <v>4</v>
      </c>
      <c r="B9" s="4">
        <v>22042</v>
      </c>
      <c r="C9" s="4" t="s">
        <v>88</v>
      </c>
      <c r="D9" s="4" t="s">
        <v>179</v>
      </c>
      <c r="E9" s="4" t="s">
        <v>25</v>
      </c>
      <c r="F9" s="4" t="s">
        <v>166</v>
      </c>
      <c r="G9" s="4" t="s">
        <v>161</v>
      </c>
      <c r="H9" s="4" t="s">
        <v>166</v>
      </c>
      <c r="I9" s="4">
        <v>11</v>
      </c>
      <c r="J9" s="4">
        <v>11</v>
      </c>
      <c r="K9">
        <v>220</v>
      </c>
    </row>
    <row r="10" spans="1:11">
      <c r="A10" s="4">
        <v>5</v>
      </c>
      <c r="B10" s="4">
        <v>22104</v>
      </c>
      <c r="C10" s="4" t="s">
        <v>92</v>
      </c>
      <c r="D10" s="4" t="s">
        <v>179</v>
      </c>
      <c r="E10" s="4" t="s">
        <v>67</v>
      </c>
      <c r="F10" s="4" t="s">
        <v>166</v>
      </c>
      <c r="G10" s="4" t="s">
        <v>161</v>
      </c>
      <c r="H10" s="4" t="s">
        <v>166</v>
      </c>
      <c r="I10" s="4">
        <v>1</v>
      </c>
      <c r="J10" s="4">
        <v>1</v>
      </c>
      <c r="K10">
        <v>20</v>
      </c>
    </row>
    <row r="11" spans="1:11">
      <c r="A11" s="4">
        <v>6</v>
      </c>
      <c r="B11" s="4">
        <v>22133</v>
      </c>
      <c r="C11" s="4" t="s">
        <v>96</v>
      </c>
      <c r="D11" s="4" t="s">
        <v>179</v>
      </c>
      <c r="E11" s="4" t="s">
        <v>97</v>
      </c>
      <c r="F11" s="4" t="s">
        <v>166</v>
      </c>
      <c r="G11" s="4" t="s">
        <v>161</v>
      </c>
      <c r="H11" s="4" t="s">
        <v>166</v>
      </c>
      <c r="I11" s="4">
        <v>11</v>
      </c>
      <c r="J11" s="4">
        <v>11</v>
      </c>
      <c r="K11">
        <v>220</v>
      </c>
    </row>
    <row r="12" spans="1:11">
      <c r="A12" s="4">
        <v>7</v>
      </c>
      <c r="B12" s="4">
        <v>22204</v>
      </c>
      <c r="C12" s="4" t="s">
        <v>102</v>
      </c>
      <c r="D12" s="4" t="s">
        <v>179</v>
      </c>
      <c r="E12" s="4" t="s">
        <v>25</v>
      </c>
      <c r="F12" s="4" t="s">
        <v>166</v>
      </c>
      <c r="G12" s="4" t="s">
        <v>161</v>
      </c>
      <c r="H12" s="4" t="s">
        <v>166</v>
      </c>
      <c r="I12" s="4">
        <v>23</v>
      </c>
      <c r="J12" s="4">
        <v>23</v>
      </c>
      <c r="K12">
        <v>460</v>
      </c>
    </row>
    <row r="13" spans="1:11">
      <c r="A13" s="4">
        <v>8</v>
      </c>
      <c r="B13" s="4">
        <v>22215</v>
      </c>
      <c r="C13" s="4" t="s">
        <v>103</v>
      </c>
      <c r="D13" s="4" t="s">
        <v>179</v>
      </c>
      <c r="E13" s="4" t="s">
        <v>67</v>
      </c>
      <c r="F13" s="4" t="s">
        <v>166</v>
      </c>
      <c r="G13" s="4" t="s">
        <v>161</v>
      </c>
      <c r="H13" s="4" t="s">
        <v>166</v>
      </c>
      <c r="I13" s="4">
        <v>27</v>
      </c>
      <c r="J13" s="4">
        <v>27</v>
      </c>
      <c r="K13">
        <v>540</v>
      </c>
    </row>
    <row r="14" spans="1:11">
      <c r="A14" s="4">
        <v>9</v>
      </c>
      <c r="B14" s="4">
        <v>22217</v>
      </c>
      <c r="C14" s="4" t="s">
        <v>104</v>
      </c>
      <c r="D14" s="4" t="s">
        <v>179</v>
      </c>
      <c r="E14" s="4" t="s">
        <v>25</v>
      </c>
      <c r="F14" s="4" t="s">
        <v>166</v>
      </c>
      <c r="G14" s="4" t="s">
        <v>161</v>
      </c>
      <c r="H14" s="4" t="s">
        <v>166</v>
      </c>
      <c r="I14" s="4">
        <v>4</v>
      </c>
      <c r="J14" s="4">
        <v>4</v>
      </c>
      <c r="K14">
        <v>80</v>
      </c>
    </row>
    <row r="15" spans="1:11">
      <c r="A15" s="4">
        <v>10</v>
      </c>
      <c r="B15" s="4">
        <v>22222</v>
      </c>
      <c r="C15" s="4" t="s">
        <v>111</v>
      </c>
      <c r="D15" s="4" t="s">
        <v>179</v>
      </c>
      <c r="E15" s="4" t="s">
        <v>25</v>
      </c>
      <c r="F15" s="4" t="s">
        <v>166</v>
      </c>
      <c r="G15" s="4" t="s">
        <v>161</v>
      </c>
      <c r="H15" s="4" t="s">
        <v>166</v>
      </c>
      <c r="I15" s="4">
        <v>7</v>
      </c>
      <c r="J15" s="4">
        <v>7</v>
      </c>
      <c r="K15">
        <v>140</v>
      </c>
    </row>
    <row r="16" spans="1:11">
      <c r="A16" s="4">
        <v>11</v>
      </c>
      <c r="B16" s="4">
        <v>22223</v>
      </c>
      <c r="C16" s="4" t="s">
        <v>112</v>
      </c>
      <c r="D16" s="4" t="s">
        <v>179</v>
      </c>
      <c r="E16" s="4" t="s">
        <v>25</v>
      </c>
      <c r="F16" s="4" t="s">
        <v>166</v>
      </c>
      <c r="G16" s="4" t="s">
        <v>161</v>
      </c>
      <c r="H16" s="4" t="s">
        <v>166</v>
      </c>
      <c r="I16" s="4">
        <v>7</v>
      </c>
      <c r="J16" s="4">
        <v>7</v>
      </c>
      <c r="K16">
        <v>140</v>
      </c>
    </row>
    <row r="17" spans="1:11">
      <c r="A17" s="4">
        <v>12</v>
      </c>
      <c r="B17" s="4">
        <v>22225</v>
      </c>
      <c r="C17" s="4" t="s">
        <v>113</v>
      </c>
      <c r="D17" s="4" t="s">
        <v>179</v>
      </c>
      <c r="E17" s="4" t="s">
        <v>25</v>
      </c>
      <c r="F17" s="4" t="s">
        <v>166</v>
      </c>
      <c r="G17" s="4" t="s">
        <v>161</v>
      </c>
      <c r="H17" s="4" t="s">
        <v>166</v>
      </c>
      <c r="I17" s="4">
        <v>3</v>
      </c>
      <c r="J17" s="4">
        <v>3</v>
      </c>
      <c r="K17">
        <v>60</v>
      </c>
    </row>
    <row r="18" spans="1:11">
      <c r="A18" s="4">
        <v>13</v>
      </c>
      <c r="B18" s="4">
        <v>22229</v>
      </c>
      <c r="C18" s="4" t="s">
        <v>114</v>
      </c>
      <c r="D18" s="4" t="s">
        <v>179</v>
      </c>
      <c r="E18" s="4" t="s">
        <v>25</v>
      </c>
      <c r="F18" s="4" t="s">
        <v>166</v>
      </c>
      <c r="G18" s="4" t="s">
        <v>161</v>
      </c>
      <c r="H18" s="4" t="s">
        <v>166</v>
      </c>
      <c r="I18" s="4">
        <v>14</v>
      </c>
      <c r="J18" s="4">
        <v>14</v>
      </c>
      <c r="K18">
        <v>280</v>
      </c>
    </row>
    <row r="19" spans="1:11">
      <c r="A19" s="4">
        <v>14</v>
      </c>
      <c r="B19" s="4">
        <v>22232</v>
      </c>
      <c r="C19" s="4" t="s">
        <v>115</v>
      </c>
      <c r="D19" s="4" t="s">
        <v>179</v>
      </c>
      <c r="E19" s="4" t="s">
        <v>25</v>
      </c>
      <c r="F19" s="4" t="s">
        <v>166</v>
      </c>
      <c r="G19" s="4" t="s">
        <v>161</v>
      </c>
      <c r="H19" s="4" t="s">
        <v>166</v>
      </c>
      <c r="I19" s="4">
        <v>14</v>
      </c>
      <c r="J19" s="4">
        <v>14</v>
      </c>
      <c r="K19">
        <v>280</v>
      </c>
    </row>
    <row r="20" spans="1:11">
      <c r="A20" s="4">
        <v>15</v>
      </c>
      <c r="B20" s="4">
        <v>22234</v>
      </c>
      <c r="C20" s="4" t="s">
        <v>116</v>
      </c>
      <c r="D20" s="4" t="s">
        <v>179</v>
      </c>
      <c r="E20" s="4" t="s">
        <v>25</v>
      </c>
      <c r="F20" s="4" t="s">
        <v>166</v>
      </c>
      <c r="G20" s="4" t="s">
        <v>161</v>
      </c>
      <c r="H20" s="4" t="s">
        <v>166</v>
      </c>
      <c r="I20" s="4">
        <v>12</v>
      </c>
      <c r="J20" s="4">
        <v>12</v>
      </c>
      <c r="K20">
        <v>240</v>
      </c>
    </row>
    <row r="21" spans="1:11">
      <c r="A21" s="4">
        <v>16</v>
      </c>
      <c r="B21" s="4">
        <v>22240</v>
      </c>
      <c r="C21" s="4" t="s">
        <v>117</v>
      </c>
      <c r="D21" s="4" t="s">
        <v>179</v>
      </c>
      <c r="E21" s="4" t="s">
        <v>118</v>
      </c>
      <c r="F21" s="4" t="s">
        <v>166</v>
      </c>
      <c r="G21" s="4" t="s">
        <v>161</v>
      </c>
      <c r="H21" s="4" t="s">
        <v>166</v>
      </c>
      <c r="I21" s="4">
        <v>2</v>
      </c>
      <c r="J21" s="4">
        <v>2</v>
      </c>
      <c r="K21">
        <v>40</v>
      </c>
    </row>
    <row r="22" spans="1:11">
      <c r="A22" s="4">
        <v>17</v>
      </c>
      <c r="B22" s="4">
        <v>22249</v>
      </c>
      <c r="C22" s="4" t="s">
        <v>121</v>
      </c>
      <c r="D22" s="4" t="s">
        <v>179</v>
      </c>
      <c r="E22" s="4" t="s">
        <v>25</v>
      </c>
      <c r="F22" s="4" t="s">
        <v>166</v>
      </c>
      <c r="G22" s="4" t="s">
        <v>161</v>
      </c>
      <c r="H22" s="4" t="s">
        <v>166</v>
      </c>
      <c r="I22" s="4">
        <v>9</v>
      </c>
      <c r="J22" s="4">
        <v>9</v>
      </c>
      <c r="K22">
        <v>180</v>
      </c>
    </row>
    <row r="23" spans="1:11">
      <c r="A23" s="4">
        <v>18</v>
      </c>
      <c r="B23" s="4">
        <v>22250</v>
      </c>
      <c r="C23" s="4" t="s">
        <v>122</v>
      </c>
      <c r="D23" s="4" t="s">
        <v>179</v>
      </c>
      <c r="E23" s="4" t="s">
        <v>25</v>
      </c>
      <c r="F23" s="4" t="s">
        <v>166</v>
      </c>
      <c r="G23" s="4" t="s">
        <v>161</v>
      </c>
      <c r="H23" s="4" t="s">
        <v>166</v>
      </c>
      <c r="I23" s="4">
        <v>6</v>
      </c>
      <c r="J23" s="4">
        <v>6</v>
      </c>
      <c r="K23">
        <v>120</v>
      </c>
    </row>
    <row r="24" spans="1:11">
      <c r="A24" s="4">
        <v>19</v>
      </c>
      <c r="B24" s="4">
        <v>22251</v>
      </c>
      <c r="C24" s="4" t="s">
        <v>123</v>
      </c>
      <c r="D24" s="4" t="s">
        <v>179</v>
      </c>
      <c r="E24" s="4" t="s">
        <v>25</v>
      </c>
      <c r="F24" s="4" t="s">
        <v>166</v>
      </c>
      <c r="G24" s="4" t="s">
        <v>161</v>
      </c>
      <c r="H24" s="4" t="s">
        <v>166</v>
      </c>
      <c r="I24" s="4">
        <v>13</v>
      </c>
      <c r="J24" s="4">
        <v>13</v>
      </c>
      <c r="K24">
        <v>260</v>
      </c>
    </row>
    <row r="25" spans="1:11">
      <c r="A25" s="4">
        <v>20</v>
      </c>
      <c r="B25" s="4">
        <v>22253</v>
      </c>
      <c r="C25" s="4" t="s">
        <v>124</v>
      </c>
      <c r="D25" s="4" t="s">
        <v>179</v>
      </c>
      <c r="E25" s="4" t="s">
        <v>25</v>
      </c>
      <c r="F25" s="4" t="s">
        <v>166</v>
      </c>
      <c r="G25" s="4" t="s">
        <v>161</v>
      </c>
      <c r="H25" s="4" t="s">
        <v>166</v>
      </c>
      <c r="I25" s="4">
        <v>11</v>
      </c>
      <c r="J25" s="4">
        <v>11</v>
      </c>
      <c r="K25">
        <v>220</v>
      </c>
    </row>
    <row r="26" spans="1:11">
      <c r="A26" s="4">
        <v>21</v>
      </c>
      <c r="B26" s="4">
        <v>22254</v>
      </c>
      <c r="C26" s="4" t="s">
        <v>125</v>
      </c>
      <c r="D26" s="4" t="s">
        <v>179</v>
      </c>
      <c r="E26" s="4" t="s">
        <v>25</v>
      </c>
      <c r="F26" s="4" t="s">
        <v>166</v>
      </c>
      <c r="G26" s="4" t="s">
        <v>161</v>
      </c>
      <c r="H26" s="4" t="s">
        <v>166</v>
      </c>
      <c r="I26" s="4">
        <v>4</v>
      </c>
      <c r="J26" s="4">
        <v>4</v>
      </c>
      <c r="K26">
        <v>80</v>
      </c>
    </row>
    <row r="27" spans="1:11">
      <c r="A27" s="4">
        <v>22</v>
      </c>
      <c r="B27" s="4">
        <v>22255</v>
      </c>
      <c r="C27" s="4" t="s">
        <v>126</v>
      </c>
      <c r="D27" s="4" t="s">
        <v>179</v>
      </c>
      <c r="E27" s="4" t="s">
        <v>25</v>
      </c>
      <c r="F27" s="4" t="s">
        <v>166</v>
      </c>
      <c r="G27" s="4" t="s">
        <v>161</v>
      </c>
      <c r="H27" s="4" t="s">
        <v>166</v>
      </c>
      <c r="I27" s="4">
        <v>9</v>
      </c>
      <c r="J27" s="4">
        <v>9</v>
      </c>
      <c r="K27">
        <v>180</v>
      </c>
    </row>
    <row r="28" spans="1:11">
      <c r="A28" s="4">
        <v>23</v>
      </c>
      <c r="B28" s="4">
        <v>22257</v>
      </c>
      <c r="C28" s="4" t="s">
        <v>128</v>
      </c>
      <c r="D28" s="4" t="s">
        <v>179</v>
      </c>
      <c r="E28" s="4" t="s">
        <v>118</v>
      </c>
      <c r="F28" s="4" t="s">
        <v>166</v>
      </c>
      <c r="G28" s="4" t="s">
        <v>161</v>
      </c>
      <c r="H28" s="4" t="s">
        <v>166</v>
      </c>
      <c r="I28" s="4">
        <v>21</v>
      </c>
      <c r="J28" s="4">
        <v>21</v>
      </c>
      <c r="K28">
        <v>420</v>
      </c>
    </row>
    <row r="29" spans="1:11">
      <c r="A29" s="4">
        <v>24</v>
      </c>
      <c r="B29" s="4">
        <v>22258</v>
      </c>
      <c r="C29" s="4" t="s">
        <v>129</v>
      </c>
      <c r="D29" s="4" t="s">
        <v>179</v>
      </c>
      <c r="E29" s="4" t="s">
        <v>97</v>
      </c>
      <c r="F29" s="4" t="s">
        <v>166</v>
      </c>
      <c r="G29" s="4" t="s">
        <v>161</v>
      </c>
      <c r="H29" s="4" t="s">
        <v>166</v>
      </c>
      <c r="I29" s="4">
        <v>6</v>
      </c>
      <c r="J29" s="4">
        <v>6</v>
      </c>
      <c r="K29">
        <v>120</v>
      </c>
    </row>
    <row r="30" spans="1:11">
      <c r="A30" s="4">
        <v>25</v>
      </c>
      <c r="B30" s="4">
        <v>22259</v>
      </c>
      <c r="C30" s="4" t="s">
        <v>130</v>
      </c>
      <c r="D30" s="4" t="s">
        <v>179</v>
      </c>
      <c r="E30" s="4" t="s">
        <v>97</v>
      </c>
      <c r="F30" s="4" t="s">
        <v>166</v>
      </c>
      <c r="G30" s="4" t="s">
        <v>161</v>
      </c>
      <c r="H30" s="4" t="s">
        <v>166</v>
      </c>
      <c r="I30" s="4">
        <v>8</v>
      </c>
      <c r="J30" s="4">
        <v>8</v>
      </c>
      <c r="K30">
        <v>160</v>
      </c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1" ht="18.5">
      <c r="A32" s="228" t="s">
        <v>177</v>
      </c>
      <c r="B32" s="228"/>
      <c r="C32" s="228"/>
      <c r="D32" s="228"/>
      <c r="E32" s="228"/>
      <c r="F32" s="228"/>
      <c r="G32" s="228"/>
      <c r="H32" s="228"/>
      <c r="I32" s="81">
        <v>242</v>
      </c>
      <c r="J32" s="81">
        <v>242</v>
      </c>
      <c r="K32">
        <v>4840</v>
      </c>
    </row>
  </sheetData>
  <mergeCells count="3">
    <mergeCell ref="A1:J1"/>
    <mergeCell ref="A2:J2"/>
    <mergeCell ref="A32:H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66"/>
  <sheetViews>
    <sheetView topLeftCell="A41" workbookViewId="0">
      <selection activeCell="E17" sqref="E17"/>
    </sheetView>
  </sheetViews>
  <sheetFormatPr defaultRowHeight="14.5"/>
  <cols>
    <col min="7" max="29" width="3.453125" customWidth="1"/>
    <col min="30" max="37" width="4" customWidth="1"/>
  </cols>
  <sheetData>
    <row r="1" spans="1:40" ht="18.5">
      <c r="A1" s="224" t="s">
        <v>146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</row>
    <row r="2" spans="1:40">
      <c r="A2" s="225" t="s">
        <v>147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</row>
    <row r="3" spans="1:40">
      <c r="A3" s="225" t="s">
        <v>180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</row>
    <row r="4" spans="1:40" ht="15.5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</row>
    <row r="5" spans="1:40">
      <c r="AN5" t="s">
        <v>181</v>
      </c>
    </row>
    <row r="6" spans="1:40">
      <c r="A6" s="75" t="s">
        <v>149</v>
      </c>
      <c r="B6" s="75" t="s">
        <v>150</v>
      </c>
      <c r="C6" s="75" t="s">
        <v>151</v>
      </c>
      <c r="D6" s="75" t="s">
        <v>152</v>
      </c>
      <c r="E6" s="75" t="s">
        <v>108</v>
      </c>
      <c r="F6" s="75" t="s">
        <v>182</v>
      </c>
      <c r="G6" s="75">
        <v>26</v>
      </c>
      <c r="H6" s="75">
        <v>27</v>
      </c>
      <c r="I6" s="82">
        <v>28</v>
      </c>
      <c r="J6" s="75">
        <v>29</v>
      </c>
      <c r="K6" s="75">
        <v>30</v>
      </c>
      <c r="L6" s="75">
        <v>31</v>
      </c>
      <c r="M6" s="75">
        <v>1</v>
      </c>
      <c r="N6" s="75">
        <v>2</v>
      </c>
      <c r="O6" s="75">
        <v>3</v>
      </c>
      <c r="P6" s="82">
        <v>4</v>
      </c>
      <c r="Q6" s="75">
        <v>5</v>
      </c>
      <c r="R6" s="75">
        <v>6</v>
      </c>
      <c r="S6" s="75">
        <v>7</v>
      </c>
      <c r="T6" s="75">
        <v>8</v>
      </c>
      <c r="U6" s="75">
        <v>9</v>
      </c>
      <c r="V6" s="75">
        <v>10</v>
      </c>
      <c r="W6" s="82">
        <v>11</v>
      </c>
      <c r="X6" s="75">
        <v>12</v>
      </c>
      <c r="Y6" s="75">
        <v>13</v>
      </c>
      <c r="Z6" s="75">
        <v>14</v>
      </c>
      <c r="AA6" s="75">
        <v>15</v>
      </c>
      <c r="AB6" s="75">
        <v>16</v>
      </c>
      <c r="AC6" s="75">
        <v>17</v>
      </c>
      <c r="AD6" s="82">
        <v>18</v>
      </c>
      <c r="AE6" s="75">
        <v>19</v>
      </c>
      <c r="AF6" s="75">
        <v>20</v>
      </c>
      <c r="AG6" s="75">
        <v>21</v>
      </c>
      <c r="AH6" s="75">
        <v>22</v>
      </c>
      <c r="AI6" s="75">
        <v>23</v>
      </c>
      <c r="AJ6" s="75">
        <v>24</v>
      </c>
      <c r="AK6" s="75">
        <v>25</v>
      </c>
      <c r="AL6" s="75" t="s">
        <v>183</v>
      </c>
      <c r="AM6" s="75" t="s">
        <v>184</v>
      </c>
    </row>
    <row r="7" spans="1:40">
      <c r="A7" s="78">
        <v>1</v>
      </c>
      <c r="B7" s="78">
        <v>20385</v>
      </c>
      <c r="C7" s="78" t="s">
        <v>68</v>
      </c>
      <c r="D7" s="78" t="s">
        <v>166</v>
      </c>
      <c r="E7" s="78" t="s">
        <v>67</v>
      </c>
      <c r="F7" s="78" t="s">
        <v>161</v>
      </c>
      <c r="G7" s="78">
        <v>1</v>
      </c>
      <c r="H7" s="78">
        <v>1</v>
      </c>
      <c r="I7" s="78">
        <v>8</v>
      </c>
      <c r="J7" s="78">
        <v>1</v>
      </c>
      <c r="K7" s="78">
        <v>1</v>
      </c>
      <c r="L7" s="78">
        <v>1</v>
      </c>
      <c r="M7" s="78"/>
      <c r="N7" s="78">
        <v>1</v>
      </c>
      <c r="O7" s="78">
        <v>1</v>
      </c>
      <c r="P7" s="78">
        <v>8</v>
      </c>
      <c r="Q7" s="78">
        <v>1</v>
      </c>
      <c r="R7" s="78">
        <v>1</v>
      </c>
      <c r="S7" s="78">
        <v>1</v>
      </c>
      <c r="T7" s="78">
        <v>1</v>
      </c>
      <c r="U7" s="78"/>
      <c r="V7" s="78"/>
      <c r="W7" s="78">
        <v>8</v>
      </c>
      <c r="X7" s="78">
        <v>1</v>
      </c>
      <c r="Y7" s="78">
        <v>1</v>
      </c>
      <c r="Z7" s="78">
        <v>1</v>
      </c>
      <c r="AA7" s="78"/>
      <c r="AB7" s="78"/>
      <c r="AC7" s="78">
        <v>1</v>
      </c>
      <c r="AD7" s="78">
        <v>8</v>
      </c>
      <c r="AE7" s="78">
        <v>1</v>
      </c>
      <c r="AF7" s="78">
        <v>1</v>
      </c>
      <c r="AG7" s="78">
        <v>1</v>
      </c>
      <c r="AH7" s="78">
        <v>1</v>
      </c>
      <c r="AI7" s="78">
        <v>1</v>
      </c>
      <c r="AJ7" s="78">
        <v>1</v>
      </c>
      <c r="AK7" s="78">
        <v>8</v>
      </c>
      <c r="AL7" s="78">
        <v>61</v>
      </c>
      <c r="AM7" s="78">
        <v>5</v>
      </c>
    </row>
    <row r="8" spans="1:40">
      <c r="A8" s="78">
        <v>2</v>
      </c>
      <c r="B8" s="78">
        <v>21227</v>
      </c>
      <c r="C8" s="78" t="s">
        <v>71</v>
      </c>
      <c r="D8" s="78" t="s">
        <v>166</v>
      </c>
      <c r="E8" s="78" t="s">
        <v>70</v>
      </c>
      <c r="F8" s="78" t="s">
        <v>161</v>
      </c>
      <c r="G8" s="78">
        <v>1</v>
      </c>
      <c r="H8" s="78">
        <v>1</v>
      </c>
      <c r="I8" s="78"/>
      <c r="J8" s="78">
        <v>1</v>
      </c>
      <c r="K8" s="78">
        <v>1</v>
      </c>
      <c r="L8" s="78">
        <v>1</v>
      </c>
      <c r="M8" s="78"/>
      <c r="N8" s="78">
        <v>1</v>
      </c>
      <c r="O8" s="78">
        <v>1</v>
      </c>
      <c r="P8" s="78">
        <v>8</v>
      </c>
      <c r="Q8" s="78">
        <v>1</v>
      </c>
      <c r="R8" s="78">
        <v>1</v>
      </c>
      <c r="S8" s="78">
        <v>1</v>
      </c>
      <c r="T8" s="78">
        <v>1</v>
      </c>
      <c r="U8" s="78"/>
      <c r="V8" s="78">
        <v>1</v>
      </c>
      <c r="W8" s="78"/>
      <c r="X8" s="78">
        <v>1</v>
      </c>
      <c r="Y8" s="78">
        <v>1</v>
      </c>
      <c r="Z8" s="78">
        <v>1</v>
      </c>
      <c r="AA8" s="78"/>
      <c r="AB8" s="78"/>
      <c r="AC8" s="78">
        <v>1</v>
      </c>
      <c r="AD8" s="78">
        <v>8</v>
      </c>
      <c r="AE8" s="78">
        <v>1</v>
      </c>
      <c r="AF8" s="78"/>
      <c r="AG8" s="78">
        <v>1</v>
      </c>
      <c r="AH8" s="78">
        <v>1</v>
      </c>
      <c r="AI8" s="78">
        <v>1</v>
      </c>
      <c r="AJ8" s="78">
        <v>1</v>
      </c>
      <c r="AK8" s="78">
        <v>8</v>
      </c>
      <c r="AL8" s="78">
        <v>45</v>
      </c>
      <c r="AM8" s="78">
        <v>3</v>
      </c>
    </row>
    <row r="9" spans="1:40">
      <c r="A9" s="78">
        <v>3</v>
      </c>
      <c r="B9" s="78">
        <v>21295</v>
      </c>
      <c r="C9" s="78" t="s">
        <v>72</v>
      </c>
      <c r="D9" s="78" t="s">
        <v>166</v>
      </c>
      <c r="E9" s="78" t="s">
        <v>67</v>
      </c>
      <c r="F9" s="78" t="s">
        <v>161</v>
      </c>
      <c r="G9" s="78">
        <v>1</v>
      </c>
      <c r="H9" s="78">
        <v>1</v>
      </c>
      <c r="I9" s="78"/>
      <c r="J9" s="78">
        <v>1</v>
      </c>
      <c r="K9" s="78">
        <v>1</v>
      </c>
      <c r="L9" s="78">
        <v>1</v>
      </c>
      <c r="M9" s="78"/>
      <c r="N9" s="78">
        <v>1</v>
      </c>
      <c r="O9" s="78">
        <v>1</v>
      </c>
      <c r="P9" s="78">
        <v>8</v>
      </c>
      <c r="Q9" s="78">
        <v>1</v>
      </c>
      <c r="R9" s="78">
        <v>1</v>
      </c>
      <c r="S9" s="78">
        <v>1</v>
      </c>
      <c r="T9" s="78">
        <v>1</v>
      </c>
      <c r="U9" s="78">
        <v>1</v>
      </c>
      <c r="V9" s="78">
        <v>1</v>
      </c>
      <c r="W9" s="78">
        <v>8</v>
      </c>
      <c r="X9" s="78">
        <v>1</v>
      </c>
      <c r="Y9" s="78">
        <v>1</v>
      </c>
      <c r="Z9" s="78">
        <v>1</v>
      </c>
      <c r="AA9" s="78"/>
      <c r="AB9" s="78"/>
      <c r="AC9" s="78">
        <v>1</v>
      </c>
      <c r="AD9" s="78">
        <v>8</v>
      </c>
      <c r="AE9" s="78">
        <v>1</v>
      </c>
      <c r="AF9" s="78">
        <v>1</v>
      </c>
      <c r="AG9" s="78">
        <v>1</v>
      </c>
      <c r="AH9" s="78">
        <v>1</v>
      </c>
      <c r="AI9" s="78">
        <v>1</v>
      </c>
      <c r="AJ9" s="78"/>
      <c r="AK9" s="78"/>
      <c r="AL9" s="78">
        <v>46</v>
      </c>
      <c r="AM9" s="78">
        <v>3</v>
      </c>
    </row>
    <row r="10" spans="1:40">
      <c r="A10" s="78">
        <v>4</v>
      </c>
      <c r="B10" s="78">
        <v>21332</v>
      </c>
      <c r="C10" s="78" t="s">
        <v>73</v>
      </c>
      <c r="D10" s="78" t="s">
        <v>166</v>
      </c>
      <c r="E10" s="78" t="s">
        <v>67</v>
      </c>
      <c r="F10" s="78" t="s">
        <v>161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>
        <v>1</v>
      </c>
      <c r="S10" s="78">
        <v>1</v>
      </c>
      <c r="T10" s="78">
        <v>1</v>
      </c>
      <c r="U10" s="78">
        <v>1</v>
      </c>
      <c r="V10" s="78">
        <v>1</v>
      </c>
      <c r="W10" s="78"/>
      <c r="X10" s="78">
        <v>1</v>
      </c>
      <c r="Y10" s="78">
        <v>1</v>
      </c>
      <c r="Z10" s="78"/>
      <c r="AA10" s="78"/>
      <c r="AB10" s="78"/>
      <c r="AC10" s="78"/>
      <c r="AD10" s="78"/>
      <c r="AE10" s="78">
        <v>1</v>
      </c>
      <c r="AF10" s="78">
        <v>1</v>
      </c>
      <c r="AG10" s="78"/>
      <c r="AH10" s="78"/>
      <c r="AI10" s="78"/>
      <c r="AJ10" s="78"/>
      <c r="AK10" s="78"/>
      <c r="AL10" s="78">
        <v>9</v>
      </c>
      <c r="AM10" s="78">
        <v>0</v>
      </c>
      <c r="AN10">
        <f t="shared" ref="AN10:AN65" si="0">AM10*20</f>
        <v>0</v>
      </c>
    </row>
    <row r="11" spans="1:40">
      <c r="A11" s="78">
        <v>5</v>
      </c>
      <c r="B11" s="78">
        <v>21481</v>
      </c>
      <c r="C11" s="78" t="s">
        <v>75</v>
      </c>
      <c r="D11" s="78" t="s">
        <v>166</v>
      </c>
      <c r="E11" s="78" t="s">
        <v>67</v>
      </c>
      <c r="F11" s="78" t="s">
        <v>161</v>
      </c>
      <c r="G11" s="78">
        <v>1</v>
      </c>
      <c r="H11" s="78">
        <v>1</v>
      </c>
      <c r="I11" s="78"/>
      <c r="J11" s="78"/>
      <c r="K11" s="78">
        <v>1</v>
      </c>
      <c r="L11" s="78">
        <v>1</v>
      </c>
      <c r="M11" s="78"/>
      <c r="N11" s="78"/>
      <c r="O11" s="78">
        <v>1</v>
      </c>
      <c r="P11" s="78">
        <v>8</v>
      </c>
      <c r="Q11" s="78">
        <v>1</v>
      </c>
      <c r="R11" s="78">
        <v>1</v>
      </c>
      <c r="S11" s="78">
        <v>1</v>
      </c>
      <c r="T11" s="78">
        <v>1</v>
      </c>
      <c r="U11" s="78">
        <v>1</v>
      </c>
      <c r="V11" s="78">
        <v>1</v>
      </c>
      <c r="W11" s="78">
        <v>8</v>
      </c>
      <c r="X11" s="78"/>
      <c r="Y11" s="78">
        <v>1</v>
      </c>
      <c r="Z11" s="78">
        <v>1</v>
      </c>
      <c r="AA11" s="78"/>
      <c r="AB11" s="78"/>
      <c r="AC11" s="78">
        <v>1</v>
      </c>
      <c r="AD11" s="78"/>
      <c r="AE11" s="78">
        <v>1</v>
      </c>
      <c r="AF11" s="78">
        <v>1</v>
      </c>
      <c r="AG11" s="78">
        <v>1</v>
      </c>
      <c r="AH11" s="78">
        <v>1</v>
      </c>
      <c r="AI11" s="78">
        <v>1</v>
      </c>
      <c r="AJ11" s="78">
        <v>1</v>
      </c>
      <c r="AK11" s="78"/>
      <c r="AL11" s="78">
        <v>36</v>
      </c>
      <c r="AM11" s="78">
        <v>2</v>
      </c>
    </row>
    <row r="12" spans="1:40">
      <c r="A12" s="78">
        <v>6</v>
      </c>
      <c r="B12" s="78">
        <v>21515</v>
      </c>
      <c r="C12" s="78" t="s">
        <v>77</v>
      </c>
      <c r="D12" s="78" t="s">
        <v>166</v>
      </c>
      <c r="E12" s="78" t="s">
        <v>67</v>
      </c>
      <c r="F12" s="78" t="s">
        <v>161</v>
      </c>
      <c r="G12" s="78">
        <v>1</v>
      </c>
      <c r="H12" s="78">
        <v>1</v>
      </c>
      <c r="I12" s="78">
        <v>8</v>
      </c>
      <c r="J12" s="78">
        <v>1</v>
      </c>
      <c r="K12" s="78">
        <v>1</v>
      </c>
      <c r="L12" s="78">
        <v>1</v>
      </c>
      <c r="M12" s="78"/>
      <c r="N12" s="78">
        <v>1</v>
      </c>
      <c r="O12" s="78">
        <v>1</v>
      </c>
      <c r="P12" s="78">
        <v>8</v>
      </c>
      <c r="Q12" s="78">
        <v>1</v>
      </c>
      <c r="R12" s="78">
        <v>1</v>
      </c>
      <c r="S12" s="78">
        <v>1</v>
      </c>
      <c r="T12" s="78">
        <v>1</v>
      </c>
      <c r="U12" s="78"/>
      <c r="V12" s="78">
        <v>1</v>
      </c>
      <c r="W12" s="78"/>
      <c r="X12" s="78">
        <v>1</v>
      </c>
      <c r="Y12" s="78">
        <v>1</v>
      </c>
      <c r="Z12" s="78">
        <v>1</v>
      </c>
      <c r="AA12" s="78"/>
      <c r="AB12" s="78"/>
      <c r="AC12" s="78"/>
      <c r="AD12" s="78"/>
      <c r="AE12" s="78">
        <v>1</v>
      </c>
      <c r="AF12" s="78">
        <v>1</v>
      </c>
      <c r="AG12" s="78">
        <v>1</v>
      </c>
      <c r="AH12" s="78">
        <v>1</v>
      </c>
      <c r="AI12" s="78">
        <v>1</v>
      </c>
      <c r="AJ12" s="78">
        <v>1</v>
      </c>
      <c r="AK12" s="78">
        <v>8</v>
      </c>
      <c r="AL12" s="78">
        <v>45</v>
      </c>
      <c r="AM12" s="78">
        <v>3</v>
      </c>
    </row>
    <row r="13" spans="1:40">
      <c r="A13" s="78">
        <v>7</v>
      </c>
      <c r="B13" s="78">
        <v>21517</v>
      </c>
      <c r="C13" s="78" t="s">
        <v>79</v>
      </c>
      <c r="D13" s="78" t="s">
        <v>166</v>
      </c>
      <c r="E13" s="78" t="s">
        <v>67</v>
      </c>
      <c r="F13" s="78" t="s">
        <v>161</v>
      </c>
      <c r="G13" s="78">
        <v>1</v>
      </c>
      <c r="H13" s="78">
        <v>1</v>
      </c>
      <c r="I13" s="78"/>
      <c r="J13" s="78">
        <v>1</v>
      </c>
      <c r="K13" s="78">
        <v>1</v>
      </c>
      <c r="L13" s="78">
        <v>1</v>
      </c>
      <c r="M13" s="78"/>
      <c r="N13" s="78">
        <v>1</v>
      </c>
      <c r="O13" s="78"/>
      <c r="P13" s="78"/>
      <c r="Q13" s="78">
        <v>1</v>
      </c>
      <c r="R13" s="78">
        <v>1</v>
      </c>
      <c r="S13" s="78"/>
      <c r="T13" s="78"/>
      <c r="U13" s="78"/>
      <c r="V13" s="78"/>
      <c r="W13" s="78"/>
      <c r="X13" s="78">
        <v>1</v>
      </c>
      <c r="Y13" s="78">
        <v>1</v>
      </c>
      <c r="Z13" s="78">
        <v>1</v>
      </c>
      <c r="AA13" s="78"/>
      <c r="AB13" s="78"/>
      <c r="AC13" s="78">
        <v>1</v>
      </c>
      <c r="AD13" s="78"/>
      <c r="AE13" s="78">
        <v>1</v>
      </c>
      <c r="AF13" s="78">
        <v>1</v>
      </c>
      <c r="AG13" s="78">
        <v>1</v>
      </c>
      <c r="AH13" s="78">
        <v>1</v>
      </c>
      <c r="AI13" s="78">
        <v>1</v>
      </c>
      <c r="AJ13" s="78">
        <v>1</v>
      </c>
      <c r="AK13" s="78">
        <v>8</v>
      </c>
      <c r="AL13" s="78">
        <v>26</v>
      </c>
      <c r="AM13" s="78">
        <v>1</v>
      </c>
    </row>
    <row r="14" spans="1:40">
      <c r="A14" s="78">
        <v>8</v>
      </c>
      <c r="B14" s="78">
        <v>21555</v>
      </c>
      <c r="C14" s="78" t="s">
        <v>81</v>
      </c>
      <c r="D14" s="78" t="s">
        <v>166</v>
      </c>
      <c r="E14" s="78" t="s">
        <v>82</v>
      </c>
      <c r="F14" s="78" t="s">
        <v>161</v>
      </c>
      <c r="G14" s="78">
        <v>4</v>
      </c>
      <c r="H14" s="78"/>
      <c r="I14" s="78"/>
      <c r="J14" s="78">
        <v>4</v>
      </c>
      <c r="K14" s="78">
        <v>4</v>
      </c>
      <c r="L14" s="78">
        <v>4</v>
      </c>
      <c r="M14" s="78"/>
      <c r="N14" s="78">
        <v>4</v>
      </c>
      <c r="O14" s="78">
        <v>4</v>
      </c>
      <c r="P14" s="78">
        <v>10.5</v>
      </c>
      <c r="Q14" s="78">
        <v>4</v>
      </c>
      <c r="R14" s="78">
        <v>4</v>
      </c>
      <c r="S14" s="78">
        <v>4</v>
      </c>
      <c r="T14" s="78">
        <v>4</v>
      </c>
      <c r="U14" s="78">
        <v>4</v>
      </c>
      <c r="V14" s="78">
        <v>4</v>
      </c>
      <c r="W14" s="78">
        <v>11.5</v>
      </c>
      <c r="X14" s="78">
        <v>4</v>
      </c>
      <c r="Y14" s="78">
        <v>3</v>
      </c>
      <c r="Z14" s="78"/>
      <c r="AA14" s="78"/>
      <c r="AB14" s="78"/>
      <c r="AC14" s="78">
        <v>4</v>
      </c>
      <c r="AD14" s="78">
        <v>12</v>
      </c>
      <c r="AE14" s="78">
        <v>4</v>
      </c>
      <c r="AF14" s="78">
        <v>4</v>
      </c>
      <c r="AG14" s="78">
        <v>4</v>
      </c>
      <c r="AH14" s="78">
        <v>4</v>
      </c>
      <c r="AI14" s="78">
        <v>2</v>
      </c>
      <c r="AJ14" s="78">
        <v>4</v>
      </c>
      <c r="AK14" s="78">
        <v>12</v>
      </c>
      <c r="AL14" s="78">
        <v>127</v>
      </c>
      <c r="AM14" s="78">
        <v>23</v>
      </c>
      <c r="AN14">
        <f t="shared" si="0"/>
        <v>460</v>
      </c>
    </row>
    <row r="15" spans="1:40">
      <c r="A15" s="78">
        <v>9</v>
      </c>
      <c r="B15" s="78">
        <v>21588</v>
      </c>
      <c r="C15" s="78" t="s">
        <v>83</v>
      </c>
      <c r="D15" s="78" t="s">
        <v>166</v>
      </c>
      <c r="E15" s="78" t="s">
        <v>67</v>
      </c>
      <c r="F15" s="78" t="s">
        <v>161</v>
      </c>
      <c r="G15" s="78">
        <v>1</v>
      </c>
      <c r="H15" s="78">
        <v>1</v>
      </c>
      <c r="I15" s="78">
        <v>8</v>
      </c>
      <c r="J15" s="78">
        <v>1</v>
      </c>
      <c r="K15" s="78">
        <v>1</v>
      </c>
      <c r="L15" s="78"/>
      <c r="M15" s="78"/>
      <c r="N15" s="78">
        <v>1</v>
      </c>
      <c r="O15" s="78">
        <v>1</v>
      </c>
      <c r="P15" s="78">
        <v>8</v>
      </c>
      <c r="Q15" s="78"/>
      <c r="R15" s="78">
        <v>1</v>
      </c>
      <c r="S15" s="78">
        <v>1</v>
      </c>
      <c r="T15" s="78">
        <v>1</v>
      </c>
      <c r="U15" s="78"/>
      <c r="V15" s="78">
        <v>1</v>
      </c>
      <c r="W15" s="78"/>
      <c r="X15" s="78">
        <v>1</v>
      </c>
      <c r="Y15" s="78">
        <v>1</v>
      </c>
      <c r="Z15" s="78">
        <v>1</v>
      </c>
      <c r="AA15" s="78"/>
      <c r="AB15" s="78"/>
      <c r="AC15" s="78"/>
      <c r="AD15" s="78"/>
      <c r="AE15" s="78">
        <v>1</v>
      </c>
      <c r="AF15" s="78">
        <v>1</v>
      </c>
      <c r="AG15" s="78"/>
      <c r="AH15" s="78"/>
      <c r="AI15" s="78">
        <v>1</v>
      </c>
      <c r="AJ15" s="78">
        <v>1</v>
      </c>
      <c r="AK15" s="78"/>
      <c r="AL15" s="78">
        <v>33</v>
      </c>
      <c r="AM15" s="78">
        <v>2</v>
      </c>
    </row>
    <row r="16" spans="1:40">
      <c r="A16" s="78">
        <v>10</v>
      </c>
      <c r="B16" s="78">
        <v>21710</v>
      </c>
      <c r="C16" s="78" t="s">
        <v>84</v>
      </c>
      <c r="D16" s="78" t="s">
        <v>166</v>
      </c>
      <c r="E16" s="78" t="s">
        <v>67</v>
      </c>
      <c r="F16" s="78" t="s">
        <v>161</v>
      </c>
      <c r="G16" s="78">
        <v>1</v>
      </c>
      <c r="H16" s="78">
        <v>1</v>
      </c>
      <c r="I16" s="78">
        <v>8</v>
      </c>
      <c r="J16" s="78">
        <v>1</v>
      </c>
      <c r="K16" s="78">
        <v>1</v>
      </c>
      <c r="L16" s="78">
        <v>1</v>
      </c>
      <c r="M16" s="78"/>
      <c r="N16" s="78">
        <v>1</v>
      </c>
      <c r="O16" s="78">
        <v>1</v>
      </c>
      <c r="P16" s="78">
        <v>8</v>
      </c>
      <c r="Q16" s="78">
        <v>1</v>
      </c>
      <c r="R16" s="78">
        <v>1</v>
      </c>
      <c r="S16" s="78">
        <v>1</v>
      </c>
      <c r="T16" s="78">
        <v>1</v>
      </c>
      <c r="U16" s="78">
        <v>1</v>
      </c>
      <c r="V16" s="78">
        <v>1</v>
      </c>
      <c r="W16" s="78">
        <v>8</v>
      </c>
      <c r="X16" s="78">
        <v>1</v>
      </c>
      <c r="Y16" s="78">
        <v>1</v>
      </c>
      <c r="Z16" s="78">
        <v>1</v>
      </c>
      <c r="AA16" s="78"/>
      <c r="AB16" s="78"/>
      <c r="AC16" s="78">
        <v>1</v>
      </c>
      <c r="AD16" s="78">
        <v>8</v>
      </c>
      <c r="AE16" s="78">
        <v>1</v>
      </c>
      <c r="AF16" s="78">
        <v>1</v>
      </c>
      <c r="AG16" s="78">
        <v>1</v>
      </c>
      <c r="AH16" s="78">
        <v>1</v>
      </c>
      <c r="AI16" s="78">
        <v>1</v>
      </c>
      <c r="AJ16" s="78">
        <v>1</v>
      </c>
      <c r="AK16" s="78">
        <v>8</v>
      </c>
      <c r="AL16" s="78">
        <v>63</v>
      </c>
      <c r="AM16" s="78">
        <v>5</v>
      </c>
    </row>
    <row r="17" spans="1:40">
      <c r="A17" s="78">
        <v>11</v>
      </c>
      <c r="B17" s="78">
        <v>21713</v>
      </c>
      <c r="C17" s="78" t="s">
        <v>86</v>
      </c>
      <c r="D17" s="78" t="s">
        <v>166</v>
      </c>
      <c r="E17" s="78" t="s">
        <v>25</v>
      </c>
      <c r="F17" s="78" t="s">
        <v>161</v>
      </c>
      <c r="G17" s="78">
        <v>4</v>
      </c>
      <c r="H17" s="78">
        <v>4</v>
      </c>
      <c r="I17" s="78"/>
      <c r="J17" s="78">
        <v>4</v>
      </c>
      <c r="K17" s="78">
        <v>4</v>
      </c>
      <c r="L17" s="78">
        <v>4</v>
      </c>
      <c r="M17" s="78"/>
      <c r="N17" s="78">
        <v>4</v>
      </c>
      <c r="O17" s="78">
        <v>4</v>
      </c>
      <c r="P17" s="78">
        <v>12</v>
      </c>
      <c r="Q17" s="78">
        <v>4</v>
      </c>
      <c r="R17" s="78">
        <v>4</v>
      </c>
      <c r="S17" s="78">
        <v>4</v>
      </c>
      <c r="T17" s="78">
        <v>4</v>
      </c>
      <c r="U17" s="78">
        <v>4</v>
      </c>
      <c r="V17" s="78">
        <v>4</v>
      </c>
      <c r="W17" s="78"/>
      <c r="X17" s="78">
        <v>4</v>
      </c>
      <c r="Y17" s="78">
        <v>4</v>
      </c>
      <c r="Z17" s="78"/>
      <c r="AA17" s="78"/>
      <c r="AB17" s="78"/>
      <c r="AC17" s="78">
        <v>4</v>
      </c>
      <c r="AD17" s="78">
        <v>12</v>
      </c>
      <c r="AE17" s="78">
        <v>4</v>
      </c>
      <c r="AF17" s="78">
        <v>4</v>
      </c>
      <c r="AG17" s="78">
        <v>4</v>
      </c>
      <c r="AH17" s="78">
        <v>4</v>
      </c>
      <c r="AI17" s="78">
        <v>4</v>
      </c>
      <c r="AJ17" s="78">
        <v>4</v>
      </c>
      <c r="AK17" s="78">
        <v>12</v>
      </c>
      <c r="AL17" s="78">
        <v>124</v>
      </c>
      <c r="AM17" s="78">
        <v>25</v>
      </c>
      <c r="AN17">
        <f t="shared" si="0"/>
        <v>500</v>
      </c>
    </row>
    <row r="18" spans="1:40">
      <c r="A18" s="78">
        <v>12</v>
      </c>
      <c r="B18" s="78">
        <v>22042</v>
      </c>
      <c r="C18" s="78" t="s">
        <v>88</v>
      </c>
      <c r="D18" s="78" t="s">
        <v>166</v>
      </c>
      <c r="E18" s="78" t="s">
        <v>25</v>
      </c>
      <c r="F18" s="78" t="s">
        <v>161</v>
      </c>
      <c r="G18" s="78"/>
      <c r="H18" s="78">
        <v>4</v>
      </c>
      <c r="I18" s="78"/>
      <c r="J18" s="78">
        <v>4</v>
      </c>
      <c r="K18" s="78">
        <v>4</v>
      </c>
      <c r="L18" s="78"/>
      <c r="M18" s="78"/>
      <c r="N18" s="78">
        <v>4</v>
      </c>
      <c r="O18" s="78">
        <v>4</v>
      </c>
      <c r="P18" s="78">
        <v>9</v>
      </c>
      <c r="Q18" s="78">
        <v>4</v>
      </c>
      <c r="R18" s="78">
        <v>4</v>
      </c>
      <c r="S18" s="78">
        <v>4</v>
      </c>
      <c r="T18" s="78">
        <v>4</v>
      </c>
      <c r="U18" s="78">
        <v>4</v>
      </c>
      <c r="V18" s="78"/>
      <c r="W18" s="78"/>
      <c r="X18" s="78">
        <v>4</v>
      </c>
      <c r="Y18" s="78">
        <v>4</v>
      </c>
      <c r="Z18" s="78"/>
      <c r="AA18" s="78"/>
      <c r="AB18" s="78"/>
      <c r="AC18" s="78"/>
      <c r="AD18" s="78"/>
      <c r="AE18" s="78">
        <v>4</v>
      </c>
      <c r="AF18" s="78">
        <v>4</v>
      </c>
      <c r="AG18" s="78">
        <v>4</v>
      </c>
      <c r="AH18" s="78">
        <v>4</v>
      </c>
      <c r="AI18" s="78">
        <v>4</v>
      </c>
      <c r="AJ18" s="78">
        <v>4</v>
      </c>
      <c r="AK18" s="78"/>
      <c r="AL18" s="78">
        <v>81</v>
      </c>
      <c r="AM18" s="78">
        <v>19</v>
      </c>
      <c r="AN18">
        <f t="shared" si="0"/>
        <v>380</v>
      </c>
    </row>
    <row r="19" spans="1:40">
      <c r="A19" s="78">
        <v>13</v>
      </c>
      <c r="B19" s="78">
        <v>22050</v>
      </c>
      <c r="C19" s="78" t="s">
        <v>89</v>
      </c>
      <c r="D19" s="78" t="s">
        <v>166</v>
      </c>
      <c r="E19" s="78" t="s">
        <v>67</v>
      </c>
      <c r="F19" s="78" t="s">
        <v>161</v>
      </c>
      <c r="G19" s="78">
        <v>1</v>
      </c>
      <c r="H19" s="78">
        <v>1</v>
      </c>
      <c r="I19" s="78">
        <v>8</v>
      </c>
      <c r="J19" s="78">
        <v>1</v>
      </c>
      <c r="K19" s="78">
        <v>1</v>
      </c>
      <c r="L19" s="78">
        <v>1</v>
      </c>
      <c r="M19" s="78"/>
      <c r="N19" s="78">
        <v>1</v>
      </c>
      <c r="O19" s="78">
        <v>1</v>
      </c>
      <c r="P19" s="78">
        <v>8</v>
      </c>
      <c r="Q19" s="78">
        <v>1</v>
      </c>
      <c r="R19" s="78">
        <v>1</v>
      </c>
      <c r="S19" s="78"/>
      <c r="T19" s="78">
        <v>1</v>
      </c>
      <c r="U19" s="78">
        <v>1</v>
      </c>
      <c r="V19" s="78">
        <v>1</v>
      </c>
      <c r="W19" s="78">
        <v>8</v>
      </c>
      <c r="X19" s="78">
        <v>1</v>
      </c>
      <c r="Y19" s="78">
        <v>1</v>
      </c>
      <c r="Z19" s="78">
        <v>1</v>
      </c>
      <c r="AA19" s="78"/>
      <c r="AB19" s="78"/>
      <c r="AC19" s="78">
        <v>1</v>
      </c>
      <c r="AD19" s="78">
        <v>8</v>
      </c>
      <c r="AE19" s="78">
        <v>1</v>
      </c>
      <c r="AF19" s="78">
        <v>1</v>
      </c>
      <c r="AG19" s="78">
        <v>1</v>
      </c>
      <c r="AH19" s="78">
        <v>1</v>
      </c>
      <c r="AI19" s="78">
        <v>1</v>
      </c>
      <c r="AJ19" s="78">
        <v>1</v>
      </c>
      <c r="AK19" s="78">
        <v>8</v>
      </c>
      <c r="AL19" s="78">
        <v>62</v>
      </c>
      <c r="AM19" s="78">
        <v>5</v>
      </c>
    </row>
    <row r="20" spans="1:40">
      <c r="A20" s="78">
        <v>14</v>
      </c>
      <c r="B20" s="78">
        <v>22104</v>
      </c>
      <c r="C20" s="78" t="s">
        <v>92</v>
      </c>
      <c r="D20" s="78" t="s">
        <v>166</v>
      </c>
      <c r="E20" s="78" t="s">
        <v>67</v>
      </c>
      <c r="F20" s="78" t="s">
        <v>161</v>
      </c>
      <c r="G20" s="78">
        <v>1</v>
      </c>
      <c r="H20" s="78">
        <v>1</v>
      </c>
      <c r="I20" s="78">
        <v>8</v>
      </c>
      <c r="J20" s="78">
        <v>1</v>
      </c>
      <c r="K20" s="78">
        <v>1</v>
      </c>
      <c r="L20" s="78">
        <v>1</v>
      </c>
      <c r="M20" s="78"/>
      <c r="N20" s="78">
        <v>1</v>
      </c>
      <c r="O20" s="78">
        <v>1</v>
      </c>
      <c r="P20" s="78"/>
      <c r="Q20" s="78">
        <v>1</v>
      </c>
      <c r="R20" s="78">
        <v>1</v>
      </c>
      <c r="S20" s="78">
        <v>1</v>
      </c>
      <c r="T20" s="78">
        <v>1</v>
      </c>
      <c r="U20" s="78">
        <v>1</v>
      </c>
      <c r="V20" s="78">
        <v>1</v>
      </c>
      <c r="W20" s="78"/>
      <c r="X20" s="78">
        <v>1</v>
      </c>
      <c r="Y20" s="78">
        <v>1</v>
      </c>
      <c r="Z20" s="78">
        <v>1</v>
      </c>
      <c r="AA20" s="78"/>
      <c r="AB20" s="78"/>
      <c r="AC20" s="78">
        <v>1</v>
      </c>
      <c r="AD20" s="78"/>
      <c r="AE20" s="78">
        <v>1</v>
      </c>
      <c r="AF20" s="78">
        <v>1</v>
      </c>
      <c r="AG20" s="78">
        <v>1</v>
      </c>
      <c r="AH20" s="78">
        <v>1</v>
      </c>
      <c r="AI20" s="78">
        <v>1</v>
      </c>
      <c r="AJ20" s="78">
        <v>1</v>
      </c>
      <c r="AK20" s="78"/>
      <c r="AL20" s="78">
        <v>31</v>
      </c>
      <c r="AM20" s="78">
        <v>1</v>
      </c>
    </row>
    <row r="21" spans="1:40">
      <c r="A21" s="78">
        <v>15</v>
      </c>
      <c r="B21" s="78">
        <v>22111</v>
      </c>
      <c r="C21" s="78" t="s">
        <v>75</v>
      </c>
      <c r="D21" s="78" t="s">
        <v>166</v>
      </c>
      <c r="E21" s="78" t="s">
        <v>67</v>
      </c>
      <c r="F21" s="78" t="s">
        <v>161</v>
      </c>
      <c r="G21" s="78">
        <v>1</v>
      </c>
      <c r="H21" s="78">
        <v>1</v>
      </c>
      <c r="I21" s="78"/>
      <c r="J21" s="78">
        <v>1</v>
      </c>
      <c r="K21" s="78"/>
      <c r="L21" s="78"/>
      <c r="M21" s="78"/>
      <c r="N21" s="78">
        <v>1</v>
      </c>
      <c r="O21" s="78">
        <v>1</v>
      </c>
      <c r="P21" s="78"/>
      <c r="Q21" s="78">
        <v>1</v>
      </c>
      <c r="R21" s="78">
        <v>1</v>
      </c>
      <c r="S21" s="78">
        <v>1</v>
      </c>
      <c r="T21" s="78">
        <v>1</v>
      </c>
      <c r="U21" s="78">
        <v>1</v>
      </c>
      <c r="V21" s="78">
        <v>1</v>
      </c>
      <c r="W21" s="78"/>
      <c r="X21" s="78">
        <v>1</v>
      </c>
      <c r="Y21" s="78"/>
      <c r="Z21" s="78"/>
      <c r="AA21" s="78"/>
      <c r="AB21" s="78"/>
      <c r="AC21" s="78"/>
      <c r="AD21" s="78"/>
      <c r="AE21" s="78">
        <v>1</v>
      </c>
      <c r="AF21" s="78">
        <v>1</v>
      </c>
      <c r="AG21" s="78">
        <v>1</v>
      </c>
      <c r="AH21" s="78">
        <v>1</v>
      </c>
      <c r="AI21" s="78">
        <v>1</v>
      </c>
      <c r="AJ21" s="78">
        <v>1</v>
      </c>
      <c r="AK21" s="78"/>
      <c r="AL21" s="78">
        <v>18</v>
      </c>
      <c r="AM21" s="78">
        <v>0</v>
      </c>
      <c r="AN21">
        <f t="shared" si="0"/>
        <v>0</v>
      </c>
    </row>
    <row r="22" spans="1:40">
      <c r="A22" s="78">
        <v>16</v>
      </c>
      <c r="B22" s="78">
        <v>22115</v>
      </c>
      <c r="C22" s="78" t="s">
        <v>94</v>
      </c>
      <c r="D22" s="78" t="s">
        <v>166</v>
      </c>
      <c r="E22" s="78" t="s">
        <v>67</v>
      </c>
      <c r="F22" s="78" t="s">
        <v>161</v>
      </c>
      <c r="G22" s="78">
        <v>1</v>
      </c>
      <c r="H22" s="78">
        <v>1</v>
      </c>
      <c r="I22" s="78">
        <v>8</v>
      </c>
      <c r="J22" s="78">
        <v>1</v>
      </c>
      <c r="K22" s="78">
        <v>1</v>
      </c>
      <c r="L22" s="78">
        <v>1</v>
      </c>
      <c r="M22" s="78"/>
      <c r="N22" s="78">
        <v>1</v>
      </c>
      <c r="O22" s="78">
        <v>1</v>
      </c>
      <c r="P22" s="78">
        <v>8</v>
      </c>
      <c r="Q22" s="78">
        <v>1</v>
      </c>
      <c r="R22" s="78">
        <v>1</v>
      </c>
      <c r="S22" s="78">
        <v>1</v>
      </c>
      <c r="T22" s="78">
        <v>1</v>
      </c>
      <c r="U22" s="78">
        <v>1</v>
      </c>
      <c r="V22" s="78">
        <v>1</v>
      </c>
      <c r="W22" s="78"/>
      <c r="X22" s="78">
        <v>1</v>
      </c>
      <c r="Y22" s="78">
        <v>1</v>
      </c>
      <c r="Z22" s="78">
        <v>1</v>
      </c>
      <c r="AA22" s="78"/>
      <c r="AB22" s="78"/>
      <c r="AC22" s="78">
        <v>1</v>
      </c>
      <c r="AD22" s="78"/>
      <c r="AE22" s="78">
        <v>1</v>
      </c>
      <c r="AF22" s="78">
        <v>1</v>
      </c>
      <c r="AG22" s="78">
        <v>1</v>
      </c>
      <c r="AH22" s="78">
        <v>1</v>
      </c>
      <c r="AI22" s="78"/>
      <c r="AJ22" s="78"/>
      <c r="AK22" s="78"/>
      <c r="AL22" s="78">
        <v>37</v>
      </c>
      <c r="AM22" s="78">
        <v>2</v>
      </c>
    </row>
    <row r="23" spans="1:40">
      <c r="A23" s="78">
        <v>17</v>
      </c>
      <c r="B23" s="78">
        <v>22133</v>
      </c>
      <c r="C23" s="78" t="s">
        <v>96</v>
      </c>
      <c r="D23" s="78" t="s">
        <v>166</v>
      </c>
      <c r="E23" s="78" t="s">
        <v>97</v>
      </c>
      <c r="F23" s="78" t="s">
        <v>161</v>
      </c>
      <c r="G23" s="78">
        <v>4</v>
      </c>
      <c r="H23" s="78">
        <v>4</v>
      </c>
      <c r="I23" s="78"/>
      <c r="J23" s="78">
        <v>4</v>
      </c>
      <c r="K23" s="78">
        <v>4</v>
      </c>
      <c r="L23" s="78">
        <v>4</v>
      </c>
      <c r="M23" s="78"/>
      <c r="N23" s="78">
        <v>4</v>
      </c>
      <c r="O23" s="78">
        <v>4</v>
      </c>
      <c r="P23" s="78"/>
      <c r="Q23" s="78">
        <v>4</v>
      </c>
      <c r="R23" s="78">
        <v>4</v>
      </c>
      <c r="S23" s="78">
        <v>4</v>
      </c>
      <c r="T23" s="78">
        <v>4</v>
      </c>
      <c r="U23" s="78">
        <v>4</v>
      </c>
      <c r="V23" s="78">
        <v>4</v>
      </c>
      <c r="W23" s="78">
        <v>12</v>
      </c>
      <c r="X23" s="78">
        <v>4</v>
      </c>
      <c r="Y23" s="78">
        <v>4</v>
      </c>
      <c r="Z23" s="78"/>
      <c r="AA23" s="78"/>
      <c r="AB23" s="78"/>
      <c r="AC23" s="78"/>
      <c r="AD23" s="78"/>
      <c r="AE23" s="78">
        <v>4</v>
      </c>
      <c r="AF23" s="78">
        <v>4</v>
      </c>
      <c r="AG23" s="78">
        <v>4</v>
      </c>
      <c r="AH23" s="78">
        <v>4</v>
      </c>
      <c r="AI23" s="78">
        <v>4</v>
      </c>
      <c r="AJ23" s="78">
        <v>4</v>
      </c>
      <c r="AK23" s="78">
        <v>12</v>
      </c>
      <c r="AL23" s="78">
        <v>108</v>
      </c>
      <c r="AM23" s="78">
        <v>23</v>
      </c>
      <c r="AN23">
        <f t="shared" si="0"/>
        <v>460</v>
      </c>
    </row>
    <row r="24" spans="1:40">
      <c r="A24" s="78">
        <v>18</v>
      </c>
      <c r="B24" s="78">
        <v>22146</v>
      </c>
      <c r="C24" s="78" t="s">
        <v>167</v>
      </c>
      <c r="D24" s="78" t="s">
        <v>166</v>
      </c>
      <c r="E24" s="78" t="s">
        <v>70</v>
      </c>
      <c r="F24" s="78" t="s">
        <v>161</v>
      </c>
      <c r="G24" s="78">
        <v>1</v>
      </c>
      <c r="H24" s="78">
        <v>1</v>
      </c>
      <c r="I24" s="78"/>
      <c r="J24" s="78">
        <v>1</v>
      </c>
      <c r="K24" s="78">
        <v>1</v>
      </c>
      <c r="L24" s="78"/>
      <c r="M24" s="78"/>
      <c r="N24" s="78">
        <v>1</v>
      </c>
      <c r="O24" s="78">
        <v>1</v>
      </c>
      <c r="P24" s="78"/>
      <c r="Q24" s="78">
        <v>1</v>
      </c>
      <c r="R24" s="78">
        <v>1</v>
      </c>
      <c r="S24" s="78">
        <v>1</v>
      </c>
      <c r="T24" s="78">
        <v>1</v>
      </c>
      <c r="U24" s="78">
        <v>1</v>
      </c>
      <c r="V24" s="78">
        <v>1</v>
      </c>
      <c r="W24" s="78">
        <v>8</v>
      </c>
      <c r="X24" s="78">
        <v>1</v>
      </c>
      <c r="Y24" s="78">
        <v>1</v>
      </c>
      <c r="Z24" s="78">
        <v>1</v>
      </c>
      <c r="AA24" s="78"/>
      <c r="AB24" s="78"/>
      <c r="AC24" s="78">
        <v>1</v>
      </c>
      <c r="AD24" s="78"/>
      <c r="AE24" s="78">
        <v>1</v>
      </c>
      <c r="AF24" s="78">
        <v>1</v>
      </c>
      <c r="AG24" s="78">
        <v>1</v>
      </c>
      <c r="AH24" s="78">
        <v>1</v>
      </c>
      <c r="AI24" s="78">
        <v>1</v>
      </c>
      <c r="AJ24" s="78">
        <v>1</v>
      </c>
      <c r="AK24" s="78">
        <v>8</v>
      </c>
      <c r="AL24" s="78">
        <v>39</v>
      </c>
      <c r="AM24" s="78">
        <v>2</v>
      </c>
    </row>
    <row r="25" spans="1:40">
      <c r="A25" s="78">
        <v>19</v>
      </c>
      <c r="B25" s="78">
        <v>22149</v>
      </c>
      <c r="C25" s="78" t="s">
        <v>99</v>
      </c>
      <c r="D25" s="78" t="s">
        <v>166</v>
      </c>
      <c r="E25" s="78" t="s">
        <v>67</v>
      </c>
      <c r="F25" s="78" t="s">
        <v>161</v>
      </c>
      <c r="G25" s="78">
        <v>1</v>
      </c>
      <c r="H25" s="78">
        <v>1</v>
      </c>
      <c r="I25" s="78"/>
      <c r="J25" s="78">
        <v>1</v>
      </c>
      <c r="K25" s="78">
        <v>1</v>
      </c>
      <c r="L25" s="78"/>
      <c r="M25" s="78"/>
      <c r="N25" s="78">
        <v>1</v>
      </c>
      <c r="O25" s="78">
        <v>1</v>
      </c>
      <c r="P25" s="78">
        <v>8</v>
      </c>
      <c r="Q25" s="78">
        <v>1</v>
      </c>
      <c r="R25" s="78">
        <v>1</v>
      </c>
      <c r="S25" s="78">
        <v>1</v>
      </c>
      <c r="T25" s="78">
        <v>1</v>
      </c>
      <c r="U25" s="78">
        <v>1</v>
      </c>
      <c r="V25" s="78">
        <v>1</v>
      </c>
      <c r="W25" s="78">
        <v>8</v>
      </c>
      <c r="X25" s="78"/>
      <c r="Y25" s="78">
        <v>1</v>
      </c>
      <c r="Z25" s="78">
        <v>1</v>
      </c>
      <c r="AA25" s="78"/>
      <c r="AB25" s="78"/>
      <c r="AC25" s="78"/>
      <c r="AD25" s="78">
        <v>8</v>
      </c>
      <c r="AE25" s="78">
        <v>1</v>
      </c>
      <c r="AF25" s="78"/>
      <c r="AG25" s="78"/>
      <c r="AH25" s="78">
        <v>1</v>
      </c>
      <c r="AI25" s="78">
        <v>1</v>
      </c>
      <c r="AJ25" s="78">
        <v>1</v>
      </c>
      <c r="AK25" s="78">
        <v>8</v>
      </c>
      <c r="AL25" s="78">
        <v>50</v>
      </c>
      <c r="AM25" s="78">
        <v>4</v>
      </c>
    </row>
    <row r="26" spans="1:40">
      <c r="A26" s="78">
        <v>20</v>
      </c>
      <c r="B26" s="78">
        <v>22168</v>
      </c>
      <c r="C26" s="78" t="s">
        <v>100</v>
      </c>
      <c r="D26" s="78" t="s">
        <v>166</v>
      </c>
      <c r="E26" s="78" t="s">
        <v>67</v>
      </c>
      <c r="F26" s="78" t="s">
        <v>161</v>
      </c>
      <c r="G26" s="78">
        <v>1</v>
      </c>
      <c r="H26" s="78">
        <v>1</v>
      </c>
      <c r="I26" s="78"/>
      <c r="J26" s="78">
        <v>1</v>
      </c>
      <c r="K26" s="78"/>
      <c r="L26" s="78"/>
      <c r="M26" s="78"/>
      <c r="N26" s="78">
        <v>1</v>
      </c>
      <c r="O26" s="78"/>
      <c r="P26" s="78"/>
      <c r="Q26" s="78"/>
      <c r="R26" s="78">
        <v>1</v>
      </c>
      <c r="S26" s="78">
        <v>1</v>
      </c>
      <c r="T26" s="78">
        <v>1</v>
      </c>
      <c r="U26" s="78">
        <v>1</v>
      </c>
      <c r="V26" s="78">
        <v>1</v>
      </c>
      <c r="W26" s="78">
        <v>8</v>
      </c>
      <c r="X26" s="78">
        <v>1</v>
      </c>
      <c r="Y26" s="78">
        <v>1</v>
      </c>
      <c r="Z26" s="78">
        <v>1</v>
      </c>
      <c r="AA26" s="78"/>
      <c r="AB26" s="78"/>
      <c r="AC26" s="78">
        <v>1</v>
      </c>
      <c r="AD26" s="78"/>
      <c r="AE26" s="78">
        <v>1</v>
      </c>
      <c r="AF26" s="78">
        <v>1</v>
      </c>
      <c r="AG26" s="78">
        <v>1</v>
      </c>
      <c r="AH26" s="78">
        <v>1</v>
      </c>
      <c r="AI26" s="78">
        <v>1</v>
      </c>
      <c r="AJ26" s="78"/>
      <c r="AK26" s="78"/>
      <c r="AL26" s="78">
        <v>26</v>
      </c>
      <c r="AM26" s="78">
        <v>1</v>
      </c>
    </row>
    <row r="27" spans="1:40">
      <c r="A27" s="78">
        <v>21</v>
      </c>
      <c r="B27" s="78">
        <v>22176</v>
      </c>
      <c r="C27" s="78" t="s">
        <v>101</v>
      </c>
      <c r="D27" s="78" t="s">
        <v>166</v>
      </c>
      <c r="E27" s="78" t="s">
        <v>67</v>
      </c>
      <c r="F27" s="78" t="s">
        <v>161</v>
      </c>
      <c r="G27" s="78">
        <v>1</v>
      </c>
      <c r="H27" s="78">
        <v>1</v>
      </c>
      <c r="I27" s="78">
        <v>8</v>
      </c>
      <c r="J27" s="78">
        <v>1</v>
      </c>
      <c r="K27" s="78">
        <v>1</v>
      </c>
      <c r="L27" s="78">
        <v>1</v>
      </c>
      <c r="M27" s="78"/>
      <c r="N27" s="78">
        <v>1</v>
      </c>
      <c r="O27" s="78">
        <v>1</v>
      </c>
      <c r="P27" s="78">
        <v>8</v>
      </c>
      <c r="Q27" s="78">
        <v>1</v>
      </c>
      <c r="R27" s="78">
        <v>1</v>
      </c>
      <c r="S27" s="78">
        <v>1</v>
      </c>
      <c r="T27" s="78">
        <v>1</v>
      </c>
      <c r="U27" s="78">
        <v>1</v>
      </c>
      <c r="V27" s="78">
        <v>1</v>
      </c>
      <c r="W27" s="78">
        <v>8</v>
      </c>
      <c r="X27" s="78">
        <v>1</v>
      </c>
      <c r="Y27" s="78">
        <v>1</v>
      </c>
      <c r="Z27" s="78">
        <v>1</v>
      </c>
      <c r="AA27" s="78"/>
      <c r="AB27" s="78"/>
      <c r="AC27" s="78"/>
      <c r="AD27" s="78"/>
      <c r="AE27" s="78"/>
      <c r="AF27" s="78"/>
      <c r="AG27" s="78">
        <v>1</v>
      </c>
      <c r="AH27" s="78"/>
      <c r="AI27" s="78">
        <v>1</v>
      </c>
      <c r="AJ27" s="78">
        <v>1</v>
      </c>
      <c r="AK27" s="78">
        <v>8</v>
      </c>
      <c r="AL27" s="78">
        <v>51</v>
      </c>
      <c r="AM27" s="78">
        <v>4</v>
      </c>
    </row>
    <row r="28" spans="1:40">
      <c r="A28" s="78">
        <v>22</v>
      </c>
      <c r="B28" s="78">
        <v>22204</v>
      </c>
      <c r="C28" s="78" t="s">
        <v>102</v>
      </c>
      <c r="D28" s="78" t="s">
        <v>166</v>
      </c>
      <c r="E28" s="78" t="s">
        <v>25</v>
      </c>
      <c r="F28" s="78" t="s">
        <v>161</v>
      </c>
      <c r="G28" s="78">
        <v>4</v>
      </c>
      <c r="H28" s="78">
        <v>4</v>
      </c>
      <c r="I28" s="78"/>
      <c r="J28" s="78">
        <v>4</v>
      </c>
      <c r="K28" s="78">
        <v>4</v>
      </c>
      <c r="L28" s="78">
        <v>4</v>
      </c>
      <c r="M28" s="78"/>
      <c r="N28" s="78">
        <v>4</v>
      </c>
      <c r="O28" s="78">
        <v>4</v>
      </c>
      <c r="P28" s="78"/>
      <c r="Q28" s="78">
        <v>4</v>
      </c>
      <c r="R28" s="78">
        <v>4</v>
      </c>
      <c r="S28" s="78">
        <v>4</v>
      </c>
      <c r="T28" s="78">
        <v>4</v>
      </c>
      <c r="U28" s="78">
        <v>1</v>
      </c>
      <c r="V28" s="78">
        <v>4</v>
      </c>
      <c r="W28" s="78"/>
      <c r="X28" s="78">
        <v>4</v>
      </c>
      <c r="Y28" s="78">
        <v>4</v>
      </c>
      <c r="Z28" s="78">
        <v>4</v>
      </c>
      <c r="AA28" s="78"/>
      <c r="AB28" s="78"/>
      <c r="AC28" s="78">
        <v>4</v>
      </c>
      <c r="AD28" s="78"/>
      <c r="AE28" s="78">
        <v>4</v>
      </c>
      <c r="AF28" s="78">
        <v>4</v>
      </c>
      <c r="AG28" s="78">
        <v>4</v>
      </c>
      <c r="AH28" s="78">
        <v>4</v>
      </c>
      <c r="AI28" s="78">
        <v>4</v>
      </c>
      <c r="AJ28" s="78">
        <v>4</v>
      </c>
      <c r="AK28" s="78"/>
      <c r="AL28" s="78">
        <v>89</v>
      </c>
      <c r="AM28" s="78">
        <v>22</v>
      </c>
      <c r="AN28">
        <f t="shared" si="0"/>
        <v>440</v>
      </c>
    </row>
    <row r="29" spans="1:40">
      <c r="A29" s="78">
        <v>23</v>
      </c>
      <c r="B29" s="78">
        <v>22215</v>
      </c>
      <c r="C29" s="78" t="s">
        <v>103</v>
      </c>
      <c r="D29" s="78" t="s">
        <v>166</v>
      </c>
      <c r="E29" s="78" t="s">
        <v>67</v>
      </c>
      <c r="F29" s="78" t="s">
        <v>161</v>
      </c>
      <c r="G29" s="78">
        <v>4</v>
      </c>
      <c r="H29" s="78">
        <v>4</v>
      </c>
      <c r="I29" s="78">
        <v>9</v>
      </c>
      <c r="J29" s="78">
        <v>4</v>
      </c>
      <c r="K29" s="78">
        <v>4</v>
      </c>
      <c r="L29" s="78">
        <v>4</v>
      </c>
      <c r="M29" s="78"/>
      <c r="N29" s="78">
        <v>4</v>
      </c>
      <c r="O29" s="78">
        <v>4</v>
      </c>
      <c r="P29" s="78">
        <v>9</v>
      </c>
      <c r="Q29" s="78">
        <v>4</v>
      </c>
      <c r="R29" s="78">
        <v>4</v>
      </c>
      <c r="S29" s="78">
        <v>4</v>
      </c>
      <c r="T29" s="78"/>
      <c r="U29" s="78">
        <v>4</v>
      </c>
      <c r="V29" s="78">
        <v>4</v>
      </c>
      <c r="W29" s="78">
        <v>9</v>
      </c>
      <c r="X29" s="78">
        <v>4</v>
      </c>
      <c r="Y29" s="78">
        <v>4</v>
      </c>
      <c r="Z29" s="78">
        <v>4</v>
      </c>
      <c r="AA29" s="78"/>
      <c r="AB29" s="78"/>
      <c r="AC29" s="78">
        <v>4</v>
      </c>
      <c r="AD29" s="78">
        <v>9</v>
      </c>
      <c r="AE29" s="78">
        <v>4</v>
      </c>
      <c r="AF29" s="78">
        <v>4</v>
      </c>
      <c r="AG29" s="78">
        <v>4</v>
      </c>
      <c r="AH29" s="78">
        <v>4</v>
      </c>
      <c r="AI29" s="78">
        <v>4</v>
      </c>
      <c r="AJ29" s="78">
        <v>4</v>
      </c>
      <c r="AK29" s="78">
        <v>9</v>
      </c>
      <c r="AL29" s="78">
        <v>133</v>
      </c>
      <c r="AM29" s="78">
        <v>27</v>
      </c>
      <c r="AN29">
        <f t="shared" si="0"/>
        <v>540</v>
      </c>
    </row>
    <row r="30" spans="1:40">
      <c r="A30" s="78">
        <v>24</v>
      </c>
      <c r="B30" s="78">
        <v>22217</v>
      </c>
      <c r="C30" s="78" t="s">
        <v>104</v>
      </c>
      <c r="D30" s="78" t="s">
        <v>166</v>
      </c>
      <c r="E30" s="78" t="s">
        <v>25</v>
      </c>
      <c r="F30" s="78" t="s">
        <v>161</v>
      </c>
      <c r="G30" s="78">
        <v>4</v>
      </c>
      <c r="H30" s="78">
        <v>4</v>
      </c>
      <c r="I30" s="78"/>
      <c r="J30" s="78"/>
      <c r="K30" s="78">
        <v>4</v>
      </c>
      <c r="L30" s="78">
        <v>4</v>
      </c>
      <c r="M30" s="78"/>
      <c r="N30" s="78">
        <v>4</v>
      </c>
      <c r="O30" s="78">
        <v>4</v>
      </c>
      <c r="P30" s="78"/>
      <c r="Q30" s="78">
        <v>4</v>
      </c>
      <c r="R30" s="78">
        <v>4</v>
      </c>
      <c r="S30" s="78">
        <v>4</v>
      </c>
      <c r="T30" s="78">
        <v>4</v>
      </c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40</v>
      </c>
      <c r="AM30" s="78">
        <v>10</v>
      </c>
      <c r="AN30">
        <f t="shared" si="0"/>
        <v>200</v>
      </c>
    </row>
    <row r="31" spans="1:40">
      <c r="A31" s="78">
        <v>25</v>
      </c>
      <c r="B31" s="78">
        <v>22222</v>
      </c>
      <c r="C31" s="78" t="s">
        <v>111</v>
      </c>
      <c r="D31" s="78" t="s">
        <v>166</v>
      </c>
      <c r="E31" s="78" t="s">
        <v>25</v>
      </c>
      <c r="F31" s="78" t="s">
        <v>161</v>
      </c>
      <c r="G31" s="78">
        <v>4</v>
      </c>
      <c r="H31" s="78">
        <v>4</v>
      </c>
      <c r="I31" s="78">
        <v>12</v>
      </c>
      <c r="J31" s="78">
        <v>4</v>
      </c>
      <c r="K31" s="78">
        <v>4</v>
      </c>
      <c r="L31" s="78">
        <v>4</v>
      </c>
      <c r="M31" s="78"/>
      <c r="N31" s="78">
        <v>4</v>
      </c>
      <c r="O31" s="78">
        <v>4</v>
      </c>
      <c r="P31" s="78"/>
      <c r="Q31" s="78"/>
      <c r="R31" s="78">
        <v>4</v>
      </c>
      <c r="S31" s="78">
        <v>4</v>
      </c>
      <c r="T31" s="78">
        <v>4</v>
      </c>
      <c r="U31" s="78">
        <v>4</v>
      </c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>
        <v>56</v>
      </c>
      <c r="AM31" s="78">
        <v>12</v>
      </c>
      <c r="AN31">
        <f t="shared" si="0"/>
        <v>240</v>
      </c>
    </row>
    <row r="32" spans="1:40">
      <c r="A32" s="78">
        <v>26</v>
      </c>
      <c r="B32" s="78">
        <v>22223</v>
      </c>
      <c r="C32" s="78" t="s">
        <v>112</v>
      </c>
      <c r="D32" s="78" t="s">
        <v>166</v>
      </c>
      <c r="E32" s="78" t="s">
        <v>25</v>
      </c>
      <c r="F32" s="78" t="s">
        <v>161</v>
      </c>
      <c r="G32" s="78">
        <v>4</v>
      </c>
      <c r="H32" s="78">
        <v>4</v>
      </c>
      <c r="I32" s="78">
        <v>12</v>
      </c>
      <c r="J32" s="78">
        <v>4</v>
      </c>
      <c r="K32" s="78">
        <v>4</v>
      </c>
      <c r="L32" s="78">
        <v>4</v>
      </c>
      <c r="M32" s="78"/>
      <c r="N32" s="78">
        <v>4</v>
      </c>
      <c r="O32" s="78"/>
      <c r="P32" s="78"/>
      <c r="Q32" s="78">
        <v>4</v>
      </c>
      <c r="R32" s="78">
        <v>4</v>
      </c>
      <c r="S32" s="78">
        <v>4</v>
      </c>
      <c r="T32" s="78">
        <v>4</v>
      </c>
      <c r="U32" s="78">
        <v>4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>
        <v>56</v>
      </c>
      <c r="AM32" s="78">
        <v>12</v>
      </c>
      <c r="AN32">
        <f t="shared" si="0"/>
        <v>240</v>
      </c>
    </row>
    <row r="33" spans="1:40">
      <c r="A33" s="78">
        <v>27</v>
      </c>
      <c r="B33" s="78">
        <v>22225</v>
      </c>
      <c r="C33" s="78" t="s">
        <v>113</v>
      </c>
      <c r="D33" s="78" t="s">
        <v>166</v>
      </c>
      <c r="E33" s="78" t="s">
        <v>25</v>
      </c>
      <c r="F33" s="78" t="s">
        <v>161</v>
      </c>
      <c r="G33" s="78">
        <v>4</v>
      </c>
      <c r="H33" s="78">
        <v>4</v>
      </c>
      <c r="I33" s="78"/>
      <c r="J33" s="78">
        <v>4</v>
      </c>
      <c r="K33" s="78"/>
      <c r="L33" s="78">
        <v>4</v>
      </c>
      <c r="M33" s="78"/>
      <c r="N33" s="78">
        <v>4</v>
      </c>
      <c r="O33" s="78">
        <v>4</v>
      </c>
      <c r="P33" s="78">
        <v>12</v>
      </c>
      <c r="Q33" s="78">
        <v>4</v>
      </c>
      <c r="R33" s="78"/>
      <c r="S33" s="78">
        <v>4</v>
      </c>
      <c r="T33" s="78">
        <v>4</v>
      </c>
      <c r="U33" s="78">
        <v>4</v>
      </c>
      <c r="V33" s="78">
        <v>4</v>
      </c>
      <c r="W33" s="78">
        <v>12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>
        <v>68</v>
      </c>
      <c r="AM33" s="78">
        <v>13</v>
      </c>
      <c r="AN33">
        <f t="shared" si="0"/>
        <v>260</v>
      </c>
    </row>
    <row r="34" spans="1:40">
      <c r="A34" s="78">
        <v>28</v>
      </c>
      <c r="B34" s="78">
        <v>22229</v>
      </c>
      <c r="C34" s="78" t="s">
        <v>114</v>
      </c>
      <c r="D34" s="78" t="s">
        <v>166</v>
      </c>
      <c r="E34" s="78" t="s">
        <v>25</v>
      </c>
      <c r="F34" s="78" t="s">
        <v>161</v>
      </c>
      <c r="G34" s="78">
        <v>4</v>
      </c>
      <c r="H34" s="78">
        <v>4</v>
      </c>
      <c r="I34" s="78"/>
      <c r="J34" s="78">
        <v>4</v>
      </c>
      <c r="K34" s="78">
        <v>4</v>
      </c>
      <c r="L34" s="78">
        <v>4</v>
      </c>
      <c r="M34" s="78"/>
      <c r="N34" s="78">
        <v>4</v>
      </c>
      <c r="O34" s="78">
        <v>4</v>
      </c>
      <c r="P34" s="78">
        <v>12</v>
      </c>
      <c r="Q34" s="78">
        <v>4</v>
      </c>
      <c r="R34" s="78">
        <v>4</v>
      </c>
      <c r="S34" s="78">
        <v>4</v>
      </c>
      <c r="T34" s="78">
        <v>4</v>
      </c>
      <c r="U34" s="78">
        <v>4</v>
      </c>
      <c r="V34" s="78">
        <v>4</v>
      </c>
      <c r="W34" s="78">
        <v>12</v>
      </c>
      <c r="X34" s="78">
        <v>4</v>
      </c>
      <c r="Y34" s="78">
        <v>4</v>
      </c>
      <c r="Z34" s="78"/>
      <c r="AA34" s="78"/>
      <c r="AB34" s="78"/>
      <c r="AC34" s="78">
        <v>4</v>
      </c>
      <c r="AD34" s="78">
        <v>12</v>
      </c>
      <c r="AE34" s="78">
        <v>4</v>
      </c>
      <c r="AF34" s="78">
        <v>4</v>
      </c>
      <c r="AG34" s="78">
        <v>4</v>
      </c>
      <c r="AH34" s="78">
        <v>4</v>
      </c>
      <c r="AI34" s="78">
        <v>4</v>
      </c>
      <c r="AJ34" s="78">
        <v>4</v>
      </c>
      <c r="AK34" s="78">
        <v>12</v>
      </c>
      <c r="AL34" s="78">
        <v>136</v>
      </c>
      <c r="AM34" s="78">
        <v>26</v>
      </c>
      <c r="AN34">
        <f t="shared" si="0"/>
        <v>520</v>
      </c>
    </row>
    <row r="35" spans="1:40">
      <c r="A35" s="78">
        <v>29</v>
      </c>
      <c r="B35" s="78">
        <v>22231</v>
      </c>
      <c r="C35" s="78" t="s">
        <v>91</v>
      </c>
      <c r="D35" s="78" t="s">
        <v>166</v>
      </c>
      <c r="E35" s="78" t="s">
        <v>25</v>
      </c>
      <c r="F35" s="78" t="s">
        <v>161</v>
      </c>
      <c r="G35" s="78">
        <v>4</v>
      </c>
      <c r="H35" s="78">
        <v>4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>
        <v>8</v>
      </c>
      <c r="AM35" s="78">
        <v>2</v>
      </c>
      <c r="AN35">
        <f t="shared" si="0"/>
        <v>40</v>
      </c>
    </row>
    <row r="36" spans="1:40">
      <c r="A36" s="78">
        <v>30</v>
      </c>
      <c r="B36" s="78">
        <v>22232</v>
      </c>
      <c r="C36" s="78" t="s">
        <v>115</v>
      </c>
      <c r="D36" s="78" t="s">
        <v>166</v>
      </c>
      <c r="E36" s="78" t="s">
        <v>25</v>
      </c>
      <c r="F36" s="78" t="s">
        <v>161</v>
      </c>
      <c r="G36" s="78">
        <v>4</v>
      </c>
      <c r="H36" s="78">
        <v>4</v>
      </c>
      <c r="I36" s="78">
        <v>12</v>
      </c>
      <c r="J36" s="78">
        <v>4</v>
      </c>
      <c r="K36" s="78">
        <v>4</v>
      </c>
      <c r="L36" s="78">
        <v>4</v>
      </c>
      <c r="M36" s="78"/>
      <c r="N36" s="78">
        <v>4</v>
      </c>
      <c r="O36" s="78">
        <v>4</v>
      </c>
      <c r="P36" s="78"/>
      <c r="Q36" s="78">
        <v>4</v>
      </c>
      <c r="R36" s="78">
        <v>4</v>
      </c>
      <c r="S36" s="78">
        <v>4</v>
      </c>
      <c r="T36" s="78">
        <v>4</v>
      </c>
      <c r="U36" s="78">
        <v>4</v>
      </c>
      <c r="V36" s="78">
        <v>4</v>
      </c>
      <c r="W36" s="78">
        <v>12</v>
      </c>
      <c r="X36" s="78">
        <v>4</v>
      </c>
      <c r="Y36" s="78">
        <v>4</v>
      </c>
      <c r="Z36" s="78">
        <v>4</v>
      </c>
      <c r="AA36" s="78"/>
      <c r="AB36" s="78"/>
      <c r="AC36" s="78">
        <v>4</v>
      </c>
      <c r="AD36" s="78">
        <v>12</v>
      </c>
      <c r="AE36" s="78">
        <v>4</v>
      </c>
      <c r="AF36" s="78">
        <v>4</v>
      </c>
      <c r="AG36" s="78">
        <v>4</v>
      </c>
      <c r="AH36" s="78">
        <v>4</v>
      </c>
      <c r="AI36" s="78">
        <v>4</v>
      </c>
      <c r="AJ36" s="78">
        <v>4</v>
      </c>
      <c r="AK36" s="78">
        <v>12</v>
      </c>
      <c r="AL36" s="78">
        <v>140</v>
      </c>
      <c r="AM36" s="78">
        <v>27</v>
      </c>
      <c r="AN36">
        <f t="shared" si="0"/>
        <v>540</v>
      </c>
    </row>
    <row r="37" spans="1:40">
      <c r="A37" s="78">
        <v>31</v>
      </c>
      <c r="B37" s="78">
        <v>22234</v>
      </c>
      <c r="C37" s="78" t="s">
        <v>116</v>
      </c>
      <c r="D37" s="78" t="s">
        <v>166</v>
      </c>
      <c r="E37" s="78" t="s">
        <v>25</v>
      </c>
      <c r="F37" s="78" t="s">
        <v>161</v>
      </c>
      <c r="G37" s="78">
        <v>4</v>
      </c>
      <c r="H37" s="78">
        <v>4</v>
      </c>
      <c r="I37" s="78">
        <v>12</v>
      </c>
      <c r="J37" s="78">
        <v>4</v>
      </c>
      <c r="K37" s="78">
        <v>4</v>
      </c>
      <c r="L37" s="78">
        <v>4</v>
      </c>
      <c r="M37" s="78"/>
      <c r="N37" s="78">
        <v>4</v>
      </c>
      <c r="O37" s="78">
        <v>4</v>
      </c>
      <c r="P37" s="78"/>
      <c r="Q37" s="78">
        <v>4</v>
      </c>
      <c r="R37" s="78">
        <v>4</v>
      </c>
      <c r="S37" s="78">
        <v>4</v>
      </c>
      <c r="T37" s="78">
        <v>4</v>
      </c>
      <c r="U37" s="78">
        <v>4</v>
      </c>
      <c r="V37" s="78">
        <v>4</v>
      </c>
      <c r="W37" s="78">
        <v>12</v>
      </c>
      <c r="X37" s="78">
        <v>4</v>
      </c>
      <c r="Y37" s="78">
        <v>4</v>
      </c>
      <c r="Z37" s="78">
        <v>4</v>
      </c>
      <c r="AA37" s="78"/>
      <c r="AB37" s="78"/>
      <c r="AC37" s="78">
        <v>4</v>
      </c>
      <c r="AD37" s="78">
        <v>12</v>
      </c>
      <c r="AE37" s="78">
        <v>4</v>
      </c>
      <c r="AF37" s="78">
        <v>4</v>
      </c>
      <c r="AG37" s="78">
        <v>4</v>
      </c>
      <c r="AH37" s="78">
        <v>4</v>
      </c>
      <c r="AI37" s="78">
        <v>4</v>
      </c>
      <c r="AJ37" s="78">
        <v>4</v>
      </c>
      <c r="AK37" s="78">
        <v>12</v>
      </c>
      <c r="AL37" s="78">
        <v>140</v>
      </c>
      <c r="AM37" s="78">
        <v>27</v>
      </c>
      <c r="AN37">
        <f t="shared" si="0"/>
        <v>540</v>
      </c>
    </row>
    <row r="38" spans="1:40">
      <c r="A38" s="78">
        <v>32</v>
      </c>
      <c r="B38" s="78">
        <v>22240</v>
      </c>
      <c r="C38" s="78" t="s">
        <v>117</v>
      </c>
      <c r="D38" s="78" t="s">
        <v>166</v>
      </c>
      <c r="E38" s="78" t="s">
        <v>118</v>
      </c>
      <c r="F38" s="78" t="s">
        <v>161</v>
      </c>
      <c r="G38" s="78">
        <v>2</v>
      </c>
      <c r="H38" s="78">
        <v>2</v>
      </c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>
        <v>4</v>
      </c>
      <c r="AM38" s="78">
        <v>0</v>
      </c>
      <c r="AN38">
        <f t="shared" si="0"/>
        <v>0</v>
      </c>
    </row>
    <row r="39" spans="1:40">
      <c r="A39" s="78">
        <v>33</v>
      </c>
      <c r="B39" s="78">
        <v>22241</v>
      </c>
      <c r="C39" s="78" t="s">
        <v>119</v>
      </c>
      <c r="D39" s="78" t="s">
        <v>166</v>
      </c>
      <c r="E39" s="78" t="s">
        <v>67</v>
      </c>
      <c r="F39" s="78" t="s">
        <v>161</v>
      </c>
      <c r="G39" s="78"/>
      <c r="H39" s="78"/>
      <c r="I39" s="78">
        <v>8</v>
      </c>
      <c r="J39" s="78"/>
      <c r="K39" s="78"/>
      <c r="L39" s="78"/>
      <c r="M39" s="78"/>
      <c r="N39" s="78"/>
      <c r="O39" s="78"/>
      <c r="P39" s="78">
        <v>8</v>
      </c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>
        <v>17</v>
      </c>
      <c r="AM39" s="78">
        <v>2</v>
      </c>
    </row>
    <row r="40" spans="1:40">
      <c r="A40" s="78">
        <v>34</v>
      </c>
      <c r="B40" s="78">
        <v>22242</v>
      </c>
      <c r="C40" s="78" t="s">
        <v>66</v>
      </c>
      <c r="D40" s="78" t="s">
        <v>166</v>
      </c>
      <c r="E40" s="78" t="s">
        <v>67</v>
      </c>
      <c r="F40" s="78" t="s">
        <v>161</v>
      </c>
      <c r="G40" s="78">
        <v>1</v>
      </c>
      <c r="H40" s="78">
        <v>1</v>
      </c>
      <c r="I40" s="78"/>
      <c r="J40" s="78">
        <v>1</v>
      </c>
      <c r="K40" s="78">
        <v>1</v>
      </c>
      <c r="L40" s="78">
        <v>1</v>
      </c>
      <c r="M40" s="78"/>
      <c r="N40" s="78">
        <v>1</v>
      </c>
      <c r="O40" s="78">
        <v>1</v>
      </c>
      <c r="P40" s="78">
        <v>8</v>
      </c>
      <c r="Q40" s="78">
        <v>1</v>
      </c>
      <c r="R40" s="78">
        <v>1</v>
      </c>
      <c r="S40" s="78"/>
      <c r="T40" s="78">
        <v>1</v>
      </c>
      <c r="U40" s="78">
        <v>1</v>
      </c>
      <c r="V40" s="78"/>
      <c r="W40" s="78"/>
      <c r="X40" s="78">
        <v>1</v>
      </c>
      <c r="Y40" s="78">
        <v>1</v>
      </c>
      <c r="Z40" s="78">
        <v>1</v>
      </c>
      <c r="AA40" s="78"/>
      <c r="AB40" s="78"/>
      <c r="AC40" s="78"/>
      <c r="AD40" s="78"/>
      <c r="AE40" s="78">
        <v>1</v>
      </c>
      <c r="AF40" s="78">
        <v>1</v>
      </c>
      <c r="AG40" s="78">
        <v>2</v>
      </c>
      <c r="AH40" s="78">
        <v>2</v>
      </c>
      <c r="AI40" s="78">
        <v>2</v>
      </c>
      <c r="AJ40" s="78">
        <v>2</v>
      </c>
      <c r="AK40" s="78">
        <v>8</v>
      </c>
      <c r="AL40" s="78">
        <v>40</v>
      </c>
      <c r="AM40" s="78">
        <v>2</v>
      </c>
    </row>
    <row r="41" spans="1:40">
      <c r="A41" s="78">
        <v>35</v>
      </c>
      <c r="B41" s="78">
        <v>22248</v>
      </c>
      <c r="C41" s="78" t="s">
        <v>120</v>
      </c>
      <c r="D41" s="78" t="s">
        <v>166</v>
      </c>
      <c r="E41" s="78" t="s">
        <v>67</v>
      </c>
      <c r="F41" s="78" t="s">
        <v>161</v>
      </c>
      <c r="G41" s="78">
        <v>1</v>
      </c>
      <c r="H41" s="78">
        <v>1</v>
      </c>
      <c r="I41" s="78">
        <v>8</v>
      </c>
      <c r="J41" s="78">
        <v>1</v>
      </c>
      <c r="K41" s="78">
        <v>1</v>
      </c>
      <c r="L41" s="78"/>
      <c r="M41" s="78"/>
      <c r="N41" s="78">
        <v>1</v>
      </c>
      <c r="O41" s="78">
        <v>1</v>
      </c>
      <c r="P41" s="78">
        <v>8</v>
      </c>
      <c r="Q41" s="78">
        <v>1</v>
      </c>
      <c r="R41" s="78">
        <v>1</v>
      </c>
      <c r="S41" s="78">
        <v>1</v>
      </c>
      <c r="T41" s="78">
        <v>1</v>
      </c>
      <c r="U41" s="78">
        <v>1</v>
      </c>
      <c r="V41" s="78">
        <v>1</v>
      </c>
      <c r="W41" s="78">
        <v>8</v>
      </c>
      <c r="X41" s="78">
        <v>1</v>
      </c>
      <c r="Y41" s="78">
        <v>1</v>
      </c>
      <c r="Z41" s="78">
        <v>1</v>
      </c>
      <c r="AA41" s="78"/>
      <c r="AB41" s="78"/>
      <c r="AC41" s="78"/>
      <c r="AD41" s="78"/>
      <c r="AE41" s="78">
        <v>1</v>
      </c>
      <c r="AF41" s="78">
        <v>1</v>
      </c>
      <c r="AG41" s="78">
        <v>1</v>
      </c>
      <c r="AH41" s="78">
        <v>1</v>
      </c>
      <c r="AI41" s="78">
        <v>1</v>
      </c>
      <c r="AJ41" s="78">
        <v>1</v>
      </c>
      <c r="AK41" s="78">
        <v>8</v>
      </c>
      <c r="AL41" s="78">
        <v>55</v>
      </c>
      <c r="AM41" s="78">
        <v>4</v>
      </c>
    </row>
    <row r="42" spans="1:40">
      <c r="A42" s="78">
        <v>36</v>
      </c>
      <c r="B42" s="78">
        <v>22249</v>
      </c>
      <c r="C42" s="78" t="s">
        <v>121</v>
      </c>
      <c r="D42" s="78" t="s">
        <v>166</v>
      </c>
      <c r="E42" s="78" t="s">
        <v>25</v>
      </c>
      <c r="F42" s="78" t="s">
        <v>161</v>
      </c>
      <c r="G42" s="78">
        <v>4</v>
      </c>
      <c r="H42" s="78"/>
      <c r="I42" s="78">
        <v>12</v>
      </c>
      <c r="J42" s="78">
        <v>4</v>
      </c>
      <c r="K42" s="78">
        <v>4</v>
      </c>
      <c r="L42" s="78"/>
      <c r="M42" s="78"/>
      <c r="N42" s="78">
        <v>4</v>
      </c>
      <c r="O42" s="78">
        <v>4</v>
      </c>
      <c r="P42" s="78"/>
      <c r="Q42" s="78">
        <v>4</v>
      </c>
      <c r="R42" s="78">
        <v>4</v>
      </c>
      <c r="S42" s="78">
        <v>4</v>
      </c>
      <c r="T42" s="78">
        <v>4</v>
      </c>
      <c r="U42" s="78">
        <v>4</v>
      </c>
      <c r="V42" s="78">
        <v>4</v>
      </c>
      <c r="W42" s="78"/>
      <c r="X42" s="78">
        <v>4</v>
      </c>
      <c r="Y42" s="78">
        <v>4</v>
      </c>
      <c r="Z42" s="78">
        <v>4</v>
      </c>
      <c r="AA42" s="78"/>
      <c r="AB42" s="78"/>
      <c r="AC42" s="78">
        <v>4</v>
      </c>
      <c r="AD42" s="78">
        <v>12</v>
      </c>
      <c r="AE42" s="78">
        <v>4</v>
      </c>
      <c r="AF42" s="78"/>
      <c r="AG42" s="78">
        <v>4</v>
      </c>
      <c r="AH42" s="78"/>
      <c r="AI42" s="78">
        <v>4</v>
      </c>
      <c r="AJ42" s="78">
        <v>4</v>
      </c>
      <c r="AK42" s="78"/>
      <c r="AL42" s="78">
        <v>100</v>
      </c>
      <c r="AM42" s="78">
        <v>21</v>
      </c>
      <c r="AN42">
        <f t="shared" si="0"/>
        <v>420</v>
      </c>
    </row>
    <row r="43" spans="1:40">
      <c r="A43" s="78">
        <v>37</v>
      </c>
      <c r="B43" s="78">
        <v>22250</v>
      </c>
      <c r="C43" s="78" t="s">
        <v>122</v>
      </c>
      <c r="D43" s="78" t="s">
        <v>166</v>
      </c>
      <c r="E43" s="78" t="s">
        <v>25</v>
      </c>
      <c r="F43" s="78" t="s">
        <v>161</v>
      </c>
      <c r="G43" s="78">
        <v>4</v>
      </c>
      <c r="H43" s="78">
        <v>4</v>
      </c>
      <c r="I43" s="78">
        <v>11</v>
      </c>
      <c r="J43" s="78"/>
      <c r="K43" s="78">
        <v>4</v>
      </c>
      <c r="L43" s="78">
        <v>4</v>
      </c>
      <c r="M43" s="78"/>
      <c r="N43" s="78"/>
      <c r="O43" s="78"/>
      <c r="P43" s="78"/>
      <c r="Q43" s="78">
        <v>4</v>
      </c>
      <c r="R43" s="78">
        <v>4</v>
      </c>
      <c r="S43" s="78">
        <v>4</v>
      </c>
      <c r="T43" s="78">
        <v>4</v>
      </c>
      <c r="U43" s="78">
        <v>4</v>
      </c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>
        <v>47</v>
      </c>
      <c r="AM43" s="78">
        <v>10</v>
      </c>
      <c r="AN43">
        <f t="shared" si="0"/>
        <v>200</v>
      </c>
    </row>
    <row r="44" spans="1:40">
      <c r="A44" s="78">
        <v>38</v>
      </c>
      <c r="B44" s="78">
        <v>22251</v>
      </c>
      <c r="C44" s="78" t="s">
        <v>123</v>
      </c>
      <c r="D44" s="78" t="s">
        <v>166</v>
      </c>
      <c r="E44" s="78" t="s">
        <v>25</v>
      </c>
      <c r="F44" s="78" t="s">
        <v>161</v>
      </c>
      <c r="G44" s="78"/>
      <c r="H44" s="78">
        <v>4</v>
      </c>
      <c r="I44" s="78"/>
      <c r="J44" s="78">
        <v>4</v>
      </c>
      <c r="K44" s="78">
        <v>4</v>
      </c>
      <c r="L44" s="78">
        <v>4</v>
      </c>
      <c r="M44" s="78"/>
      <c r="N44" s="78"/>
      <c r="O44" s="78">
        <v>4</v>
      </c>
      <c r="P44" s="78">
        <v>12</v>
      </c>
      <c r="Q44" s="78">
        <v>4</v>
      </c>
      <c r="R44" s="78">
        <v>4</v>
      </c>
      <c r="S44" s="78">
        <v>4</v>
      </c>
      <c r="T44" s="78">
        <v>4</v>
      </c>
      <c r="U44" s="78">
        <v>4</v>
      </c>
      <c r="V44" s="78">
        <v>4</v>
      </c>
      <c r="W44" s="78"/>
      <c r="X44" s="78">
        <v>4</v>
      </c>
      <c r="Y44" s="78">
        <v>4</v>
      </c>
      <c r="Z44" s="78"/>
      <c r="AA44" s="78"/>
      <c r="AB44" s="78"/>
      <c r="AC44" s="78">
        <v>4</v>
      </c>
      <c r="AD44" s="78">
        <v>12</v>
      </c>
      <c r="AE44" s="78">
        <v>4</v>
      </c>
      <c r="AF44" s="78"/>
      <c r="AG44" s="78">
        <v>4</v>
      </c>
      <c r="AH44" s="78">
        <v>4</v>
      </c>
      <c r="AI44" s="78">
        <v>4</v>
      </c>
      <c r="AJ44" s="78">
        <v>4</v>
      </c>
      <c r="AK44" s="78">
        <v>12</v>
      </c>
      <c r="AL44" s="78">
        <v>112</v>
      </c>
      <c r="AM44" s="78">
        <v>22</v>
      </c>
      <c r="AN44">
        <f t="shared" si="0"/>
        <v>440</v>
      </c>
    </row>
    <row r="45" spans="1:40">
      <c r="A45" s="78">
        <v>39</v>
      </c>
      <c r="B45" s="78">
        <v>22253</v>
      </c>
      <c r="C45" s="78" t="s">
        <v>124</v>
      </c>
      <c r="D45" s="78" t="s">
        <v>166</v>
      </c>
      <c r="E45" s="78" t="s">
        <v>25</v>
      </c>
      <c r="F45" s="78" t="s">
        <v>161</v>
      </c>
      <c r="G45" s="78">
        <v>4</v>
      </c>
      <c r="H45" s="78">
        <v>4</v>
      </c>
      <c r="I45" s="78"/>
      <c r="J45" s="78">
        <v>4</v>
      </c>
      <c r="K45" s="78">
        <v>4</v>
      </c>
      <c r="L45" s="78">
        <v>4</v>
      </c>
      <c r="M45" s="78"/>
      <c r="N45" s="78"/>
      <c r="O45" s="78"/>
      <c r="P45" s="78"/>
      <c r="Q45" s="78">
        <v>4</v>
      </c>
      <c r="R45" s="78">
        <v>4</v>
      </c>
      <c r="S45" s="78">
        <v>4</v>
      </c>
      <c r="T45" s="78">
        <v>4</v>
      </c>
      <c r="U45" s="78">
        <v>4</v>
      </c>
      <c r="V45" s="78">
        <v>4</v>
      </c>
      <c r="W45" s="78"/>
      <c r="X45" s="78">
        <v>4</v>
      </c>
      <c r="Y45" s="78">
        <v>4</v>
      </c>
      <c r="Z45" s="78">
        <v>4</v>
      </c>
      <c r="AA45" s="78"/>
      <c r="AB45" s="78"/>
      <c r="AC45" s="78">
        <v>4</v>
      </c>
      <c r="AD45" s="78"/>
      <c r="AE45" s="78">
        <v>4</v>
      </c>
      <c r="AF45" s="78"/>
      <c r="AG45" s="78">
        <v>4</v>
      </c>
      <c r="AH45" s="78"/>
      <c r="AI45" s="78"/>
      <c r="AJ45" s="78"/>
      <c r="AK45" s="78"/>
      <c r="AL45" s="78">
        <v>68</v>
      </c>
      <c r="AM45" s="78">
        <v>17</v>
      </c>
      <c r="AN45">
        <f t="shared" si="0"/>
        <v>340</v>
      </c>
    </row>
    <row r="46" spans="1:40">
      <c r="A46" s="78">
        <v>40</v>
      </c>
      <c r="B46" s="78">
        <v>22254</v>
      </c>
      <c r="C46" s="78" t="s">
        <v>125</v>
      </c>
      <c r="D46" s="78" t="s">
        <v>166</v>
      </c>
      <c r="E46" s="78" t="s">
        <v>25</v>
      </c>
      <c r="F46" s="78" t="s">
        <v>161</v>
      </c>
      <c r="G46" s="78">
        <v>4</v>
      </c>
      <c r="H46" s="78">
        <v>4</v>
      </c>
      <c r="I46" s="78">
        <v>12</v>
      </c>
      <c r="J46" s="78">
        <v>4</v>
      </c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>
        <v>24</v>
      </c>
      <c r="AM46" s="78">
        <v>4</v>
      </c>
      <c r="AN46">
        <f t="shared" si="0"/>
        <v>80</v>
      </c>
    </row>
    <row r="47" spans="1:40">
      <c r="A47" s="78">
        <v>41</v>
      </c>
      <c r="B47" s="78">
        <v>22255</v>
      </c>
      <c r="C47" s="78" t="s">
        <v>126</v>
      </c>
      <c r="D47" s="78" t="s">
        <v>166</v>
      </c>
      <c r="E47" s="78" t="s">
        <v>25</v>
      </c>
      <c r="F47" s="78" t="s">
        <v>161</v>
      </c>
      <c r="G47" s="78"/>
      <c r="H47" s="78"/>
      <c r="I47" s="78"/>
      <c r="J47" s="78">
        <v>4</v>
      </c>
      <c r="K47" s="78">
        <v>4</v>
      </c>
      <c r="L47" s="78">
        <v>4</v>
      </c>
      <c r="M47" s="78"/>
      <c r="N47" s="78">
        <v>4</v>
      </c>
      <c r="O47" s="78">
        <v>4</v>
      </c>
      <c r="P47" s="78"/>
      <c r="Q47" s="78">
        <v>4</v>
      </c>
      <c r="R47" s="78">
        <v>4</v>
      </c>
      <c r="S47" s="78">
        <v>4</v>
      </c>
      <c r="T47" s="78">
        <v>4</v>
      </c>
      <c r="U47" s="78">
        <v>4</v>
      </c>
      <c r="V47" s="78">
        <v>4</v>
      </c>
      <c r="W47" s="78"/>
      <c r="X47" s="78">
        <v>4</v>
      </c>
      <c r="Y47" s="78">
        <v>4</v>
      </c>
      <c r="Z47" s="78"/>
      <c r="AA47" s="78"/>
      <c r="AB47" s="78"/>
      <c r="AC47" s="78">
        <v>4</v>
      </c>
      <c r="AD47" s="78"/>
      <c r="AE47" s="78">
        <v>4</v>
      </c>
      <c r="AF47" s="78">
        <v>4</v>
      </c>
      <c r="AG47" s="78">
        <v>4</v>
      </c>
      <c r="AH47" s="78">
        <v>4</v>
      </c>
      <c r="AI47" s="78">
        <v>4</v>
      </c>
      <c r="AJ47" s="78">
        <v>4</v>
      </c>
      <c r="AK47" s="78"/>
      <c r="AL47" s="78">
        <v>80</v>
      </c>
      <c r="AM47" s="78">
        <v>20</v>
      </c>
      <c r="AN47">
        <f t="shared" si="0"/>
        <v>400</v>
      </c>
    </row>
    <row r="48" spans="1:40">
      <c r="A48" s="78">
        <v>42</v>
      </c>
      <c r="B48" s="78">
        <v>22256</v>
      </c>
      <c r="C48" s="78" t="s">
        <v>127</v>
      </c>
      <c r="D48" s="78" t="s">
        <v>166</v>
      </c>
      <c r="E48" s="78" t="s">
        <v>67</v>
      </c>
      <c r="F48" s="78" t="s">
        <v>161</v>
      </c>
      <c r="G48" s="78"/>
      <c r="H48" s="78"/>
      <c r="I48" s="78"/>
      <c r="J48" s="78"/>
      <c r="K48" s="78"/>
      <c r="L48" s="78"/>
      <c r="M48" s="78"/>
      <c r="N48" s="78">
        <v>1</v>
      </c>
      <c r="O48" s="78">
        <v>1</v>
      </c>
      <c r="P48" s="78"/>
      <c r="Q48" s="78"/>
      <c r="R48" s="78">
        <v>1</v>
      </c>
      <c r="S48" s="78">
        <v>1</v>
      </c>
      <c r="T48" s="78">
        <v>1</v>
      </c>
      <c r="U48" s="78">
        <v>1</v>
      </c>
      <c r="V48" s="78">
        <v>1</v>
      </c>
      <c r="W48" s="78"/>
      <c r="X48" s="78"/>
      <c r="Y48" s="78"/>
      <c r="Z48" s="78"/>
      <c r="AA48" s="78"/>
      <c r="AB48" s="78"/>
      <c r="AC48" s="78">
        <v>1</v>
      </c>
      <c r="AD48" s="78"/>
      <c r="AE48" s="78">
        <v>1</v>
      </c>
      <c r="AF48" s="78">
        <v>1</v>
      </c>
      <c r="AG48" s="78">
        <v>1</v>
      </c>
      <c r="AH48" s="78">
        <v>1</v>
      </c>
      <c r="AI48" s="78"/>
      <c r="AJ48" s="78"/>
      <c r="AK48" s="78"/>
      <c r="AL48" s="78">
        <v>12</v>
      </c>
      <c r="AM48" s="78">
        <v>0</v>
      </c>
      <c r="AN48">
        <f t="shared" si="0"/>
        <v>0</v>
      </c>
    </row>
    <row r="49" spans="1:40">
      <c r="A49" s="78">
        <v>43</v>
      </c>
      <c r="B49" s="78">
        <v>22257</v>
      </c>
      <c r="C49" s="78" t="s">
        <v>128</v>
      </c>
      <c r="D49" s="78" t="s">
        <v>166</v>
      </c>
      <c r="E49" s="78" t="s">
        <v>118</v>
      </c>
      <c r="F49" s="78" t="s">
        <v>161</v>
      </c>
      <c r="G49" s="78"/>
      <c r="H49" s="78"/>
      <c r="I49" s="78"/>
      <c r="J49" s="78"/>
      <c r="K49" s="78"/>
      <c r="L49" s="78"/>
      <c r="M49" s="78"/>
      <c r="N49" s="78">
        <v>4</v>
      </c>
      <c r="O49" s="78">
        <v>4</v>
      </c>
      <c r="P49" s="78"/>
      <c r="Q49" s="78">
        <v>4</v>
      </c>
      <c r="R49" s="78">
        <v>4</v>
      </c>
      <c r="S49" s="78">
        <v>4</v>
      </c>
      <c r="T49" s="78">
        <v>4</v>
      </c>
      <c r="U49" s="78">
        <v>4</v>
      </c>
      <c r="V49" s="78">
        <v>4</v>
      </c>
      <c r="W49" s="78"/>
      <c r="X49" s="78">
        <v>4</v>
      </c>
      <c r="Y49" s="78">
        <v>4</v>
      </c>
      <c r="Z49" s="78">
        <v>4</v>
      </c>
      <c r="AA49" s="78"/>
      <c r="AB49" s="78"/>
      <c r="AC49" s="78">
        <v>4</v>
      </c>
      <c r="AD49" s="78">
        <v>12</v>
      </c>
      <c r="AE49" s="78">
        <v>4</v>
      </c>
      <c r="AF49" s="78">
        <v>4</v>
      </c>
      <c r="AG49" s="78">
        <v>4</v>
      </c>
      <c r="AH49" s="78">
        <v>4</v>
      </c>
      <c r="AI49" s="78">
        <v>4</v>
      </c>
      <c r="AJ49" s="78">
        <v>4</v>
      </c>
      <c r="AK49" s="78">
        <v>12</v>
      </c>
      <c r="AL49" s="78">
        <v>96</v>
      </c>
      <c r="AM49" s="78">
        <v>20</v>
      </c>
      <c r="AN49">
        <f t="shared" si="0"/>
        <v>400</v>
      </c>
    </row>
    <row r="50" spans="1:40">
      <c r="A50" s="78">
        <v>44</v>
      </c>
      <c r="B50" s="78">
        <v>22258</v>
      </c>
      <c r="C50" s="78" t="s">
        <v>129</v>
      </c>
      <c r="D50" s="78" t="s">
        <v>166</v>
      </c>
      <c r="E50" s="78" t="s">
        <v>97</v>
      </c>
      <c r="F50" s="78" t="s">
        <v>161</v>
      </c>
      <c r="G50" s="78"/>
      <c r="H50" s="78"/>
      <c r="I50" s="78"/>
      <c r="J50" s="78"/>
      <c r="K50" s="78"/>
      <c r="L50" s="78"/>
      <c r="M50" s="78"/>
      <c r="N50" s="78">
        <v>4</v>
      </c>
      <c r="O50" s="78"/>
      <c r="P50" s="78">
        <v>11</v>
      </c>
      <c r="Q50" s="78"/>
      <c r="R50" s="78">
        <v>4</v>
      </c>
      <c r="S50" s="78">
        <v>4</v>
      </c>
      <c r="T50" s="78">
        <v>4</v>
      </c>
      <c r="U50" s="78">
        <v>4</v>
      </c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>
        <v>31</v>
      </c>
      <c r="AM50" s="78">
        <v>6</v>
      </c>
      <c r="AN50">
        <f t="shared" si="0"/>
        <v>120</v>
      </c>
    </row>
    <row r="51" spans="1:40">
      <c r="A51" s="78">
        <v>45</v>
      </c>
      <c r="B51" s="78">
        <v>22259</v>
      </c>
      <c r="C51" s="78" t="s">
        <v>130</v>
      </c>
      <c r="D51" s="78" t="s">
        <v>166</v>
      </c>
      <c r="E51" s="78" t="s">
        <v>97</v>
      </c>
      <c r="F51" s="78" t="s">
        <v>161</v>
      </c>
      <c r="G51" s="78"/>
      <c r="H51" s="78"/>
      <c r="I51" s="78"/>
      <c r="J51" s="78"/>
      <c r="K51" s="78"/>
      <c r="L51" s="78"/>
      <c r="M51" s="78"/>
      <c r="N51" s="78"/>
      <c r="O51" s="78">
        <v>4</v>
      </c>
      <c r="P51" s="78">
        <v>11</v>
      </c>
      <c r="Q51" s="78">
        <v>4</v>
      </c>
      <c r="R51" s="78">
        <v>4</v>
      </c>
      <c r="S51" s="78">
        <v>4</v>
      </c>
      <c r="T51" s="78">
        <v>4</v>
      </c>
      <c r="U51" s="78">
        <v>4</v>
      </c>
      <c r="V51" s="78">
        <v>4</v>
      </c>
      <c r="W51" s="78">
        <v>12</v>
      </c>
      <c r="X51" s="78">
        <v>4</v>
      </c>
      <c r="Y51" s="78">
        <v>4</v>
      </c>
      <c r="Z51" s="78"/>
      <c r="AA51" s="78"/>
      <c r="AB51" s="78"/>
      <c r="AC51" s="78"/>
      <c r="AD51" s="78">
        <v>11</v>
      </c>
      <c r="AE51" s="78">
        <v>4</v>
      </c>
      <c r="AF51" s="78">
        <v>4</v>
      </c>
      <c r="AG51" s="78">
        <v>4</v>
      </c>
      <c r="AH51" s="78">
        <v>4</v>
      </c>
      <c r="AI51" s="78">
        <v>4</v>
      </c>
      <c r="AJ51" s="78">
        <v>4</v>
      </c>
      <c r="AK51" s="78"/>
      <c r="AL51" s="78">
        <v>94</v>
      </c>
      <c r="AM51" s="78">
        <v>18</v>
      </c>
      <c r="AN51">
        <f t="shared" si="0"/>
        <v>360</v>
      </c>
    </row>
    <row r="52" spans="1:40">
      <c r="A52" s="78">
        <v>46</v>
      </c>
      <c r="B52" s="78">
        <v>22260</v>
      </c>
      <c r="C52" s="78" t="s">
        <v>131</v>
      </c>
      <c r="D52" s="78" t="s">
        <v>166</v>
      </c>
      <c r="E52" s="78" t="s">
        <v>67</v>
      </c>
      <c r="F52" s="78" t="s">
        <v>161</v>
      </c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>
        <v>1</v>
      </c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>
        <v>1</v>
      </c>
      <c r="AM52" s="78">
        <v>0</v>
      </c>
      <c r="AN52">
        <f t="shared" si="0"/>
        <v>0</v>
      </c>
    </row>
    <row r="53" spans="1:40">
      <c r="A53" s="78">
        <v>47</v>
      </c>
      <c r="B53" s="78">
        <v>22262</v>
      </c>
      <c r="C53" s="78" t="s">
        <v>132</v>
      </c>
      <c r="D53" s="78" t="s">
        <v>166</v>
      </c>
      <c r="E53" s="78" t="s">
        <v>67</v>
      </c>
      <c r="F53" s="78" t="s">
        <v>161</v>
      </c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>
        <v>1</v>
      </c>
      <c r="AJ53" s="78">
        <v>1</v>
      </c>
      <c r="AK53" s="78"/>
      <c r="AL53" s="78">
        <v>2</v>
      </c>
      <c r="AM53" s="78">
        <v>0</v>
      </c>
      <c r="AN53">
        <f t="shared" si="0"/>
        <v>0</v>
      </c>
    </row>
    <row r="54" spans="1:40">
      <c r="A54" s="78">
        <v>48</v>
      </c>
      <c r="B54" s="78">
        <v>22263</v>
      </c>
      <c r="C54" s="78" t="s">
        <v>133</v>
      </c>
      <c r="D54" s="78" t="s">
        <v>166</v>
      </c>
      <c r="E54" s="78" t="s">
        <v>67</v>
      </c>
      <c r="F54" s="78" t="s">
        <v>161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>
        <v>1</v>
      </c>
      <c r="AJ54" s="78">
        <v>1</v>
      </c>
      <c r="AK54" s="78"/>
      <c r="AL54" s="78">
        <v>2</v>
      </c>
      <c r="AM54" s="78">
        <v>0</v>
      </c>
      <c r="AN54">
        <f t="shared" si="0"/>
        <v>0</v>
      </c>
    </row>
    <row r="55" spans="1:40">
      <c r="A55" s="78">
        <v>49</v>
      </c>
      <c r="B55" s="78">
        <v>22264</v>
      </c>
      <c r="C55" s="78" t="s">
        <v>134</v>
      </c>
      <c r="D55" s="78" t="s">
        <v>166</v>
      </c>
      <c r="E55" s="78" t="s">
        <v>67</v>
      </c>
      <c r="F55" s="78" t="s">
        <v>161</v>
      </c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>
        <v>1</v>
      </c>
      <c r="AJ55" s="78">
        <v>1</v>
      </c>
      <c r="AK55" s="78"/>
      <c r="AL55" s="78">
        <v>2</v>
      </c>
      <c r="AM55" s="78">
        <v>0</v>
      </c>
      <c r="AN55">
        <f t="shared" si="0"/>
        <v>0</v>
      </c>
    </row>
    <row r="56" spans="1:40">
      <c r="A56" s="78">
        <v>50</v>
      </c>
      <c r="B56" s="78">
        <v>22265</v>
      </c>
      <c r="C56" s="78" t="s">
        <v>135</v>
      </c>
      <c r="D56" s="78" t="s">
        <v>166</v>
      </c>
      <c r="E56" s="78" t="s">
        <v>97</v>
      </c>
      <c r="F56" s="78" t="s">
        <v>161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>
        <v>4</v>
      </c>
      <c r="AG56" s="78">
        <v>4</v>
      </c>
      <c r="AH56" s="78">
        <v>4</v>
      </c>
      <c r="AI56" s="78"/>
      <c r="AJ56" s="78">
        <v>4</v>
      </c>
      <c r="AK56" s="78">
        <v>12</v>
      </c>
      <c r="AL56" s="78">
        <v>28</v>
      </c>
      <c r="AM56" s="78">
        <v>5</v>
      </c>
      <c r="AN56">
        <f t="shared" si="0"/>
        <v>100</v>
      </c>
    </row>
    <row r="57" spans="1:40">
      <c r="A57" s="78">
        <v>51</v>
      </c>
      <c r="B57" s="78">
        <v>22266</v>
      </c>
      <c r="C57" s="78" t="s">
        <v>136</v>
      </c>
      <c r="D57" s="78" t="s">
        <v>166</v>
      </c>
      <c r="E57" s="78" t="s">
        <v>70</v>
      </c>
      <c r="F57" s="78" t="s">
        <v>161</v>
      </c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>
        <v>1</v>
      </c>
      <c r="AJ57" s="78">
        <v>1</v>
      </c>
      <c r="AK57" s="78"/>
      <c r="AL57" s="78">
        <v>2</v>
      </c>
      <c r="AM57" s="78">
        <v>0</v>
      </c>
      <c r="AN57">
        <f t="shared" si="0"/>
        <v>0</v>
      </c>
    </row>
    <row r="58" spans="1:40">
      <c r="A58" s="78">
        <v>52</v>
      </c>
      <c r="B58" s="78">
        <v>22267</v>
      </c>
      <c r="C58" s="78" t="s">
        <v>137</v>
      </c>
      <c r="D58" s="78" t="s">
        <v>166</v>
      </c>
      <c r="E58" s="78" t="s">
        <v>67</v>
      </c>
      <c r="F58" s="78" t="s">
        <v>161</v>
      </c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>
        <v>1</v>
      </c>
      <c r="AG58" s="78"/>
      <c r="AH58" s="78">
        <v>1</v>
      </c>
      <c r="AI58" s="78"/>
      <c r="AJ58" s="78"/>
      <c r="AK58" s="78"/>
      <c r="AL58" s="78">
        <v>2</v>
      </c>
      <c r="AM58" s="78">
        <v>0</v>
      </c>
      <c r="AN58">
        <f t="shared" si="0"/>
        <v>0</v>
      </c>
    </row>
    <row r="59" spans="1:40">
      <c r="A59" s="78">
        <v>53</v>
      </c>
      <c r="B59" s="78">
        <v>22268</v>
      </c>
      <c r="C59" s="78" t="s">
        <v>138</v>
      </c>
      <c r="D59" s="78" t="s">
        <v>166</v>
      </c>
      <c r="E59" s="78" t="s">
        <v>67</v>
      </c>
      <c r="F59" s="78" t="s">
        <v>161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>
        <v>1</v>
      </c>
      <c r="AI59" s="78"/>
      <c r="AJ59" s="78"/>
      <c r="AK59" s="78"/>
      <c r="AL59" s="78">
        <v>1</v>
      </c>
      <c r="AM59" s="78">
        <v>0</v>
      </c>
      <c r="AN59">
        <f t="shared" si="0"/>
        <v>0</v>
      </c>
    </row>
    <row r="60" spans="1:40">
      <c r="A60" s="78">
        <v>54</v>
      </c>
      <c r="B60" s="78">
        <v>22269</v>
      </c>
      <c r="C60" s="78" t="s">
        <v>139</v>
      </c>
      <c r="D60" s="78" t="s">
        <v>166</v>
      </c>
      <c r="E60" s="78" t="s">
        <v>67</v>
      </c>
      <c r="F60" s="78" t="s">
        <v>161</v>
      </c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>
        <v>4</v>
      </c>
      <c r="AI60" s="78">
        <v>4</v>
      </c>
      <c r="AJ60" s="78">
        <v>4</v>
      </c>
      <c r="AK60" s="78">
        <v>9</v>
      </c>
      <c r="AL60" s="78">
        <v>21</v>
      </c>
      <c r="AM60" s="78">
        <v>4</v>
      </c>
      <c r="AN60">
        <f t="shared" si="0"/>
        <v>80</v>
      </c>
    </row>
    <row r="61" spans="1:40">
      <c r="A61" s="78">
        <v>55</v>
      </c>
      <c r="B61" s="78">
        <v>22270</v>
      </c>
      <c r="C61" s="78" t="s">
        <v>140</v>
      </c>
      <c r="D61" s="78" t="s">
        <v>166</v>
      </c>
      <c r="E61" s="78" t="s">
        <v>67</v>
      </c>
      <c r="F61" s="78" t="s">
        <v>161</v>
      </c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>
        <v>4</v>
      </c>
      <c r="AI61" s="78">
        <v>4</v>
      </c>
      <c r="AJ61" s="78">
        <v>4</v>
      </c>
      <c r="AK61" s="78">
        <v>9</v>
      </c>
      <c r="AL61" s="78">
        <v>21</v>
      </c>
      <c r="AM61" s="78">
        <v>4</v>
      </c>
      <c r="AN61">
        <f t="shared" si="0"/>
        <v>80</v>
      </c>
    </row>
    <row r="62" spans="1:40">
      <c r="A62" s="78">
        <v>56</v>
      </c>
      <c r="B62" s="78">
        <v>22271</v>
      </c>
      <c r="C62" s="78" t="s">
        <v>141</v>
      </c>
      <c r="D62" s="78" t="s">
        <v>166</v>
      </c>
      <c r="E62" s="78" t="s">
        <v>97</v>
      </c>
      <c r="F62" s="78" t="s">
        <v>161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>
        <v>4</v>
      </c>
      <c r="AJ62" s="78">
        <v>4</v>
      </c>
      <c r="AK62" s="78">
        <v>12</v>
      </c>
      <c r="AL62" s="78">
        <v>20</v>
      </c>
      <c r="AM62" s="78">
        <v>3</v>
      </c>
      <c r="AN62">
        <f t="shared" si="0"/>
        <v>60</v>
      </c>
    </row>
    <row r="63" spans="1:40">
      <c r="A63" s="78">
        <v>57</v>
      </c>
      <c r="B63" s="78">
        <v>22272</v>
      </c>
      <c r="C63" s="78" t="s">
        <v>142</v>
      </c>
      <c r="D63" s="78" t="s">
        <v>166</v>
      </c>
      <c r="E63" s="78" t="s">
        <v>25</v>
      </c>
      <c r="F63" s="78" t="s">
        <v>161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>
        <v>4</v>
      </c>
      <c r="AJ63" s="78">
        <v>4</v>
      </c>
      <c r="AK63" s="78">
        <v>12</v>
      </c>
      <c r="AL63" s="78">
        <v>20</v>
      </c>
      <c r="AM63" s="78">
        <v>3</v>
      </c>
      <c r="AN63">
        <f t="shared" si="0"/>
        <v>60</v>
      </c>
    </row>
    <row r="64" spans="1:40">
      <c r="A64" s="78">
        <v>58</v>
      </c>
      <c r="B64" s="78">
        <v>22273</v>
      </c>
      <c r="C64" s="78" t="s">
        <v>143</v>
      </c>
      <c r="D64" s="78" t="s">
        <v>166</v>
      </c>
      <c r="E64" s="78" t="s">
        <v>25</v>
      </c>
      <c r="F64" s="78" t="s">
        <v>161</v>
      </c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>
        <v>4</v>
      </c>
      <c r="AJ64" s="78">
        <v>4</v>
      </c>
      <c r="AK64" s="78">
        <v>12</v>
      </c>
      <c r="AL64" s="78">
        <v>20</v>
      </c>
      <c r="AM64" s="78">
        <v>3</v>
      </c>
      <c r="AN64">
        <f t="shared" si="0"/>
        <v>60</v>
      </c>
    </row>
    <row r="65" spans="1:40">
      <c r="A65" s="78">
        <v>59</v>
      </c>
      <c r="B65" s="78">
        <v>22274</v>
      </c>
      <c r="C65" s="78" t="s">
        <v>144</v>
      </c>
      <c r="D65" s="78" t="s">
        <v>166</v>
      </c>
      <c r="E65" s="78" t="s">
        <v>25</v>
      </c>
      <c r="F65" s="78" t="s">
        <v>161</v>
      </c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>
        <v>4</v>
      </c>
      <c r="AJ65" s="78">
        <v>4</v>
      </c>
      <c r="AK65" s="78">
        <v>12</v>
      </c>
      <c r="AL65" s="78">
        <v>20</v>
      </c>
      <c r="AM65" s="78">
        <v>3</v>
      </c>
      <c r="AN65">
        <f t="shared" si="0"/>
        <v>60</v>
      </c>
    </row>
    <row r="66" spans="1:40">
      <c r="AL66">
        <f>SUM(AL7:AL65)</f>
        <v>2926</v>
      </c>
    </row>
  </sheetData>
  <mergeCells count="4">
    <mergeCell ref="A1:AM1"/>
    <mergeCell ref="A2:AM2"/>
    <mergeCell ref="A3:AM3"/>
    <mergeCell ref="A4:A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47"/>
  <sheetViews>
    <sheetView tabSelected="1" zoomScale="60" zoomScaleNormal="60" zoomScaleSheetLayoutView="70" workbookViewId="0">
      <pane xSplit="4" ySplit="3" topLeftCell="P35" activePane="bottomRight" state="frozen"/>
      <selection pane="topRight"/>
      <selection pane="bottomLeft"/>
      <selection pane="bottomRight" activeCell="X47" sqref="X47"/>
    </sheetView>
  </sheetViews>
  <sheetFormatPr defaultColWidth="9.1796875" defaultRowHeight="14.5"/>
  <cols>
    <col min="1" max="1" width="8" style="6" customWidth="1"/>
    <col min="2" max="2" width="16.26953125" style="6" customWidth="1"/>
    <col min="3" max="3" width="47.1796875" style="6" customWidth="1"/>
    <col min="4" max="4" width="21.453125" style="6" customWidth="1"/>
    <col min="5" max="5" width="22.54296875" style="6" hidden="1" customWidth="1"/>
    <col min="6" max="6" width="19" style="6" hidden="1" customWidth="1"/>
    <col min="7" max="7" width="12.453125" style="6" customWidth="1"/>
    <col min="8" max="8" width="12.54296875" style="6" customWidth="1"/>
    <col min="9" max="9" width="14.6328125" style="6" bestFit="1" customWidth="1"/>
    <col min="10" max="10" width="12.81640625" style="6" customWidth="1"/>
    <col min="11" max="11" width="15.453125" style="6" customWidth="1"/>
    <col min="12" max="13" width="14.453125" style="6" customWidth="1"/>
    <col min="14" max="14" width="10.81640625" style="6" customWidth="1"/>
    <col min="15" max="15" width="14.54296875" style="6" customWidth="1"/>
    <col min="16" max="16" width="14" style="6" customWidth="1"/>
    <col min="17" max="17" width="14.7265625" style="6" customWidth="1"/>
    <col min="18" max="18" width="6.26953125" style="6" customWidth="1"/>
    <col min="19" max="19" width="11.453125" style="6" customWidth="1"/>
    <col min="20" max="24" width="14.453125" style="6" customWidth="1"/>
    <col min="25" max="25" width="9.6328125" style="6" bestFit="1" customWidth="1"/>
    <col min="26" max="26" width="7" style="6" customWidth="1"/>
    <col min="27" max="27" width="21.1796875" style="6" customWidth="1"/>
    <col min="28" max="28" width="25.81640625" style="6" bestFit="1" customWidth="1"/>
    <col min="29" max="29" width="9.81640625" style="6" customWidth="1"/>
    <col min="30" max="30" width="9.1796875" style="6" customWidth="1"/>
    <col min="31" max="16384" width="9.1796875" style="6"/>
  </cols>
  <sheetData>
    <row r="1" spans="1:30" s="5" customFormat="1" ht="33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1"/>
    </row>
    <row r="2" spans="1:30" s="5" customFormat="1" ht="27.75" customHeight="1">
      <c r="A2" s="229" t="s">
        <v>214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1"/>
    </row>
    <row r="3" spans="1:30" s="74" customFormat="1" ht="62.25" customHeight="1">
      <c r="A3" s="72" t="s">
        <v>2</v>
      </c>
      <c r="B3" s="72" t="s">
        <v>3</v>
      </c>
      <c r="C3" s="72" t="s">
        <v>4</v>
      </c>
      <c r="D3" s="72" t="s">
        <v>5</v>
      </c>
      <c r="E3" s="72" t="s">
        <v>6</v>
      </c>
      <c r="F3" s="72" t="s">
        <v>7</v>
      </c>
      <c r="G3" s="72" t="s">
        <v>8</v>
      </c>
      <c r="H3" s="72" t="s">
        <v>9</v>
      </c>
      <c r="I3" s="72" t="s">
        <v>59</v>
      </c>
      <c r="J3" s="72" t="s">
        <v>60</v>
      </c>
      <c r="K3" s="72" t="s">
        <v>199</v>
      </c>
      <c r="L3" s="72" t="s">
        <v>200</v>
      </c>
      <c r="M3" s="72" t="s">
        <v>110</v>
      </c>
      <c r="N3" s="72" t="s">
        <v>12</v>
      </c>
      <c r="O3" s="72" t="s">
        <v>13</v>
      </c>
      <c r="P3" s="72" t="s">
        <v>61</v>
      </c>
      <c r="Q3" s="72" t="s">
        <v>62</v>
      </c>
      <c r="R3" s="72" t="s">
        <v>63</v>
      </c>
      <c r="S3" s="72" t="s">
        <v>64</v>
      </c>
      <c r="T3" s="72" t="s">
        <v>17</v>
      </c>
      <c r="U3" s="72" t="s">
        <v>201</v>
      </c>
      <c r="V3" s="72" t="s">
        <v>18</v>
      </c>
      <c r="W3" s="72" t="s">
        <v>19</v>
      </c>
      <c r="X3" s="72" t="s">
        <v>20</v>
      </c>
      <c r="Y3" s="72" t="s">
        <v>21</v>
      </c>
      <c r="Z3" s="72" t="s">
        <v>65</v>
      </c>
      <c r="AA3" s="73" t="s">
        <v>22</v>
      </c>
      <c r="AB3" s="73" t="s">
        <v>23</v>
      </c>
    </row>
    <row r="4" spans="1:30" customFormat="1" ht="34.5" customHeight="1">
      <c r="A4" s="88">
        <v>1</v>
      </c>
      <c r="B4" s="98">
        <v>20385</v>
      </c>
      <c r="C4" s="87" t="s">
        <v>68</v>
      </c>
      <c r="D4" s="99" t="s">
        <v>67</v>
      </c>
      <c r="E4" s="89" t="s">
        <v>69</v>
      </c>
      <c r="F4" s="89">
        <v>5608897715</v>
      </c>
      <c r="G4" s="90">
        <v>605</v>
      </c>
      <c r="H4" s="91">
        <v>25</v>
      </c>
      <c r="I4" s="90">
        <v>0</v>
      </c>
      <c r="J4" s="92">
        <f t="shared" ref="J4:J35" si="0">H4+I4</f>
        <v>25</v>
      </c>
      <c r="K4" s="93">
        <f>ROUND((G4*(J4))*55%,0)</f>
        <v>8319</v>
      </c>
      <c r="L4" s="90">
        <f>ROUND((G4*(J4))*45%,0)</f>
        <v>6806</v>
      </c>
      <c r="M4" s="93">
        <f t="shared" ref="M4" si="1">K4+L4</f>
        <v>15125</v>
      </c>
      <c r="N4" s="87">
        <v>0</v>
      </c>
      <c r="O4" s="94">
        <f>ROUND((+G4*55%/8*2)*N4,0)</f>
        <v>0</v>
      </c>
      <c r="P4" s="87">
        <v>0</v>
      </c>
      <c r="Q4" s="93">
        <v>0</v>
      </c>
      <c r="R4" s="93">
        <v>0</v>
      </c>
      <c r="S4" s="90"/>
      <c r="T4" s="94">
        <f t="shared" ref="T4:T35" si="2">ROUND(K4+L4+O4+P4+Q4+R4+S4,0)</f>
        <v>15125</v>
      </c>
      <c r="U4" s="94">
        <f>T4-L4</f>
        <v>8319</v>
      </c>
      <c r="V4" s="94">
        <f t="shared" ref="V4:V30" si="3">ROUND(+K4*12%,0)</f>
        <v>998</v>
      </c>
      <c r="W4" s="100">
        <f>CEILING(U4*0.75%,1)</f>
        <v>63</v>
      </c>
      <c r="X4" s="91">
        <v>0</v>
      </c>
      <c r="Y4" s="90"/>
      <c r="Z4" s="95"/>
      <c r="AA4" s="93">
        <f t="shared" ref="AA4:AA46" si="4">ROUND(T4-X4-Y4-V4-W4-Z4,0)</f>
        <v>14064</v>
      </c>
      <c r="AB4" s="96"/>
      <c r="AD4" s="67"/>
    </row>
    <row r="5" spans="1:30" customFormat="1" ht="34.5" customHeight="1">
      <c r="A5" s="88">
        <f>A4+1</f>
        <v>2</v>
      </c>
      <c r="B5" s="98">
        <v>21332</v>
      </c>
      <c r="C5" s="87" t="s">
        <v>73</v>
      </c>
      <c r="D5" s="99" t="s">
        <v>67</v>
      </c>
      <c r="E5" s="89" t="s">
        <v>74</v>
      </c>
      <c r="F5" s="89">
        <v>5608950778</v>
      </c>
      <c r="G5" s="90">
        <v>605</v>
      </c>
      <c r="H5" s="91">
        <v>18</v>
      </c>
      <c r="I5" s="90">
        <v>0</v>
      </c>
      <c r="J5" s="92">
        <f t="shared" si="0"/>
        <v>18</v>
      </c>
      <c r="K5" s="93">
        <f t="shared" ref="K5:K46" si="5">ROUND((G5*(J5))*55%,0)</f>
        <v>5990</v>
      </c>
      <c r="L5" s="90">
        <f t="shared" ref="L5:L46" si="6">ROUND((G5*(J5))*45%,0)</f>
        <v>4901</v>
      </c>
      <c r="M5" s="93">
        <f t="shared" ref="M5:M46" si="7">K5+L5</f>
        <v>10891</v>
      </c>
      <c r="N5" s="87">
        <v>0</v>
      </c>
      <c r="O5" s="94">
        <f t="shared" ref="O5:O46" si="8">ROUND((+G5*55%/8*2)*N5,0)</f>
        <v>0</v>
      </c>
      <c r="P5" s="87">
        <v>0</v>
      </c>
      <c r="Q5" s="93">
        <v>0</v>
      </c>
      <c r="R5" s="93">
        <v>0</v>
      </c>
      <c r="S5" s="90"/>
      <c r="T5" s="94">
        <f t="shared" si="2"/>
        <v>10891</v>
      </c>
      <c r="U5" s="94">
        <f t="shared" ref="U5:U39" si="9">T5-L5</f>
        <v>5990</v>
      </c>
      <c r="V5" s="94">
        <f t="shared" si="3"/>
        <v>719</v>
      </c>
      <c r="W5" s="100">
        <f t="shared" ref="W5:W39" si="10">CEILING(U5*0.75%,1)</f>
        <v>45</v>
      </c>
      <c r="X5" s="91">
        <v>0</v>
      </c>
      <c r="Y5" s="90"/>
      <c r="Z5" s="95"/>
      <c r="AA5" s="93">
        <f t="shared" si="4"/>
        <v>10127</v>
      </c>
      <c r="AB5" s="96"/>
      <c r="AD5" s="67"/>
    </row>
    <row r="6" spans="1:30" customFormat="1" ht="34.5" customHeight="1">
      <c r="A6" s="88">
        <f t="shared" ref="A6:A46" si="11">A5+1</f>
        <v>3</v>
      </c>
      <c r="B6" s="98">
        <v>21481</v>
      </c>
      <c r="C6" s="87" t="s">
        <v>75</v>
      </c>
      <c r="D6" s="99" t="s">
        <v>67</v>
      </c>
      <c r="E6" s="89" t="s">
        <v>76</v>
      </c>
      <c r="F6" s="89">
        <v>5609350784</v>
      </c>
      <c r="G6" s="90">
        <v>605</v>
      </c>
      <c r="H6" s="91">
        <v>23</v>
      </c>
      <c r="I6" s="90">
        <v>0</v>
      </c>
      <c r="J6" s="92">
        <f t="shared" si="0"/>
        <v>23</v>
      </c>
      <c r="K6" s="93">
        <f t="shared" si="5"/>
        <v>7653</v>
      </c>
      <c r="L6" s="90">
        <f t="shared" si="6"/>
        <v>6262</v>
      </c>
      <c r="M6" s="93">
        <f t="shared" si="7"/>
        <v>13915</v>
      </c>
      <c r="N6" s="87">
        <v>0</v>
      </c>
      <c r="O6" s="94">
        <f t="shared" si="8"/>
        <v>0</v>
      </c>
      <c r="P6" s="87">
        <v>0</v>
      </c>
      <c r="Q6" s="93">
        <v>0</v>
      </c>
      <c r="R6" s="93">
        <v>0</v>
      </c>
      <c r="S6" s="90"/>
      <c r="T6" s="94">
        <f t="shared" si="2"/>
        <v>13915</v>
      </c>
      <c r="U6" s="94">
        <f t="shared" si="9"/>
        <v>7653</v>
      </c>
      <c r="V6" s="94">
        <f t="shared" si="3"/>
        <v>918</v>
      </c>
      <c r="W6" s="100">
        <f t="shared" si="10"/>
        <v>58</v>
      </c>
      <c r="X6" s="91">
        <v>20</v>
      </c>
      <c r="Y6" s="90"/>
      <c r="Z6" s="95"/>
      <c r="AA6" s="93">
        <f t="shared" si="4"/>
        <v>12919</v>
      </c>
      <c r="AB6" s="96"/>
      <c r="AD6" s="67"/>
    </row>
    <row r="7" spans="1:30" customFormat="1" ht="34.5" customHeight="1">
      <c r="A7" s="88">
        <f t="shared" si="11"/>
        <v>4</v>
      </c>
      <c r="B7" s="98">
        <v>21515</v>
      </c>
      <c r="C7" s="87" t="s">
        <v>77</v>
      </c>
      <c r="D7" s="99" t="s">
        <v>67</v>
      </c>
      <c r="E7" s="89" t="s">
        <v>78</v>
      </c>
      <c r="F7" s="89">
        <v>5609723095</v>
      </c>
      <c r="G7" s="90">
        <v>605</v>
      </c>
      <c r="H7" s="91">
        <v>24</v>
      </c>
      <c r="I7" s="90">
        <v>0</v>
      </c>
      <c r="J7" s="92">
        <f t="shared" si="0"/>
        <v>24</v>
      </c>
      <c r="K7" s="93">
        <f t="shared" si="5"/>
        <v>7986</v>
      </c>
      <c r="L7" s="90">
        <f t="shared" si="6"/>
        <v>6534</v>
      </c>
      <c r="M7" s="93">
        <f t="shared" si="7"/>
        <v>14520</v>
      </c>
      <c r="N7" s="87">
        <v>0</v>
      </c>
      <c r="O7" s="94">
        <f t="shared" si="8"/>
        <v>0</v>
      </c>
      <c r="P7" s="87">
        <v>0</v>
      </c>
      <c r="Q7" s="93">
        <v>0</v>
      </c>
      <c r="R7" s="93">
        <v>0</v>
      </c>
      <c r="S7" s="90"/>
      <c r="T7" s="94">
        <f t="shared" si="2"/>
        <v>14520</v>
      </c>
      <c r="U7" s="94">
        <f t="shared" si="9"/>
        <v>7986</v>
      </c>
      <c r="V7" s="94">
        <f t="shared" si="3"/>
        <v>958</v>
      </c>
      <c r="W7" s="100">
        <f t="shared" si="10"/>
        <v>60</v>
      </c>
      <c r="X7" s="91">
        <v>20</v>
      </c>
      <c r="Y7" s="90"/>
      <c r="Z7" s="95"/>
      <c r="AA7" s="93">
        <f t="shared" si="4"/>
        <v>13482</v>
      </c>
      <c r="AB7" s="96"/>
      <c r="AD7" s="67"/>
    </row>
    <row r="8" spans="1:30" customFormat="1" ht="34.5" customHeight="1">
      <c r="A8" s="88">
        <f t="shared" si="11"/>
        <v>5</v>
      </c>
      <c r="B8" s="98">
        <v>21517</v>
      </c>
      <c r="C8" s="87" t="s">
        <v>79</v>
      </c>
      <c r="D8" s="99" t="s">
        <v>67</v>
      </c>
      <c r="E8" s="89" t="s">
        <v>80</v>
      </c>
      <c r="F8" s="89">
        <v>5609761587</v>
      </c>
      <c r="G8" s="90">
        <v>605</v>
      </c>
      <c r="H8" s="91">
        <v>24</v>
      </c>
      <c r="I8" s="90">
        <v>0</v>
      </c>
      <c r="J8" s="92">
        <f t="shared" si="0"/>
        <v>24</v>
      </c>
      <c r="K8" s="93">
        <f t="shared" si="5"/>
        <v>7986</v>
      </c>
      <c r="L8" s="90">
        <f t="shared" si="6"/>
        <v>6534</v>
      </c>
      <c r="M8" s="93">
        <f t="shared" si="7"/>
        <v>14520</v>
      </c>
      <c r="N8" s="87">
        <v>0</v>
      </c>
      <c r="O8" s="94">
        <f t="shared" si="8"/>
        <v>0</v>
      </c>
      <c r="P8" s="87">
        <v>0</v>
      </c>
      <c r="Q8" s="93">
        <v>0</v>
      </c>
      <c r="R8" s="93">
        <v>0</v>
      </c>
      <c r="S8" s="90"/>
      <c r="T8" s="94">
        <f t="shared" si="2"/>
        <v>14520</v>
      </c>
      <c r="U8" s="94">
        <f t="shared" si="9"/>
        <v>7986</v>
      </c>
      <c r="V8" s="94">
        <f t="shared" si="3"/>
        <v>958</v>
      </c>
      <c r="W8" s="100">
        <f t="shared" si="10"/>
        <v>60</v>
      </c>
      <c r="X8" s="91">
        <v>0</v>
      </c>
      <c r="Y8" s="90"/>
      <c r="Z8" s="95"/>
      <c r="AA8" s="93">
        <f t="shared" si="4"/>
        <v>13502</v>
      </c>
      <c r="AB8" s="96"/>
      <c r="AD8" s="67"/>
    </row>
    <row r="9" spans="1:30" customFormat="1" ht="34.5" customHeight="1">
      <c r="A9" s="88">
        <f t="shared" si="11"/>
        <v>6</v>
      </c>
      <c r="B9" s="98">
        <v>21710</v>
      </c>
      <c r="C9" s="87" t="s">
        <v>84</v>
      </c>
      <c r="D9" s="99" t="s">
        <v>67</v>
      </c>
      <c r="E9" s="89" t="s">
        <v>85</v>
      </c>
      <c r="F9" s="89">
        <v>5610287527</v>
      </c>
      <c r="G9" s="90">
        <v>605</v>
      </c>
      <c r="H9" s="91">
        <v>25</v>
      </c>
      <c r="I9" s="90">
        <v>0</v>
      </c>
      <c r="J9" s="92">
        <f t="shared" si="0"/>
        <v>25</v>
      </c>
      <c r="K9" s="93">
        <f t="shared" si="5"/>
        <v>8319</v>
      </c>
      <c r="L9" s="90">
        <f t="shared" si="6"/>
        <v>6806</v>
      </c>
      <c r="M9" s="93">
        <f t="shared" si="7"/>
        <v>15125</v>
      </c>
      <c r="N9" s="87">
        <v>0</v>
      </c>
      <c r="O9" s="94">
        <f t="shared" si="8"/>
        <v>0</v>
      </c>
      <c r="P9" s="87">
        <v>0</v>
      </c>
      <c r="Q9" s="93">
        <v>0</v>
      </c>
      <c r="R9" s="93">
        <v>0</v>
      </c>
      <c r="S9" s="90"/>
      <c r="T9" s="94">
        <f t="shared" si="2"/>
        <v>15125</v>
      </c>
      <c r="U9" s="94">
        <f t="shared" si="9"/>
        <v>8319</v>
      </c>
      <c r="V9" s="94">
        <f t="shared" si="3"/>
        <v>998</v>
      </c>
      <c r="W9" s="100">
        <f t="shared" si="10"/>
        <v>63</v>
      </c>
      <c r="X9" s="91">
        <v>0</v>
      </c>
      <c r="Y9" s="90"/>
      <c r="Z9" s="95"/>
      <c r="AA9" s="93">
        <f t="shared" si="4"/>
        <v>14064</v>
      </c>
      <c r="AB9" s="96"/>
      <c r="AD9" s="67"/>
    </row>
    <row r="10" spans="1:30" customFormat="1" ht="34.5" customHeight="1">
      <c r="A10" s="88">
        <f t="shared" si="11"/>
        <v>7</v>
      </c>
      <c r="B10" s="98">
        <v>21713</v>
      </c>
      <c r="C10" s="87" t="s">
        <v>86</v>
      </c>
      <c r="D10" s="99" t="s">
        <v>25</v>
      </c>
      <c r="E10" s="89" t="s">
        <v>87</v>
      </c>
      <c r="F10" s="89">
        <v>5610093217</v>
      </c>
      <c r="G10" s="90">
        <v>605</v>
      </c>
      <c r="H10" s="91">
        <v>23</v>
      </c>
      <c r="I10" s="90">
        <v>0</v>
      </c>
      <c r="J10" s="92">
        <f t="shared" si="0"/>
        <v>23</v>
      </c>
      <c r="K10" s="93">
        <f t="shared" si="5"/>
        <v>7653</v>
      </c>
      <c r="L10" s="90">
        <f t="shared" si="6"/>
        <v>6262</v>
      </c>
      <c r="M10" s="93">
        <f t="shared" si="7"/>
        <v>13915</v>
      </c>
      <c r="N10" s="87">
        <v>92</v>
      </c>
      <c r="O10" s="94">
        <f t="shared" si="8"/>
        <v>7653</v>
      </c>
      <c r="P10" s="87">
        <v>460</v>
      </c>
      <c r="Q10" s="93">
        <v>540</v>
      </c>
      <c r="R10" s="93">
        <v>0</v>
      </c>
      <c r="S10" s="90"/>
      <c r="T10" s="94">
        <f t="shared" si="2"/>
        <v>22568</v>
      </c>
      <c r="U10" s="94">
        <f t="shared" si="9"/>
        <v>16306</v>
      </c>
      <c r="V10" s="94">
        <f t="shared" si="3"/>
        <v>918</v>
      </c>
      <c r="W10" s="100">
        <f t="shared" si="10"/>
        <v>123</v>
      </c>
      <c r="X10" s="91">
        <v>460</v>
      </c>
      <c r="Y10" s="90"/>
      <c r="Z10" s="95"/>
      <c r="AA10" s="93">
        <f t="shared" si="4"/>
        <v>21067</v>
      </c>
      <c r="AB10" s="96"/>
      <c r="AD10" s="67"/>
    </row>
    <row r="11" spans="1:30" customFormat="1" ht="34.5" customHeight="1">
      <c r="A11" s="88">
        <f t="shared" si="11"/>
        <v>8</v>
      </c>
      <c r="B11" s="101">
        <v>21872</v>
      </c>
      <c r="C11" s="87" t="s">
        <v>191</v>
      </c>
      <c r="D11" s="102" t="s">
        <v>118</v>
      </c>
      <c r="E11" s="89"/>
      <c r="F11" s="89"/>
      <c r="G11" s="90">
        <v>605</v>
      </c>
      <c r="H11" s="91">
        <v>23</v>
      </c>
      <c r="I11" s="90">
        <v>0</v>
      </c>
      <c r="J11" s="92">
        <f t="shared" si="0"/>
        <v>23</v>
      </c>
      <c r="K11" s="93">
        <f t="shared" si="5"/>
        <v>7653</v>
      </c>
      <c r="L11" s="90">
        <f t="shared" si="6"/>
        <v>6262</v>
      </c>
      <c r="M11" s="93">
        <f t="shared" si="7"/>
        <v>13915</v>
      </c>
      <c r="N11" s="87">
        <v>22</v>
      </c>
      <c r="O11" s="94">
        <f t="shared" si="8"/>
        <v>1830</v>
      </c>
      <c r="P11" s="87">
        <v>0</v>
      </c>
      <c r="Q11" s="93">
        <v>1035</v>
      </c>
      <c r="R11" s="93">
        <v>0</v>
      </c>
      <c r="S11" s="90"/>
      <c r="T11" s="94">
        <f t="shared" si="2"/>
        <v>16780</v>
      </c>
      <c r="U11" s="94">
        <f t="shared" si="9"/>
        <v>10518</v>
      </c>
      <c r="V11" s="94">
        <f t="shared" si="3"/>
        <v>918</v>
      </c>
      <c r="W11" s="100">
        <f t="shared" si="10"/>
        <v>79</v>
      </c>
      <c r="X11" s="91">
        <v>0</v>
      </c>
      <c r="Y11" s="90"/>
      <c r="Z11" s="95"/>
      <c r="AA11" s="93">
        <f t="shared" si="4"/>
        <v>15783</v>
      </c>
      <c r="AB11" s="96"/>
      <c r="AD11" s="67"/>
    </row>
    <row r="12" spans="1:30" customFormat="1" ht="34.5" customHeight="1">
      <c r="A12" s="88">
        <f t="shared" si="11"/>
        <v>9</v>
      </c>
      <c r="B12" s="103">
        <v>22042</v>
      </c>
      <c r="C12" s="87" t="s">
        <v>88</v>
      </c>
      <c r="D12" s="97" t="s">
        <v>25</v>
      </c>
      <c r="E12" s="89" t="s">
        <v>25</v>
      </c>
      <c r="F12" s="89"/>
      <c r="G12" s="90">
        <v>605</v>
      </c>
      <c r="H12" s="91">
        <v>17</v>
      </c>
      <c r="I12" s="90">
        <v>0</v>
      </c>
      <c r="J12" s="92">
        <f t="shared" ref="J12" si="12">H12+I12</f>
        <v>17</v>
      </c>
      <c r="K12" s="93">
        <f t="shared" si="5"/>
        <v>5657</v>
      </c>
      <c r="L12" s="90">
        <f t="shared" si="6"/>
        <v>4628</v>
      </c>
      <c r="M12" s="93">
        <f t="shared" si="7"/>
        <v>10285</v>
      </c>
      <c r="N12" s="87">
        <v>68</v>
      </c>
      <c r="O12" s="94">
        <f t="shared" si="8"/>
        <v>5657</v>
      </c>
      <c r="P12" s="87">
        <v>340</v>
      </c>
      <c r="Q12" s="93">
        <v>270</v>
      </c>
      <c r="R12" s="93">
        <v>0</v>
      </c>
      <c r="S12" s="90"/>
      <c r="T12" s="94">
        <f t="shared" ref="T12" si="13">ROUND(K12+L12+O12+P12+Q12+R12+S12,0)</f>
        <v>16552</v>
      </c>
      <c r="U12" s="94">
        <f t="shared" ref="U12" si="14">T12-L12</f>
        <v>11924</v>
      </c>
      <c r="V12" s="94">
        <f t="shared" ref="V12" si="15">ROUND(+K12*12%,0)</f>
        <v>679</v>
      </c>
      <c r="W12" s="100">
        <f t="shared" ref="W12" si="16">CEILING(U12*0.75%,1)</f>
        <v>90</v>
      </c>
      <c r="X12" s="91">
        <v>340</v>
      </c>
      <c r="Y12" s="90"/>
      <c r="Z12" s="95"/>
      <c r="AA12" s="93">
        <f t="shared" si="4"/>
        <v>15443</v>
      </c>
      <c r="AB12" s="96"/>
      <c r="AD12" s="67"/>
    </row>
    <row r="13" spans="1:30" customFormat="1" ht="34.5" customHeight="1">
      <c r="A13" s="88">
        <f t="shared" si="11"/>
        <v>10</v>
      </c>
      <c r="B13" s="98">
        <v>22050</v>
      </c>
      <c r="C13" s="87" t="s">
        <v>89</v>
      </c>
      <c r="D13" s="99" t="s">
        <v>67</v>
      </c>
      <c r="E13" s="89" t="s">
        <v>90</v>
      </c>
      <c r="F13" s="89">
        <v>5610062207</v>
      </c>
      <c r="G13" s="90">
        <v>605</v>
      </c>
      <c r="H13" s="91">
        <v>15</v>
      </c>
      <c r="I13" s="90">
        <v>0</v>
      </c>
      <c r="J13" s="92">
        <f t="shared" si="0"/>
        <v>15</v>
      </c>
      <c r="K13" s="93">
        <f t="shared" si="5"/>
        <v>4991</v>
      </c>
      <c r="L13" s="90">
        <f t="shared" si="6"/>
        <v>4084</v>
      </c>
      <c r="M13" s="93">
        <f t="shared" si="7"/>
        <v>9075</v>
      </c>
      <c r="N13" s="87">
        <v>0</v>
      </c>
      <c r="O13" s="94">
        <f t="shared" si="8"/>
        <v>0</v>
      </c>
      <c r="P13" s="87">
        <v>0</v>
      </c>
      <c r="Q13" s="93">
        <v>0</v>
      </c>
      <c r="R13" s="93">
        <v>0</v>
      </c>
      <c r="S13" s="90"/>
      <c r="T13" s="94">
        <f t="shared" si="2"/>
        <v>9075</v>
      </c>
      <c r="U13" s="94">
        <f t="shared" si="9"/>
        <v>4991</v>
      </c>
      <c r="V13" s="94">
        <f t="shared" si="3"/>
        <v>599</v>
      </c>
      <c r="W13" s="100">
        <f t="shared" si="10"/>
        <v>38</v>
      </c>
      <c r="X13" s="91">
        <v>0</v>
      </c>
      <c r="Y13" s="90"/>
      <c r="Z13" s="95"/>
      <c r="AA13" s="93">
        <f t="shared" si="4"/>
        <v>8438</v>
      </c>
      <c r="AB13" s="96"/>
      <c r="AD13" s="67"/>
    </row>
    <row r="14" spans="1:30" customFormat="1" ht="34.5" customHeight="1">
      <c r="A14" s="88">
        <f t="shared" si="11"/>
        <v>11</v>
      </c>
      <c r="B14" s="98">
        <v>22104</v>
      </c>
      <c r="C14" s="87" t="s">
        <v>92</v>
      </c>
      <c r="D14" s="99" t="s">
        <v>67</v>
      </c>
      <c r="E14" s="89" t="s">
        <v>93</v>
      </c>
      <c r="F14" s="89">
        <v>5610992415</v>
      </c>
      <c r="G14" s="90">
        <v>605</v>
      </c>
      <c r="H14" s="91">
        <v>22</v>
      </c>
      <c r="I14" s="90">
        <v>0</v>
      </c>
      <c r="J14" s="92">
        <f t="shared" si="0"/>
        <v>22</v>
      </c>
      <c r="K14" s="93">
        <f t="shared" si="5"/>
        <v>7321</v>
      </c>
      <c r="L14" s="90">
        <f t="shared" si="6"/>
        <v>5990</v>
      </c>
      <c r="M14" s="93">
        <f t="shared" si="7"/>
        <v>13311</v>
      </c>
      <c r="N14" s="87">
        <v>0</v>
      </c>
      <c r="O14" s="94">
        <f t="shared" si="8"/>
        <v>0</v>
      </c>
      <c r="P14" s="87">
        <v>0</v>
      </c>
      <c r="Q14" s="93">
        <v>0</v>
      </c>
      <c r="R14" s="93">
        <v>0</v>
      </c>
      <c r="S14" s="90"/>
      <c r="T14" s="94">
        <f t="shared" si="2"/>
        <v>13311</v>
      </c>
      <c r="U14" s="94">
        <f t="shared" si="9"/>
        <v>7321</v>
      </c>
      <c r="V14" s="94">
        <f t="shared" si="3"/>
        <v>879</v>
      </c>
      <c r="W14" s="100">
        <f t="shared" si="10"/>
        <v>55</v>
      </c>
      <c r="X14" s="91">
        <v>20</v>
      </c>
      <c r="Y14" s="90"/>
      <c r="Z14" s="95"/>
      <c r="AA14" s="93">
        <f t="shared" si="4"/>
        <v>12357</v>
      </c>
      <c r="AB14" s="96"/>
      <c r="AD14" s="67"/>
    </row>
    <row r="15" spans="1:30" customFormat="1" ht="34.5" customHeight="1">
      <c r="A15" s="88">
        <f t="shared" si="11"/>
        <v>12</v>
      </c>
      <c r="B15" s="98">
        <v>22111</v>
      </c>
      <c r="C15" s="87" t="s">
        <v>75</v>
      </c>
      <c r="D15" s="99" t="s">
        <v>67</v>
      </c>
      <c r="E15" s="89" t="s">
        <v>95</v>
      </c>
      <c r="F15" s="89">
        <v>5610654825</v>
      </c>
      <c r="G15" s="90">
        <v>605</v>
      </c>
      <c r="H15" s="91">
        <v>20</v>
      </c>
      <c r="I15" s="90">
        <v>0</v>
      </c>
      <c r="J15" s="92">
        <f t="shared" si="0"/>
        <v>20</v>
      </c>
      <c r="K15" s="93">
        <f t="shared" si="5"/>
        <v>6655</v>
      </c>
      <c r="L15" s="90">
        <f t="shared" si="6"/>
        <v>5445</v>
      </c>
      <c r="M15" s="93">
        <f t="shared" si="7"/>
        <v>12100</v>
      </c>
      <c r="N15" s="87">
        <v>0</v>
      </c>
      <c r="O15" s="94">
        <f t="shared" si="8"/>
        <v>0</v>
      </c>
      <c r="P15" s="87">
        <v>0</v>
      </c>
      <c r="Q15" s="93">
        <v>0</v>
      </c>
      <c r="R15" s="93">
        <v>0</v>
      </c>
      <c r="S15" s="90"/>
      <c r="T15" s="94">
        <f t="shared" si="2"/>
        <v>12100</v>
      </c>
      <c r="U15" s="94">
        <f t="shared" si="9"/>
        <v>6655</v>
      </c>
      <c r="V15" s="94">
        <f t="shared" si="3"/>
        <v>799</v>
      </c>
      <c r="W15" s="100">
        <f t="shared" si="10"/>
        <v>50</v>
      </c>
      <c r="X15" s="91">
        <v>0</v>
      </c>
      <c r="Y15" s="90"/>
      <c r="Z15" s="95"/>
      <c r="AA15" s="93">
        <f t="shared" si="4"/>
        <v>11251</v>
      </c>
      <c r="AB15" s="96"/>
      <c r="AD15" s="67"/>
    </row>
    <row r="16" spans="1:30" customFormat="1" ht="34.5" customHeight="1">
      <c r="A16" s="88">
        <f t="shared" si="11"/>
        <v>13</v>
      </c>
      <c r="B16" s="98">
        <v>22115</v>
      </c>
      <c r="C16" s="87" t="s">
        <v>94</v>
      </c>
      <c r="D16" s="99" t="s">
        <v>67</v>
      </c>
      <c r="E16" s="89" t="s">
        <v>98</v>
      </c>
      <c r="F16" s="89">
        <v>5611011970</v>
      </c>
      <c r="G16" s="90">
        <v>605</v>
      </c>
      <c r="H16" s="91">
        <v>23</v>
      </c>
      <c r="I16" s="90">
        <v>0</v>
      </c>
      <c r="J16" s="92">
        <f t="shared" si="0"/>
        <v>23</v>
      </c>
      <c r="K16" s="93">
        <f t="shared" si="5"/>
        <v>7653</v>
      </c>
      <c r="L16" s="90">
        <f t="shared" si="6"/>
        <v>6262</v>
      </c>
      <c r="M16" s="93">
        <f t="shared" si="7"/>
        <v>13915</v>
      </c>
      <c r="N16" s="87">
        <v>0</v>
      </c>
      <c r="O16" s="94">
        <f t="shared" si="8"/>
        <v>0</v>
      </c>
      <c r="P16" s="87">
        <v>0</v>
      </c>
      <c r="Q16" s="93">
        <v>0</v>
      </c>
      <c r="R16" s="93">
        <v>0</v>
      </c>
      <c r="S16" s="90"/>
      <c r="T16" s="94">
        <f t="shared" si="2"/>
        <v>13915</v>
      </c>
      <c r="U16" s="94">
        <f t="shared" si="9"/>
        <v>7653</v>
      </c>
      <c r="V16" s="94">
        <f t="shared" si="3"/>
        <v>918</v>
      </c>
      <c r="W16" s="100">
        <f t="shared" si="10"/>
        <v>58</v>
      </c>
      <c r="X16" s="91">
        <v>0</v>
      </c>
      <c r="Y16" s="90"/>
      <c r="Z16" s="95"/>
      <c r="AA16" s="93">
        <f t="shared" si="4"/>
        <v>12939</v>
      </c>
      <c r="AB16" s="96"/>
      <c r="AD16" s="67"/>
    </row>
    <row r="17" spans="1:30" customFormat="1" ht="34.5" customHeight="1">
      <c r="A17" s="88">
        <f t="shared" si="11"/>
        <v>14</v>
      </c>
      <c r="B17" s="98">
        <v>22133</v>
      </c>
      <c r="C17" s="87" t="s">
        <v>96</v>
      </c>
      <c r="D17" s="99" t="s">
        <v>97</v>
      </c>
      <c r="E17" s="89"/>
      <c r="F17" s="89"/>
      <c r="G17" s="90">
        <v>605</v>
      </c>
      <c r="H17" s="91">
        <v>22</v>
      </c>
      <c r="I17" s="90">
        <v>0</v>
      </c>
      <c r="J17" s="92">
        <f t="shared" si="0"/>
        <v>22</v>
      </c>
      <c r="K17" s="93">
        <f t="shared" si="5"/>
        <v>7321</v>
      </c>
      <c r="L17" s="90">
        <f t="shared" si="6"/>
        <v>5990</v>
      </c>
      <c r="M17" s="93">
        <f t="shared" si="7"/>
        <v>13311</v>
      </c>
      <c r="N17" s="87">
        <v>88</v>
      </c>
      <c r="O17" s="94">
        <f t="shared" si="8"/>
        <v>7321</v>
      </c>
      <c r="P17" s="87">
        <v>440</v>
      </c>
      <c r="Q17" s="93">
        <v>495</v>
      </c>
      <c r="R17" s="93">
        <v>0</v>
      </c>
      <c r="S17" s="90"/>
      <c r="T17" s="94">
        <f t="shared" si="2"/>
        <v>21567</v>
      </c>
      <c r="U17" s="94">
        <f t="shared" si="9"/>
        <v>15577</v>
      </c>
      <c r="V17" s="94">
        <f t="shared" si="3"/>
        <v>879</v>
      </c>
      <c r="W17" s="100">
        <f t="shared" si="10"/>
        <v>117</v>
      </c>
      <c r="X17" s="91">
        <v>220</v>
      </c>
      <c r="Y17" s="90"/>
      <c r="Z17" s="95"/>
      <c r="AA17" s="93">
        <f t="shared" si="4"/>
        <v>20351</v>
      </c>
      <c r="AB17" s="96"/>
      <c r="AD17" s="67"/>
    </row>
    <row r="18" spans="1:30" customFormat="1" ht="34.5" customHeight="1">
      <c r="A18" s="88">
        <f t="shared" si="11"/>
        <v>15</v>
      </c>
      <c r="B18" s="98">
        <v>22146</v>
      </c>
      <c r="C18" s="87" t="s">
        <v>167</v>
      </c>
      <c r="D18" s="99" t="s">
        <v>70</v>
      </c>
      <c r="E18" s="89"/>
      <c r="F18" s="89"/>
      <c r="G18" s="90">
        <v>605</v>
      </c>
      <c r="H18" s="91">
        <v>23</v>
      </c>
      <c r="I18" s="90">
        <v>0</v>
      </c>
      <c r="J18" s="92">
        <f t="shared" si="0"/>
        <v>23</v>
      </c>
      <c r="K18" s="93">
        <f t="shared" si="5"/>
        <v>7653</v>
      </c>
      <c r="L18" s="90">
        <f t="shared" si="6"/>
        <v>6262</v>
      </c>
      <c r="M18" s="93">
        <f t="shared" si="7"/>
        <v>13915</v>
      </c>
      <c r="N18" s="87">
        <v>0</v>
      </c>
      <c r="O18" s="94">
        <f t="shared" si="8"/>
        <v>0</v>
      </c>
      <c r="P18" s="87">
        <v>0</v>
      </c>
      <c r="Q18" s="93">
        <v>0</v>
      </c>
      <c r="R18" s="93">
        <v>0</v>
      </c>
      <c r="S18" s="90"/>
      <c r="T18" s="94">
        <f t="shared" si="2"/>
        <v>13915</v>
      </c>
      <c r="U18" s="94">
        <f t="shared" si="9"/>
        <v>7653</v>
      </c>
      <c r="V18" s="94">
        <f t="shared" si="3"/>
        <v>918</v>
      </c>
      <c r="W18" s="100">
        <f t="shared" si="10"/>
        <v>58</v>
      </c>
      <c r="X18" s="91">
        <v>20</v>
      </c>
      <c r="Y18" s="90"/>
      <c r="Z18" s="95"/>
      <c r="AA18" s="93">
        <f t="shared" si="4"/>
        <v>12919</v>
      </c>
      <c r="AB18" s="96"/>
      <c r="AD18" s="67"/>
    </row>
    <row r="19" spans="1:30" customFormat="1" ht="34.5" customHeight="1">
      <c r="A19" s="88">
        <f t="shared" si="11"/>
        <v>16</v>
      </c>
      <c r="B19" s="98">
        <v>22149</v>
      </c>
      <c r="C19" s="87" t="s">
        <v>99</v>
      </c>
      <c r="D19" s="99" t="s">
        <v>67</v>
      </c>
      <c r="E19" s="89"/>
      <c r="F19" s="89"/>
      <c r="G19" s="90">
        <v>605</v>
      </c>
      <c r="H19" s="91">
        <v>20</v>
      </c>
      <c r="I19" s="90">
        <v>0</v>
      </c>
      <c r="J19" s="92">
        <f t="shared" si="0"/>
        <v>20</v>
      </c>
      <c r="K19" s="93">
        <f t="shared" si="5"/>
        <v>6655</v>
      </c>
      <c r="L19" s="90">
        <f t="shared" si="6"/>
        <v>5445</v>
      </c>
      <c r="M19" s="93">
        <f t="shared" si="7"/>
        <v>12100</v>
      </c>
      <c r="N19" s="87">
        <v>0</v>
      </c>
      <c r="O19" s="94">
        <f t="shared" si="8"/>
        <v>0</v>
      </c>
      <c r="P19" s="87">
        <v>0</v>
      </c>
      <c r="Q19" s="93">
        <v>0</v>
      </c>
      <c r="R19" s="93">
        <v>0</v>
      </c>
      <c r="S19" s="90"/>
      <c r="T19" s="94">
        <f t="shared" si="2"/>
        <v>12100</v>
      </c>
      <c r="U19" s="94">
        <f t="shared" si="9"/>
        <v>6655</v>
      </c>
      <c r="V19" s="94">
        <f t="shared" si="3"/>
        <v>799</v>
      </c>
      <c r="W19" s="100">
        <f t="shared" si="10"/>
        <v>50</v>
      </c>
      <c r="X19" s="91">
        <v>0</v>
      </c>
      <c r="Y19" s="90"/>
      <c r="Z19" s="95"/>
      <c r="AA19" s="93">
        <f t="shared" si="4"/>
        <v>11251</v>
      </c>
      <c r="AB19" s="96"/>
      <c r="AD19" s="67"/>
    </row>
    <row r="20" spans="1:30" customFormat="1" ht="34.5" customHeight="1">
      <c r="A20" s="88">
        <f t="shared" si="11"/>
        <v>17</v>
      </c>
      <c r="B20" s="98">
        <v>22176</v>
      </c>
      <c r="C20" s="87" t="s">
        <v>101</v>
      </c>
      <c r="D20" s="99" t="s">
        <v>67</v>
      </c>
      <c r="E20" s="89"/>
      <c r="F20" s="89"/>
      <c r="G20" s="90">
        <v>605</v>
      </c>
      <c r="H20" s="91">
        <v>23</v>
      </c>
      <c r="I20" s="90">
        <v>0</v>
      </c>
      <c r="J20" s="92">
        <f t="shared" si="0"/>
        <v>23</v>
      </c>
      <c r="K20" s="93">
        <f t="shared" si="5"/>
        <v>7653</v>
      </c>
      <c r="L20" s="90">
        <f t="shared" si="6"/>
        <v>6262</v>
      </c>
      <c r="M20" s="93">
        <f t="shared" si="7"/>
        <v>13915</v>
      </c>
      <c r="N20" s="87">
        <v>0</v>
      </c>
      <c r="O20" s="94">
        <f t="shared" si="8"/>
        <v>0</v>
      </c>
      <c r="P20" s="87">
        <v>0</v>
      </c>
      <c r="Q20" s="93">
        <v>0</v>
      </c>
      <c r="R20" s="93">
        <v>0</v>
      </c>
      <c r="S20" s="90"/>
      <c r="T20" s="94">
        <f t="shared" si="2"/>
        <v>13915</v>
      </c>
      <c r="U20" s="94">
        <f t="shared" si="9"/>
        <v>7653</v>
      </c>
      <c r="V20" s="94">
        <f t="shared" si="3"/>
        <v>918</v>
      </c>
      <c r="W20" s="100">
        <f t="shared" si="10"/>
        <v>58</v>
      </c>
      <c r="X20" s="91">
        <v>0</v>
      </c>
      <c r="Y20" s="90"/>
      <c r="Z20" s="95"/>
      <c r="AA20" s="93">
        <f t="shared" si="4"/>
        <v>12939</v>
      </c>
      <c r="AB20" s="96"/>
      <c r="AD20" s="67"/>
    </row>
    <row r="21" spans="1:30" customFormat="1" ht="34.5" customHeight="1">
      <c r="A21" s="88">
        <f t="shared" si="11"/>
        <v>18</v>
      </c>
      <c r="B21" s="98">
        <v>22215</v>
      </c>
      <c r="C21" s="87" t="s">
        <v>103</v>
      </c>
      <c r="D21" s="99" t="s">
        <v>67</v>
      </c>
      <c r="E21" s="89"/>
      <c r="F21" s="89"/>
      <c r="G21" s="90">
        <v>605</v>
      </c>
      <c r="H21" s="91">
        <v>21</v>
      </c>
      <c r="I21" s="90">
        <v>0</v>
      </c>
      <c r="J21" s="92">
        <f t="shared" si="0"/>
        <v>21</v>
      </c>
      <c r="K21" s="93">
        <f t="shared" si="5"/>
        <v>6988</v>
      </c>
      <c r="L21" s="90">
        <f t="shared" si="6"/>
        <v>5717</v>
      </c>
      <c r="M21" s="93">
        <f t="shared" si="7"/>
        <v>12705</v>
      </c>
      <c r="N21" s="87">
        <v>89</v>
      </c>
      <c r="O21" s="94">
        <f t="shared" si="8"/>
        <v>7404</v>
      </c>
      <c r="P21" s="87">
        <v>400</v>
      </c>
      <c r="Q21" s="93">
        <v>0</v>
      </c>
      <c r="R21" s="93">
        <v>0</v>
      </c>
      <c r="S21" s="90"/>
      <c r="T21" s="94">
        <f t="shared" si="2"/>
        <v>20509</v>
      </c>
      <c r="U21" s="94">
        <f t="shared" si="9"/>
        <v>14792</v>
      </c>
      <c r="V21" s="94">
        <f t="shared" si="3"/>
        <v>839</v>
      </c>
      <c r="W21" s="100">
        <f t="shared" si="10"/>
        <v>111</v>
      </c>
      <c r="X21" s="91">
        <v>460</v>
      </c>
      <c r="Y21" s="90"/>
      <c r="Z21" s="95"/>
      <c r="AA21" s="93">
        <f t="shared" si="4"/>
        <v>19099</v>
      </c>
      <c r="AB21" s="96"/>
      <c r="AD21" s="67"/>
    </row>
    <row r="22" spans="1:30" customFormat="1" ht="34.5" customHeight="1">
      <c r="A22" s="88">
        <f t="shared" si="11"/>
        <v>19</v>
      </c>
      <c r="B22" s="98">
        <v>22229</v>
      </c>
      <c r="C22" s="87" t="s">
        <v>114</v>
      </c>
      <c r="D22" s="99" t="s">
        <v>25</v>
      </c>
      <c r="E22" s="89"/>
      <c r="F22" s="89"/>
      <c r="G22" s="90">
        <v>605</v>
      </c>
      <c r="H22" s="91">
        <v>10</v>
      </c>
      <c r="I22" s="90">
        <v>0</v>
      </c>
      <c r="J22" s="92">
        <f t="shared" si="0"/>
        <v>10</v>
      </c>
      <c r="K22" s="93">
        <f t="shared" si="5"/>
        <v>3328</v>
      </c>
      <c r="L22" s="90">
        <f t="shared" si="6"/>
        <v>2723</v>
      </c>
      <c r="M22" s="93">
        <f t="shared" si="7"/>
        <v>6051</v>
      </c>
      <c r="N22" s="87">
        <v>40</v>
      </c>
      <c r="O22" s="94">
        <f t="shared" si="8"/>
        <v>3328</v>
      </c>
      <c r="P22" s="87">
        <v>160</v>
      </c>
      <c r="Q22" s="93">
        <v>135</v>
      </c>
      <c r="R22" s="93">
        <v>0</v>
      </c>
      <c r="S22" s="90"/>
      <c r="T22" s="94">
        <f t="shared" si="2"/>
        <v>9674</v>
      </c>
      <c r="U22" s="94">
        <f t="shared" si="9"/>
        <v>6951</v>
      </c>
      <c r="V22" s="94">
        <f t="shared" si="3"/>
        <v>399</v>
      </c>
      <c r="W22" s="100">
        <f t="shared" si="10"/>
        <v>53</v>
      </c>
      <c r="X22" s="91">
        <v>220</v>
      </c>
      <c r="Y22" s="90"/>
      <c r="Z22" s="95"/>
      <c r="AA22" s="93">
        <f t="shared" si="4"/>
        <v>9002</v>
      </c>
      <c r="AB22" s="96"/>
      <c r="AD22" s="67"/>
    </row>
    <row r="23" spans="1:30" customFormat="1" ht="34.5" customHeight="1">
      <c r="A23" s="88">
        <f t="shared" si="11"/>
        <v>20</v>
      </c>
      <c r="B23" s="98">
        <v>22232</v>
      </c>
      <c r="C23" s="87" t="s">
        <v>115</v>
      </c>
      <c r="D23" s="99" t="s">
        <v>25</v>
      </c>
      <c r="E23" s="89"/>
      <c r="F23" s="89"/>
      <c r="G23" s="90">
        <v>605</v>
      </c>
      <c r="H23" s="91">
        <v>10</v>
      </c>
      <c r="I23" s="90">
        <v>0</v>
      </c>
      <c r="J23" s="92">
        <f t="shared" si="0"/>
        <v>10</v>
      </c>
      <c r="K23" s="93">
        <f t="shared" si="5"/>
        <v>3328</v>
      </c>
      <c r="L23" s="90">
        <f t="shared" si="6"/>
        <v>2723</v>
      </c>
      <c r="M23" s="93">
        <f t="shared" si="7"/>
        <v>6051</v>
      </c>
      <c r="N23" s="87">
        <v>40</v>
      </c>
      <c r="O23" s="94">
        <f t="shared" si="8"/>
        <v>3328</v>
      </c>
      <c r="P23" s="87">
        <v>200</v>
      </c>
      <c r="Q23" s="93">
        <v>225</v>
      </c>
      <c r="R23" s="93">
        <v>0</v>
      </c>
      <c r="S23" s="90"/>
      <c r="T23" s="94">
        <f t="shared" si="2"/>
        <v>9804</v>
      </c>
      <c r="U23" s="94">
        <f t="shared" si="9"/>
        <v>7081</v>
      </c>
      <c r="V23" s="94">
        <f t="shared" si="3"/>
        <v>399</v>
      </c>
      <c r="W23" s="100">
        <f t="shared" si="10"/>
        <v>54</v>
      </c>
      <c r="X23" s="91">
        <v>180</v>
      </c>
      <c r="Y23" s="90"/>
      <c r="Z23" s="95"/>
      <c r="AA23" s="93">
        <f t="shared" si="4"/>
        <v>9171</v>
      </c>
      <c r="AB23" s="96"/>
      <c r="AD23" s="67"/>
    </row>
    <row r="24" spans="1:30" customFormat="1" ht="34.5" customHeight="1">
      <c r="A24" s="88">
        <f t="shared" si="11"/>
        <v>21</v>
      </c>
      <c r="B24" s="98">
        <v>22241</v>
      </c>
      <c r="C24" s="87" t="s">
        <v>119</v>
      </c>
      <c r="D24" s="99" t="s">
        <v>67</v>
      </c>
      <c r="E24" s="89"/>
      <c r="F24" s="89"/>
      <c r="G24" s="90">
        <v>605</v>
      </c>
      <c r="H24" s="91">
        <v>24</v>
      </c>
      <c r="I24" s="90">
        <v>0</v>
      </c>
      <c r="J24" s="92">
        <f t="shared" si="0"/>
        <v>24</v>
      </c>
      <c r="K24" s="93">
        <f t="shared" si="5"/>
        <v>7986</v>
      </c>
      <c r="L24" s="90">
        <f t="shared" si="6"/>
        <v>6534</v>
      </c>
      <c r="M24" s="93">
        <f t="shared" si="7"/>
        <v>14520</v>
      </c>
      <c r="N24" s="87">
        <v>0</v>
      </c>
      <c r="O24" s="94">
        <f t="shared" si="8"/>
        <v>0</v>
      </c>
      <c r="P24" s="87">
        <v>0</v>
      </c>
      <c r="Q24" s="93">
        <v>0</v>
      </c>
      <c r="R24" s="93">
        <v>0</v>
      </c>
      <c r="S24" s="90"/>
      <c r="T24" s="94">
        <f t="shared" si="2"/>
        <v>14520</v>
      </c>
      <c r="U24" s="94">
        <f t="shared" si="9"/>
        <v>7986</v>
      </c>
      <c r="V24" s="94">
        <f t="shared" si="3"/>
        <v>958</v>
      </c>
      <c r="W24" s="100">
        <f t="shared" si="10"/>
        <v>60</v>
      </c>
      <c r="X24" s="91">
        <v>0</v>
      </c>
      <c r="Y24" s="90"/>
      <c r="Z24" s="95"/>
      <c r="AA24" s="93">
        <f t="shared" si="4"/>
        <v>13502</v>
      </c>
      <c r="AB24" s="96"/>
      <c r="AD24" s="67"/>
    </row>
    <row r="25" spans="1:30" customFormat="1" ht="34.5" customHeight="1">
      <c r="A25" s="88">
        <f t="shared" si="11"/>
        <v>22</v>
      </c>
      <c r="B25" s="98">
        <v>22242</v>
      </c>
      <c r="C25" s="87" t="s">
        <v>66</v>
      </c>
      <c r="D25" s="99" t="s">
        <v>67</v>
      </c>
      <c r="E25" s="89"/>
      <c r="F25" s="89"/>
      <c r="G25" s="90">
        <v>605</v>
      </c>
      <c r="H25" s="91">
        <v>22</v>
      </c>
      <c r="I25" s="90">
        <v>0</v>
      </c>
      <c r="J25" s="92">
        <f t="shared" si="0"/>
        <v>22</v>
      </c>
      <c r="K25" s="93">
        <f t="shared" si="5"/>
        <v>7321</v>
      </c>
      <c r="L25" s="90">
        <f t="shared" si="6"/>
        <v>5990</v>
      </c>
      <c r="M25" s="93">
        <f t="shared" si="7"/>
        <v>13311</v>
      </c>
      <c r="N25" s="87">
        <v>0</v>
      </c>
      <c r="O25" s="94">
        <f t="shared" si="8"/>
        <v>0</v>
      </c>
      <c r="P25" s="87">
        <v>0</v>
      </c>
      <c r="Q25" s="93">
        <v>0</v>
      </c>
      <c r="R25" s="93">
        <v>0</v>
      </c>
      <c r="S25" s="90"/>
      <c r="T25" s="94">
        <f t="shared" si="2"/>
        <v>13311</v>
      </c>
      <c r="U25" s="94">
        <f t="shared" si="9"/>
        <v>7321</v>
      </c>
      <c r="V25" s="94">
        <f t="shared" si="3"/>
        <v>879</v>
      </c>
      <c r="W25" s="100">
        <f t="shared" si="10"/>
        <v>55</v>
      </c>
      <c r="X25" s="91">
        <v>0</v>
      </c>
      <c r="Y25" s="90"/>
      <c r="Z25" s="95"/>
      <c r="AA25" s="93">
        <f t="shared" si="4"/>
        <v>12377</v>
      </c>
      <c r="AB25" s="96"/>
      <c r="AD25" s="67"/>
    </row>
    <row r="26" spans="1:30" customFormat="1" ht="34.5" customHeight="1">
      <c r="A26" s="88">
        <f t="shared" si="11"/>
        <v>23</v>
      </c>
      <c r="B26" s="98">
        <v>22265</v>
      </c>
      <c r="C26" s="87" t="s">
        <v>135</v>
      </c>
      <c r="D26" s="99" t="s">
        <v>82</v>
      </c>
      <c r="E26" s="89"/>
      <c r="F26" s="89"/>
      <c r="G26" s="90">
        <v>605</v>
      </c>
      <c r="H26" s="91">
        <v>23</v>
      </c>
      <c r="I26" s="90">
        <v>0</v>
      </c>
      <c r="J26" s="92">
        <f t="shared" si="0"/>
        <v>23</v>
      </c>
      <c r="K26" s="93">
        <f t="shared" si="5"/>
        <v>7653</v>
      </c>
      <c r="L26" s="90">
        <f t="shared" si="6"/>
        <v>6262</v>
      </c>
      <c r="M26" s="93">
        <f t="shared" si="7"/>
        <v>13915</v>
      </c>
      <c r="N26" s="87">
        <v>100</v>
      </c>
      <c r="O26" s="94">
        <f t="shared" si="8"/>
        <v>8319</v>
      </c>
      <c r="P26" s="87">
        <v>460</v>
      </c>
      <c r="Q26" s="93">
        <v>0</v>
      </c>
      <c r="R26" s="93">
        <v>0</v>
      </c>
      <c r="S26" s="90"/>
      <c r="T26" s="94">
        <f t="shared" si="2"/>
        <v>22694</v>
      </c>
      <c r="U26" s="94">
        <f t="shared" si="9"/>
        <v>16432</v>
      </c>
      <c r="V26" s="94">
        <f t="shared" si="3"/>
        <v>918</v>
      </c>
      <c r="W26" s="100">
        <f t="shared" si="10"/>
        <v>124</v>
      </c>
      <c r="X26" s="91">
        <v>460</v>
      </c>
      <c r="Y26" s="90"/>
      <c r="Z26" s="95"/>
      <c r="AA26" s="93">
        <f t="shared" si="4"/>
        <v>21192</v>
      </c>
      <c r="AB26" s="96"/>
      <c r="AD26" s="67"/>
    </row>
    <row r="27" spans="1:30" customFormat="1" ht="34.5" customHeight="1">
      <c r="A27" s="88">
        <f t="shared" si="11"/>
        <v>24</v>
      </c>
      <c r="B27" s="98">
        <v>22271</v>
      </c>
      <c r="C27" s="87" t="s">
        <v>141</v>
      </c>
      <c r="D27" s="99" t="s">
        <v>97</v>
      </c>
      <c r="E27" s="89"/>
      <c r="F27" s="89"/>
      <c r="G27" s="90">
        <v>605</v>
      </c>
      <c r="H27" s="91">
        <v>23</v>
      </c>
      <c r="I27" s="90">
        <v>0</v>
      </c>
      <c r="J27" s="92">
        <f t="shared" si="0"/>
        <v>23</v>
      </c>
      <c r="K27" s="93">
        <f t="shared" si="5"/>
        <v>7653</v>
      </c>
      <c r="L27" s="90">
        <f t="shared" si="6"/>
        <v>6262</v>
      </c>
      <c r="M27" s="93">
        <f t="shared" si="7"/>
        <v>13915</v>
      </c>
      <c r="N27" s="87">
        <v>92</v>
      </c>
      <c r="O27" s="94">
        <f t="shared" si="8"/>
        <v>7653</v>
      </c>
      <c r="P27" s="87">
        <v>460</v>
      </c>
      <c r="Q27" s="93">
        <v>540</v>
      </c>
      <c r="R27" s="93">
        <v>0</v>
      </c>
      <c r="S27" s="90"/>
      <c r="T27" s="94">
        <f t="shared" si="2"/>
        <v>22568</v>
      </c>
      <c r="U27" s="94">
        <f t="shared" si="9"/>
        <v>16306</v>
      </c>
      <c r="V27" s="94">
        <f t="shared" si="3"/>
        <v>918</v>
      </c>
      <c r="W27" s="100">
        <f t="shared" si="10"/>
        <v>123</v>
      </c>
      <c r="X27" s="91">
        <v>460</v>
      </c>
      <c r="Y27" s="90"/>
      <c r="Z27" s="95"/>
      <c r="AA27" s="93">
        <f t="shared" si="4"/>
        <v>21067</v>
      </c>
      <c r="AB27" s="96"/>
      <c r="AD27" s="67"/>
    </row>
    <row r="28" spans="1:30" customFormat="1" ht="34.5" customHeight="1">
      <c r="A28" s="88">
        <f t="shared" si="11"/>
        <v>25</v>
      </c>
      <c r="B28" s="98">
        <v>22273</v>
      </c>
      <c r="C28" s="87" t="s">
        <v>143</v>
      </c>
      <c r="D28" s="99" t="s">
        <v>25</v>
      </c>
      <c r="E28" s="89"/>
      <c r="F28" s="89"/>
      <c r="G28" s="90">
        <v>605</v>
      </c>
      <c r="H28" s="91">
        <v>21</v>
      </c>
      <c r="I28" s="90">
        <v>0</v>
      </c>
      <c r="J28" s="92">
        <f t="shared" si="0"/>
        <v>21</v>
      </c>
      <c r="K28" s="93">
        <f t="shared" si="5"/>
        <v>6988</v>
      </c>
      <c r="L28" s="90">
        <f t="shared" si="6"/>
        <v>5717</v>
      </c>
      <c r="M28" s="93">
        <f t="shared" si="7"/>
        <v>12705</v>
      </c>
      <c r="N28" s="87">
        <v>80</v>
      </c>
      <c r="O28" s="94">
        <f t="shared" si="8"/>
        <v>6655</v>
      </c>
      <c r="P28" s="87">
        <v>400</v>
      </c>
      <c r="Q28" s="93">
        <v>495</v>
      </c>
      <c r="R28" s="93">
        <v>0</v>
      </c>
      <c r="S28" s="90"/>
      <c r="T28" s="94">
        <f t="shared" si="2"/>
        <v>20255</v>
      </c>
      <c r="U28" s="94">
        <f t="shared" si="9"/>
        <v>14538</v>
      </c>
      <c r="V28" s="94">
        <f t="shared" si="3"/>
        <v>839</v>
      </c>
      <c r="W28" s="100">
        <f t="shared" si="10"/>
        <v>110</v>
      </c>
      <c r="X28" s="91">
        <v>380</v>
      </c>
      <c r="Y28" s="90"/>
      <c r="Z28" s="95"/>
      <c r="AA28" s="93">
        <f t="shared" si="4"/>
        <v>18926</v>
      </c>
      <c r="AB28" s="96"/>
      <c r="AD28" s="67"/>
    </row>
    <row r="29" spans="1:30" customFormat="1" ht="34.5" customHeight="1">
      <c r="A29" s="88">
        <f t="shared" si="11"/>
        <v>26</v>
      </c>
      <c r="B29" s="98">
        <v>22274</v>
      </c>
      <c r="C29" s="87" t="s">
        <v>144</v>
      </c>
      <c r="D29" s="99" t="s">
        <v>25</v>
      </c>
      <c r="E29" s="89"/>
      <c r="F29" s="89"/>
      <c r="G29" s="90">
        <v>605</v>
      </c>
      <c r="H29" s="91">
        <v>21</v>
      </c>
      <c r="I29" s="90">
        <v>0</v>
      </c>
      <c r="J29" s="92">
        <f t="shared" si="0"/>
        <v>21</v>
      </c>
      <c r="K29" s="93">
        <f t="shared" si="5"/>
        <v>6988</v>
      </c>
      <c r="L29" s="90">
        <f t="shared" si="6"/>
        <v>5717</v>
      </c>
      <c r="M29" s="93">
        <f t="shared" si="7"/>
        <v>12705</v>
      </c>
      <c r="N29" s="87">
        <v>84</v>
      </c>
      <c r="O29" s="94">
        <f t="shared" si="8"/>
        <v>6988</v>
      </c>
      <c r="P29" s="87">
        <v>420</v>
      </c>
      <c r="Q29" s="93">
        <v>360</v>
      </c>
      <c r="R29" s="93">
        <v>0</v>
      </c>
      <c r="S29" s="90"/>
      <c r="T29" s="94">
        <f t="shared" si="2"/>
        <v>20473</v>
      </c>
      <c r="U29" s="94">
        <f t="shared" si="9"/>
        <v>14756</v>
      </c>
      <c r="V29" s="94">
        <f t="shared" si="3"/>
        <v>839</v>
      </c>
      <c r="W29" s="100">
        <f t="shared" si="10"/>
        <v>111</v>
      </c>
      <c r="X29" s="91">
        <v>460</v>
      </c>
      <c r="Y29" s="90"/>
      <c r="Z29" s="95"/>
      <c r="AA29" s="93">
        <f t="shared" si="4"/>
        <v>19063</v>
      </c>
      <c r="AB29" s="96"/>
      <c r="AD29" s="67"/>
    </row>
    <row r="30" spans="1:30" customFormat="1" ht="34.5" customHeight="1">
      <c r="A30" s="88">
        <f t="shared" si="11"/>
        <v>27</v>
      </c>
      <c r="B30" s="98">
        <v>22277</v>
      </c>
      <c r="C30" s="87" t="s">
        <v>185</v>
      </c>
      <c r="D30" s="99" t="s">
        <v>25</v>
      </c>
      <c r="E30" s="89"/>
      <c r="F30" s="89"/>
      <c r="G30" s="90">
        <v>605</v>
      </c>
      <c r="H30" s="91">
        <v>15</v>
      </c>
      <c r="I30" s="90">
        <v>0</v>
      </c>
      <c r="J30" s="92">
        <f t="shared" si="0"/>
        <v>15</v>
      </c>
      <c r="K30" s="93">
        <f t="shared" si="5"/>
        <v>4991</v>
      </c>
      <c r="L30" s="90">
        <f t="shared" si="6"/>
        <v>4084</v>
      </c>
      <c r="M30" s="93">
        <f t="shared" si="7"/>
        <v>9075</v>
      </c>
      <c r="N30" s="87">
        <v>60</v>
      </c>
      <c r="O30" s="94">
        <f t="shared" si="8"/>
        <v>4991</v>
      </c>
      <c r="P30" s="87">
        <v>300</v>
      </c>
      <c r="Q30" s="93">
        <v>270</v>
      </c>
      <c r="R30" s="93">
        <v>0</v>
      </c>
      <c r="S30" s="90"/>
      <c r="T30" s="94">
        <f t="shared" si="2"/>
        <v>14636</v>
      </c>
      <c r="U30" s="94">
        <f t="shared" si="9"/>
        <v>10552</v>
      </c>
      <c r="V30" s="94">
        <f t="shared" si="3"/>
        <v>599</v>
      </c>
      <c r="W30" s="100">
        <f t="shared" si="10"/>
        <v>80</v>
      </c>
      <c r="X30" s="91">
        <v>320</v>
      </c>
      <c r="Y30" s="90"/>
      <c r="Z30" s="95"/>
      <c r="AA30" s="93">
        <f t="shared" si="4"/>
        <v>13637</v>
      </c>
      <c r="AB30" s="96"/>
      <c r="AD30" s="67"/>
    </row>
    <row r="31" spans="1:30" customFormat="1" ht="34.5" customHeight="1">
      <c r="A31" s="88">
        <f t="shared" si="11"/>
        <v>28</v>
      </c>
      <c r="B31" s="98">
        <v>22279</v>
      </c>
      <c r="C31" s="87" t="s">
        <v>186</v>
      </c>
      <c r="D31" s="99" t="s">
        <v>67</v>
      </c>
      <c r="E31" s="89"/>
      <c r="F31" s="89"/>
      <c r="G31" s="90">
        <v>605</v>
      </c>
      <c r="H31" s="91">
        <v>25</v>
      </c>
      <c r="I31" s="90">
        <v>0</v>
      </c>
      <c r="J31" s="92">
        <f t="shared" si="0"/>
        <v>25</v>
      </c>
      <c r="K31" s="93">
        <f t="shared" si="5"/>
        <v>8319</v>
      </c>
      <c r="L31" s="90">
        <f t="shared" si="6"/>
        <v>6806</v>
      </c>
      <c r="M31" s="93">
        <f t="shared" si="7"/>
        <v>15125</v>
      </c>
      <c r="N31" s="87">
        <v>0</v>
      </c>
      <c r="O31" s="94">
        <f t="shared" si="8"/>
        <v>0</v>
      </c>
      <c r="P31" s="87">
        <v>0</v>
      </c>
      <c r="Q31" s="93">
        <v>0</v>
      </c>
      <c r="R31" s="93">
        <v>0</v>
      </c>
      <c r="S31" s="90"/>
      <c r="T31" s="94">
        <f t="shared" si="2"/>
        <v>15125</v>
      </c>
      <c r="U31" s="94">
        <f t="shared" si="9"/>
        <v>8319</v>
      </c>
      <c r="V31" s="94">
        <f t="shared" ref="V31:V39" si="17">ROUND(+K31*12%,0)</f>
        <v>998</v>
      </c>
      <c r="W31" s="100">
        <f t="shared" si="10"/>
        <v>63</v>
      </c>
      <c r="X31" s="91">
        <v>0</v>
      </c>
      <c r="Y31" s="90"/>
      <c r="Z31" s="95"/>
      <c r="AA31" s="93">
        <f t="shared" si="4"/>
        <v>14064</v>
      </c>
      <c r="AB31" s="96"/>
      <c r="AD31" s="67"/>
    </row>
    <row r="32" spans="1:30" customFormat="1" ht="34.5" customHeight="1">
      <c r="A32" s="88">
        <f t="shared" si="11"/>
        <v>29</v>
      </c>
      <c r="B32" s="98">
        <v>22294</v>
      </c>
      <c r="C32" s="87" t="s">
        <v>187</v>
      </c>
      <c r="D32" s="99" t="s">
        <v>67</v>
      </c>
      <c r="E32" s="89"/>
      <c r="F32" s="89"/>
      <c r="G32" s="90">
        <v>605</v>
      </c>
      <c r="H32" s="91">
        <v>23</v>
      </c>
      <c r="I32" s="90">
        <v>0</v>
      </c>
      <c r="J32" s="92">
        <f t="shared" si="0"/>
        <v>23</v>
      </c>
      <c r="K32" s="93">
        <f t="shared" si="5"/>
        <v>7653</v>
      </c>
      <c r="L32" s="90">
        <f t="shared" si="6"/>
        <v>6262</v>
      </c>
      <c r="M32" s="93">
        <f t="shared" si="7"/>
        <v>13915</v>
      </c>
      <c r="N32" s="87">
        <v>0</v>
      </c>
      <c r="O32" s="94">
        <f t="shared" si="8"/>
        <v>0</v>
      </c>
      <c r="P32" s="87">
        <v>0</v>
      </c>
      <c r="Q32" s="93">
        <v>0</v>
      </c>
      <c r="R32" s="93">
        <v>0</v>
      </c>
      <c r="S32" s="90"/>
      <c r="T32" s="94">
        <f t="shared" si="2"/>
        <v>13915</v>
      </c>
      <c r="U32" s="94">
        <f t="shared" si="9"/>
        <v>7653</v>
      </c>
      <c r="V32" s="94">
        <f t="shared" si="17"/>
        <v>918</v>
      </c>
      <c r="W32" s="100">
        <f t="shared" si="10"/>
        <v>58</v>
      </c>
      <c r="X32" s="91">
        <v>300</v>
      </c>
      <c r="Y32" s="90"/>
      <c r="Z32" s="95"/>
      <c r="AA32" s="93">
        <f t="shared" si="4"/>
        <v>12639</v>
      </c>
      <c r="AB32" s="96"/>
      <c r="AD32" s="67"/>
    </row>
    <row r="33" spans="1:30" customFormat="1" ht="34.5" customHeight="1">
      <c r="A33" s="88">
        <f t="shared" si="11"/>
        <v>30</v>
      </c>
      <c r="B33" s="98">
        <v>22295</v>
      </c>
      <c r="C33" s="87" t="s">
        <v>188</v>
      </c>
      <c r="D33" s="99" t="s">
        <v>67</v>
      </c>
      <c r="E33" s="89"/>
      <c r="F33" s="89"/>
      <c r="G33" s="90">
        <v>605</v>
      </c>
      <c r="H33" s="91">
        <v>24</v>
      </c>
      <c r="I33" s="90">
        <v>0</v>
      </c>
      <c r="J33" s="92">
        <f t="shared" si="0"/>
        <v>24</v>
      </c>
      <c r="K33" s="93">
        <f t="shared" si="5"/>
        <v>7986</v>
      </c>
      <c r="L33" s="90">
        <f t="shared" si="6"/>
        <v>6534</v>
      </c>
      <c r="M33" s="93">
        <f t="shared" si="7"/>
        <v>14520</v>
      </c>
      <c r="N33" s="87">
        <v>0</v>
      </c>
      <c r="O33" s="94">
        <f t="shared" si="8"/>
        <v>0</v>
      </c>
      <c r="P33" s="87">
        <v>0</v>
      </c>
      <c r="Q33" s="93">
        <v>0</v>
      </c>
      <c r="R33" s="93">
        <v>0</v>
      </c>
      <c r="S33" s="90"/>
      <c r="T33" s="94">
        <f t="shared" si="2"/>
        <v>14520</v>
      </c>
      <c r="U33" s="94">
        <f t="shared" si="9"/>
        <v>7986</v>
      </c>
      <c r="V33" s="94">
        <f t="shared" si="17"/>
        <v>958</v>
      </c>
      <c r="W33" s="100">
        <f t="shared" si="10"/>
        <v>60</v>
      </c>
      <c r="X33" s="91">
        <v>0</v>
      </c>
      <c r="Y33" s="90"/>
      <c r="Z33" s="95"/>
      <c r="AA33" s="93">
        <f t="shared" si="4"/>
        <v>13502</v>
      </c>
      <c r="AB33" s="96"/>
      <c r="AD33" s="67"/>
    </row>
    <row r="34" spans="1:30" customFormat="1" ht="34.5" customHeight="1">
      <c r="A34" s="88">
        <f t="shared" si="11"/>
        <v>31</v>
      </c>
      <c r="B34" s="98">
        <v>22325</v>
      </c>
      <c r="C34" s="87" t="s">
        <v>189</v>
      </c>
      <c r="D34" s="99" t="s">
        <v>67</v>
      </c>
      <c r="E34" s="89"/>
      <c r="F34" s="89"/>
      <c r="G34" s="90">
        <v>605</v>
      </c>
      <c r="H34" s="91">
        <v>21</v>
      </c>
      <c r="I34" s="90">
        <v>0</v>
      </c>
      <c r="J34" s="92">
        <f t="shared" si="0"/>
        <v>21</v>
      </c>
      <c r="K34" s="93">
        <f t="shared" si="5"/>
        <v>6988</v>
      </c>
      <c r="L34" s="90">
        <f t="shared" si="6"/>
        <v>5717</v>
      </c>
      <c r="M34" s="93">
        <f t="shared" si="7"/>
        <v>12705</v>
      </c>
      <c r="N34" s="87">
        <v>0</v>
      </c>
      <c r="O34" s="94">
        <f t="shared" si="8"/>
        <v>0</v>
      </c>
      <c r="P34" s="87">
        <v>0</v>
      </c>
      <c r="Q34" s="93">
        <v>0</v>
      </c>
      <c r="R34" s="93">
        <v>0</v>
      </c>
      <c r="S34" s="90"/>
      <c r="T34" s="94">
        <f t="shared" si="2"/>
        <v>12705</v>
      </c>
      <c r="U34" s="94">
        <f t="shared" si="9"/>
        <v>6988</v>
      </c>
      <c r="V34" s="94">
        <f t="shared" si="17"/>
        <v>839</v>
      </c>
      <c r="W34" s="100">
        <f t="shared" si="10"/>
        <v>53</v>
      </c>
      <c r="X34" s="91">
        <v>80</v>
      </c>
      <c r="Y34" s="90"/>
      <c r="Z34" s="95"/>
      <c r="AA34" s="93">
        <f t="shared" si="4"/>
        <v>11733</v>
      </c>
      <c r="AB34" s="96"/>
      <c r="AD34" s="67"/>
    </row>
    <row r="35" spans="1:30" customFormat="1" ht="34.5" customHeight="1">
      <c r="A35" s="88">
        <f t="shared" si="11"/>
        <v>32</v>
      </c>
      <c r="B35" s="98">
        <v>22330</v>
      </c>
      <c r="C35" s="87" t="s">
        <v>190</v>
      </c>
      <c r="D35" s="99" t="s">
        <v>67</v>
      </c>
      <c r="E35" s="89"/>
      <c r="F35" s="89"/>
      <c r="G35" s="90">
        <v>605</v>
      </c>
      <c r="H35" s="91">
        <v>24</v>
      </c>
      <c r="I35" s="90">
        <v>0</v>
      </c>
      <c r="J35" s="92">
        <f t="shared" si="0"/>
        <v>24</v>
      </c>
      <c r="K35" s="93">
        <f t="shared" si="5"/>
        <v>7986</v>
      </c>
      <c r="L35" s="90">
        <f t="shared" si="6"/>
        <v>6534</v>
      </c>
      <c r="M35" s="93">
        <f t="shared" si="7"/>
        <v>14520</v>
      </c>
      <c r="N35" s="87">
        <v>62</v>
      </c>
      <c r="O35" s="94">
        <f t="shared" si="8"/>
        <v>5158</v>
      </c>
      <c r="P35" s="87">
        <v>280</v>
      </c>
      <c r="Q35" s="93">
        <v>0</v>
      </c>
      <c r="R35" s="93">
        <v>0</v>
      </c>
      <c r="S35" s="90"/>
      <c r="T35" s="94">
        <f t="shared" si="2"/>
        <v>19958</v>
      </c>
      <c r="U35" s="94">
        <f t="shared" si="9"/>
        <v>13424</v>
      </c>
      <c r="V35" s="94">
        <f t="shared" si="17"/>
        <v>958</v>
      </c>
      <c r="W35" s="100">
        <f t="shared" si="10"/>
        <v>101</v>
      </c>
      <c r="X35" s="91">
        <v>480</v>
      </c>
      <c r="Y35" s="90"/>
      <c r="Z35" s="95"/>
      <c r="AA35" s="93">
        <f t="shared" si="4"/>
        <v>18419</v>
      </c>
      <c r="AB35" s="96"/>
      <c r="AD35" s="67"/>
    </row>
    <row r="36" spans="1:30" customFormat="1" ht="34.5" customHeight="1">
      <c r="A36" s="88">
        <f t="shared" si="11"/>
        <v>33</v>
      </c>
      <c r="B36" s="98">
        <v>22341</v>
      </c>
      <c r="C36" s="87" t="s">
        <v>192</v>
      </c>
      <c r="D36" s="99" t="s">
        <v>25</v>
      </c>
      <c r="E36" s="89"/>
      <c r="F36" s="89"/>
      <c r="G36" s="90">
        <v>605</v>
      </c>
      <c r="H36" s="91">
        <v>17</v>
      </c>
      <c r="I36" s="90">
        <v>0</v>
      </c>
      <c r="J36" s="92">
        <f t="shared" ref="J36:J46" si="18">H36+I36</f>
        <v>17</v>
      </c>
      <c r="K36" s="93">
        <f t="shared" si="5"/>
        <v>5657</v>
      </c>
      <c r="L36" s="90">
        <f t="shared" si="6"/>
        <v>4628</v>
      </c>
      <c r="M36" s="93">
        <f t="shared" si="7"/>
        <v>10285</v>
      </c>
      <c r="N36" s="87">
        <v>68</v>
      </c>
      <c r="O36" s="94">
        <f t="shared" si="8"/>
        <v>5657</v>
      </c>
      <c r="P36" s="87">
        <v>340</v>
      </c>
      <c r="Q36" s="93">
        <v>180</v>
      </c>
      <c r="R36" s="93">
        <v>0</v>
      </c>
      <c r="S36" s="90"/>
      <c r="T36" s="94">
        <f t="shared" ref="T36:T46" si="19">ROUND(K36+L36+O36+P36+Q36+R36+S36,0)</f>
        <v>16462</v>
      </c>
      <c r="U36" s="94">
        <f t="shared" si="9"/>
        <v>11834</v>
      </c>
      <c r="V36" s="94">
        <f t="shared" si="17"/>
        <v>679</v>
      </c>
      <c r="W36" s="100">
        <f t="shared" si="10"/>
        <v>89</v>
      </c>
      <c r="X36" s="91">
        <v>360</v>
      </c>
      <c r="Y36" s="90"/>
      <c r="Z36" s="95"/>
      <c r="AA36" s="93">
        <f t="shared" si="4"/>
        <v>15334</v>
      </c>
      <c r="AB36" s="96"/>
      <c r="AD36" s="67"/>
    </row>
    <row r="37" spans="1:30" customFormat="1" ht="34.5" customHeight="1">
      <c r="A37" s="88">
        <f t="shared" si="11"/>
        <v>34</v>
      </c>
      <c r="B37" s="98">
        <v>22345</v>
      </c>
      <c r="C37" s="87" t="s">
        <v>193</v>
      </c>
      <c r="D37" s="99" t="s">
        <v>25</v>
      </c>
      <c r="E37" s="89"/>
      <c r="F37" s="89"/>
      <c r="G37" s="90">
        <v>605</v>
      </c>
      <c r="H37" s="91">
        <v>20</v>
      </c>
      <c r="I37" s="90">
        <v>0</v>
      </c>
      <c r="J37" s="92">
        <f t="shared" si="18"/>
        <v>20</v>
      </c>
      <c r="K37" s="93">
        <f t="shared" si="5"/>
        <v>6655</v>
      </c>
      <c r="L37" s="90">
        <f t="shared" si="6"/>
        <v>5445</v>
      </c>
      <c r="M37" s="93">
        <f t="shared" si="7"/>
        <v>12100</v>
      </c>
      <c r="N37" s="87">
        <v>80</v>
      </c>
      <c r="O37" s="94">
        <f t="shared" si="8"/>
        <v>6655</v>
      </c>
      <c r="P37" s="87">
        <v>400</v>
      </c>
      <c r="Q37" s="93">
        <v>540</v>
      </c>
      <c r="R37" s="93">
        <v>0</v>
      </c>
      <c r="S37" s="90"/>
      <c r="T37" s="94">
        <f t="shared" si="19"/>
        <v>19695</v>
      </c>
      <c r="U37" s="94">
        <f t="shared" si="9"/>
        <v>14250</v>
      </c>
      <c r="V37" s="94">
        <f t="shared" si="17"/>
        <v>799</v>
      </c>
      <c r="W37" s="100">
        <f t="shared" si="10"/>
        <v>107</v>
      </c>
      <c r="X37" s="91">
        <v>340</v>
      </c>
      <c r="Y37" s="90"/>
      <c r="Z37" s="95"/>
      <c r="AA37" s="93">
        <f t="shared" si="4"/>
        <v>18449</v>
      </c>
      <c r="AB37" s="96"/>
      <c r="AD37" s="67"/>
    </row>
    <row r="38" spans="1:30" customFormat="1" ht="34.5" customHeight="1">
      <c r="A38" s="88">
        <f t="shared" si="11"/>
        <v>35</v>
      </c>
      <c r="B38" s="98">
        <v>22346</v>
      </c>
      <c r="C38" s="87" t="s">
        <v>126</v>
      </c>
      <c r="D38" s="99" t="s">
        <v>67</v>
      </c>
      <c r="E38" s="89"/>
      <c r="F38" s="89"/>
      <c r="G38" s="90">
        <v>605</v>
      </c>
      <c r="H38" s="91">
        <v>24</v>
      </c>
      <c r="I38" s="90">
        <v>0</v>
      </c>
      <c r="J38" s="92">
        <f t="shared" si="18"/>
        <v>24</v>
      </c>
      <c r="K38" s="93">
        <f t="shared" si="5"/>
        <v>7986</v>
      </c>
      <c r="L38" s="90">
        <f t="shared" si="6"/>
        <v>6534</v>
      </c>
      <c r="M38" s="93">
        <f t="shared" si="7"/>
        <v>14520</v>
      </c>
      <c r="N38" s="87">
        <v>96</v>
      </c>
      <c r="O38" s="94">
        <f t="shared" si="8"/>
        <v>7986</v>
      </c>
      <c r="P38" s="87">
        <v>480</v>
      </c>
      <c r="Q38" s="93">
        <v>585</v>
      </c>
      <c r="R38" s="93">
        <v>0</v>
      </c>
      <c r="S38" s="90"/>
      <c r="T38" s="94">
        <f t="shared" si="19"/>
        <v>23571</v>
      </c>
      <c r="U38" s="94">
        <f t="shared" si="9"/>
        <v>17037</v>
      </c>
      <c r="V38" s="94">
        <f t="shared" si="17"/>
        <v>958</v>
      </c>
      <c r="W38" s="100">
        <f t="shared" si="10"/>
        <v>128</v>
      </c>
      <c r="X38" s="91">
        <v>120</v>
      </c>
      <c r="Y38" s="90"/>
      <c r="Z38" s="95"/>
      <c r="AA38" s="93">
        <f t="shared" si="4"/>
        <v>22365</v>
      </c>
      <c r="AB38" s="96"/>
      <c r="AD38" s="67"/>
    </row>
    <row r="39" spans="1:30" customFormat="1" ht="34.5" customHeight="1">
      <c r="A39" s="88">
        <f t="shared" si="11"/>
        <v>36</v>
      </c>
      <c r="B39" s="98">
        <v>22347</v>
      </c>
      <c r="C39" s="87" t="s">
        <v>194</v>
      </c>
      <c r="D39" s="99" t="s">
        <v>67</v>
      </c>
      <c r="E39" s="89"/>
      <c r="F39" s="89"/>
      <c r="G39" s="90">
        <v>605</v>
      </c>
      <c r="H39" s="91">
        <v>25</v>
      </c>
      <c r="I39" s="90">
        <v>0</v>
      </c>
      <c r="J39" s="92">
        <f t="shared" si="18"/>
        <v>25</v>
      </c>
      <c r="K39" s="93">
        <f t="shared" si="5"/>
        <v>8319</v>
      </c>
      <c r="L39" s="90">
        <f t="shared" si="6"/>
        <v>6806</v>
      </c>
      <c r="M39" s="93">
        <f t="shared" si="7"/>
        <v>15125</v>
      </c>
      <c r="N39" s="87">
        <v>100</v>
      </c>
      <c r="O39" s="94">
        <f t="shared" si="8"/>
        <v>8319</v>
      </c>
      <c r="P39" s="87">
        <v>500</v>
      </c>
      <c r="Q39" s="93">
        <v>585</v>
      </c>
      <c r="R39" s="93">
        <v>0</v>
      </c>
      <c r="S39" s="90"/>
      <c r="T39" s="94">
        <f t="shared" si="19"/>
        <v>24529</v>
      </c>
      <c r="U39" s="94">
        <f t="shared" si="9"/>
        <v>17723</v>
      </c>
      <c r="V39" s="94">
        <f t="shared" si="17"/>
        <v>998</v>
      </c>
      <c r="W39" s="100">
        <f t="shared" si="10"/>
        <v>133</v>
      </c>
      <c r="X39" s="91">
        <v>180</v>
      </c>
      <c r="Y39" s="90"/>
      <c r="Z39" s="95"/>
      <c r="AA39" s="93">
        <f t="shared" si="4"/>
        <v>23218</v>
      </c>
      <c r="AB39" s="96"/>
      <c r="AD39" s="67"/>
    </row>
    <row r="40" spans="1:30" customFormat="1" ht="34.5" customHeight="1">
      <c r="A40" s="88">
        <f t="shared" si="11"/>
        <v>37</v>
      </c>
      <c r="B40" s="98">
        <v>22359</v>
      </c>
      <c r="C40" s="87" t="s">
        <v>195</v>
      </c>
      <c r="D40" s="99" t="s">
        <v>67</v>
      </c>
      <c r="E40" s="89"/>
      <c r="F40" s="89"/>
      <c r="G40" s="90">
        <v>605</v>
      </c>
      <c r="H40" s="91">
        <v>25</v>
      </c>
      <c r="I40" s="90">
        <v>0</v>
      </c>
      <c r="J40" s="92">
        <f t="shared" si="18"/>
        <v>25</v>
      </c>
      <c r="K40" s="93">
        <f t="shared" si="5"/>
        <v>8319</v>
      </c>
      <c r="L40" s="90">
        <f t="shared" si="6"/>
        <v>6806</v>
      </c>
      <c r="M40" s="93">
        <f t="shared" si="7"/>
        <v>15125</v>
      </c>
      <c r="N40" s="87">
        <v>0</v>
      </c>
      <c r="O40" s="94">
        <f t="shared" si="8"/>
        <v>0</v>
      </c>
      <c r="P40" s="87">
        <v>0</v>
      </c>
      <c r="Q40" s="93">
        <v>0</v>
      </c>
      <c r="R40" s="93">
        <v>0</v>
      </c>
      <c r="S40" s="90"/>
      <c r="T40" s="94">
        <f t="shared" si="19"/>
        <v>15125</v>
      </c>
      <c r="U40" s="94">
        <f t="shared" ref="U40:U46" si="20">T40-L40</f>
        <v>8319</v>
      </c>
      <c r="V40" s="94">
        <f t="shared" ref="V40:V46" si="21">ROUND(+K40*12%,0)</f>
        <v>998</v>
      </c>
      <c r="W40" s="100">
        <f t="shared" ref="W40:W46" si="22">CEILING(U40*0.75%,1)</f>
        <v>63</v>
      </c>
      <c r="X40" s="91">
        <v>20</v>
      </c>
      <c r="Y40" s="90"/>
      <c r="Z40" s="95"/>
      <c r="AA40" s="93">
        <f t="shared" si="4"/>
        <v>14044</v>
      </c>
      <c r="AB40" s="96"/>
      <c r="AD40" s="67"/>
    </row>
    <row r="41" spans="1:30" customFormat="1" ht="34.5" customHeight="1">
      <c r="A41" s="88">
        <f t="shared" si="11"/>
        <v>38</v>
      </c>
      <c r="B41" s="98">
        <v>22362</v>
      </c>
      <c r="C41" s="87" t="s">
        <v>196</v>
      </c>
      <c r="D41" s="99" t="s">
        <v>70</v>
      </c>
      <c r="E41" s="89"/>
      <c r="F41" s="89"/>
      <c r="G41" s="90">
        <v>605</v>
      </c>
      <c r="H41" s="91">
        <v>18</v>
      </c>
      <c r="I41" s="90">
        <v>0</v>
      </c>
      <c r="J41" s="92">
        <f t="shared" si="18"/>
        <v>18</v>
      </c>
      <c r="K41" s="93">
        <f t="shared" si="5"/>
        <v>5990</v>
      </c>
      <c r="L41" s="90">
        <f t="shared" si="6"/>
        <v>4901</v>
      </c>
      <c r="M41" s="93">
        <f t="shared" si="7"/>
        <v>10891</v>
      </c>
      <c r="N41" s="87">
        <v>0</v>
      </c>
      <c r="O41" s="94">
        <f t="shared" si="8"/>
        <v>0</v>
      </c>
      <c r="P41" s="87">
        <v>0</v>
      </c>
      <c r="Q41" s="93">
        <v>0</v>
      </c>
      <c r="R41" s="93">
        <v>0</v>
      </c>
      <c r="S41" s="90"/>
      <c r="T41" s="94">
        <f t="shared" si="19"/>
        <v>10891</v>
      </c>
      <c r="U41" s="94">
        <f t="shared" si="20"/>
        <v>5990</v>
      </c>
      <c r="V41" s="94">
        <f t="shared" si="21"/>
        <v>719</v>
      </c>
      <c r="W41" s="100">
        <f t="shared" si="22"/>
        <v>45</v>
      </c>
      <c r="X41" s="91">
        <v>100</v>
      </c>
      <c r="Y41" s="90"/>
      <c r="Z41" s="95"/>
      <c r="AA41" s="93">
        <f t="shared" si="4"/>
        <v>10027</v>
      </c>
      <c r="AB41" s="96"/>
      <c r="AD41" s="67"/>
    </row>
    <row r="42" spans="1:30" customFormat="1" ht="34.5" customHeight="1">
      <c r="A42" s="88">
        <f t="shared" si="11"/>
        <v>39</v>
      </c>
      <c r="B42" s="98">
        <v>22364</v>
      </c>
      <c r="C42" s="87" t="s">
        <v>197</v>
      </c>
      <c r="D42" s="99" t="s">
        <v>67</v>
      </c>
      <c r="E42" s="89"/>
      <c r="F42" s="89"/>
      <c r="G42" s="90">
        <v>605</v>
      </c>
      <c r="H42" s="91">
        <v>3</v>
      </c>
      <c r="I42" s="90">
        <v>0</v>
      </c>
      <c r="J42" s="92">
        <f t="shared" si="18"/>
        <v>3</v>
      </c>
      <c r="K42" s="93">
        <f t="shared" si="5"/>
        <v>998</v>
      </c>
      <c r="L42" s="90">
        <f t="shared" si="6"/>
        <v>817</v>
      </c>
      <c r="M42" s="93">
        <f t="shared" si="7"/>
        <v>1815</v>
      </c>
      <c r="N42" s="87">
        <v>0</v>
      </c>
      <c r="O42" s="94">
        <f t="shared" si="8"/>
        <v>0</v>
      </c>
      <c r="P42" s="87">
        <v>0</v>
      </c>
      <c r="Q42" s="93">
        <v>0</v>
      </c>
      <c r="R42" s="93">
        <v>0</v>
      </c>
      <c r="S42" s="90"/>
      <c r="T42" s="94">
        <f t="shared" si="19"/>
        <v>1815</v>
      </c>
      <c r="U42" s="94">
        <f t="shared" si="20"/>
        <v>998</v>
      </c>
      <c r="V42" s="94">
        <f t="shared" si="21"/>
        <v>120</v>
      </c>
      <c r="W42" s="100">
        <f t="shared" si="22"/>
        <v>8</v>
      </c>
      <c r="X42" s="91">
        <v>0</v>
      </c>
      <c r="Y42" s="90"/>
      <c r="Z42" s="95"/>
      <c r="AA42" s="93">
        <f t="shared" si="4"/>
        <v>1687</v>
      </c>
      <c r="AB42" s="96"/>
      <c r="AD42" s="67"/>
    </row>
    <row r="43" spans="1:30" customFormat="1" ht="34.5" customHeight="1">
      <c r="A43" s="88">
        <f t="shared" si="11"/>
        <v>40</v>
      </c>
      <c r="B43" s="98">
        <v>22367</v>
      </c>
      <c r="C43" s="87" t="s">
        <v>198</v>
      </c>
      <c r="D43" s="99" t="s">
        <v>67</v>
      </c>
      <c r="E43" s="89"/>
      <c r="F43" s="89"/>
      <c r="G43" s="90">
        <v>605</v>
      </c>
      <c r="H43" s="91">
        <v>22</v>
      </c>
      <c r="I43" s="90">
        <v>0</v>
      </c>
      <c r="J43" s="92">
        <f t="shared" si="18"/>
        <v>22</v>
      </c>
      <c r="K43" s="93">
        <f t="shared" si="5"/>
        <v>7321</v>
      </c>
      <c r="L43" s="90">
        <f t="shared" si="6"/>
        <v>5990</v>
      </c>
      <c r="M43" s="93">
        <f t="shared" si="7"/>
        <v>13311</v>
      </c>
      <c r="N43" s="87">
        <v>0</v>
      </c>
      <c r="O43" s="94">
        <f t="shared" si="8"/>
        <v>0</v>
      </c>
      <c r="P43" s="87">
        <v>0</v>
      </c>
      <c r="Q43" s="93">
        <v>0</v>
      </c>
      <c r="R43" s="93">
        <v>0</v>
      </c>
      <c r="S43" s="90"/>
      <c r="T43" s="94">
        <f t="shared" si="19"/>
        <v>13311</v>
      </c>
      <c r="U43" s="94">
        <f t="shared" si="20"/>
        <v>7321</v>
      </c>
      <c r="V43" s="94">
        <f t="shared" si="21"/>
        <v>879</v>
      </c>
      <c r="W43" s="100">
        <f t="shared" si="22"/>
        <v>55</v>
      </c>
      <c r="X43" s="91">
        <v>0</v>
      </c>
      <c r="Y43" s="90"/>
      <c r="Z43" s="95"/>
      <c r="AA43" s="93">
        <f t="shared" si="4"/>
        <v>12377</v>
      </c>
      <c r="AB43" s="96"/>
      <c r="AD43" s="67"/>
    </row>
    <row r="44" spans="1:30" customFormat="1" ht="34.5" customHeight="1">
      <c r="A44" s="88">
        <f t="shared" si="11"/>
        <v>41</v>
      </c>
      <c r="B44" s="98">
        <v>22370</v>
      </c>
      <c r="C44" s="87" t="s">
        <v>202</v>
      </c>
      <c r="D44" s="99" t="s">
        <v>70</v>
      </c>
      <c r="E44" s="89" t="s">
        <v>70</v>
      </c>
      <c r="F44" s="89"/>
      <c r="G44" s="90">
        <v>605</v>
      </c>
      <c r="H44" s="91">
        <v>8</v>
      </c>
      <c r="I44" s="90">
        <v>0</v>
      </c>
      <c r="J44" s="92">
        <f t="shared" si="18"/>
        <v>8</v>
      </c>
      <c r="K44" s="93">
        <f t="shared" si="5"/>
        <v>2662</v>
      </c>
      <c r="L44" s="90">
        <f t="shared" si="6"/>
        <v>2178</v>
      </c>
      <c r="M44" s="93">
        <f t="shared" si="7"/>
        <v>4840</v>
      </c>
      <c r="N44" s="87">
        <v>0</v>
      </c>
      <c r="O44" s="94">
        <f t="shared" si="8"/>
        <v>0</v>
      </c>
      <c r="P44" s="87">
        <v>0</v>
      </c>
      <c r="Q44" s="93">
        <v>0</v>
      </c>
      <c r="R44" s="93">
        <v>0</v>
      </c>
      <c r="S44" s="90"/>
      <c r="T44" s="94">
        <f t="shared" si="19"/>
        <v>4840</v>
      </c>
      <c r="U44" s="94">
        <f t="shared" si="20"/>
        <v>2662</v>
      </c>
      <c r="V44" s="94">
        <f t="shared" si="21"/>
        <v>319</v>
      </c>
      <c r="W44" s="100">
        <f t="shared" si="22"/>
        <v>20</v>
      </c>
      <c r="X44" s="91">
        <v>0</v>
      </c>
      <c r="Y44" s="90"/>
      <c r="Z44" s="95"/>
      <c r="AA44" s="93">
        <f t="shared" si="4"/>
        <v>4501</v>
      </c>
      <c r="AB44" s="96"/>
      <c r="AD44" s="67"/>
    </row>
    <row r="45" spans="1:30" customFormat="1" ht="34.5" customHeight="1">
      <c r="A45" s="88">
        <f t="shared" si="11"/>
        <v>42</v>
      </c>
      <c r="B45" s="98">
        <v>22372</v>
      </c>
      <c r="C45" s="87" t="s">
        <v>203</v>
      </c>
      <c r="D45" s="99" t="s">
        <v>67</v>
      </c>
      <c r="E45" s="89" t="s">
        <v>67</v>
      </c>
      <c r="F45" s="89"/>
      <c r="G45" s="90">
        <v>605</v>
      </c>
      <c r="H45" s="91">
        <v>19</v>
      </c>
      <c r="I45" s="90">
        <v>0</v>
      </c>
      <c r="J45" s="92">
        <f t="shared" si="18"/>
        <v>19</v>
      </c>
      <c r="K45" s="93">
        <f t="shared" si="5"/>
        <v>6322</v>
      </c>
      <c r="L45" s="90">
        <f t="shared" si="6"/>
        <v>5173</v>
      </c>
      <c r="M45" s="93">
        <f t="shared" si="7"/>
        <v>11495</v>
      </c>
      <c r="N45" s="87">
        <v>0</v>
      </c>
      <c r="O45" s="94">
        <f t="shared" si="8"/>
        <v>0</v>
      </c>
      <c r="P45" s="87">
        <v>0</v>
      </c>
      <c r="Q45" s="93">
        <v>0</v>
      </c>
      <c r="R45" s="93">
        <v>0</v>
      </c>
      <c r="S45" s="90"/>
      <c r="T45" s="94">
        <f t="shared" si="19"/>
        <v>11495</v>
      </c>
      <c r="U45" s="94">
        <f t="shared" si="20"/>
        <v>6322</v>
      </c>
      <c r="V45" s="94">
        <f t="shared" si="21"/>
        <v>759</v>
      </c>
      <c r="W45" s="100">
        <f t="shared" si="22"/>
        <v>48</v>
      </c>
      <c r="X45" s="91">
        <v>0</v>
      </c>
      <c r="Y45" s="90"/>
      <c r="Z45" s="95"/>
      <c r="AA45" s="93">
        <f t="shared" si="4"/>
        <v>10688</v>
      </c>
      <c r="AB45" s="96"/>
      <c r="AD45" s="67"/>
    </row>
    <row r="46" spans="1:30" customFormat="1" ht="34.5" customHeight="1">
      <c r="A46" s="88">
        <f t="shared" si="11"/>
        <v>43</v>
      </c>
      <c r="B46" s="98">
        <v>22373</v>
      </c>
      <c r="C46" s="87" t="s">
        <v>213</v>
      </c>
      <c r="D46" s="99" t="s">
        <v>97</v>
      </c>
      <c r="E46" s="89"/>
      <c r="F46" s="89"/>
      <c r="G46" s="90">
        <v>605</v>
      </c>
      <c r="H46" s="91">
        <v>22</v>
      </c>
      <c r="I46" s="90">
        <v>0</v>
      </c>
      <c r="J46" s="92">
        <f t="shared" si="18"/>
        <v>22</v>
      </c>
      <c r="K46" s="93">
        <f t="shared" si="5"/>
        <v>7321</v>
      </c>
      <c r="L46" s="90">
        <f t="shared" si="6"/>
        <v>5990</v>
      </c>
      <c r="M46" s="93">
        <f t="shared" si="7"/>
        <v>13311</v>
      </c>
      <c r="N46" s="87">
        <v>85</v>
      </c>
      <c r="O46" s="94">
        <f t="shared" si="8"/>
        <v>7071</v>
      </c>
      <c r="P46" s="87">
        <v>420</v>
      </c>
      <c r="Q46" s="93">
        <v>540</v>
      </c>
      <c r="R46" s="93">
        <v>0</v>
      </c>
      <c r="S46" s="90"/>
      <c r="T46" s="94">
        <f t="shared" si="19"/>
        <v>21342</v>
      </c>
      <c r="U46" s="94">
        <f t="shared" si="20"/>
        <v>15352</v>
      </c>
      <c r="V46" s="94">
        <f t="shared" si="21"/>
        <v>879</v>
      </c>
      <c r="W46" s="100">
        <f t="shared" si="22"/>
        <v>116</v>
      </c>
      <c r="X46" s="91">
        <v>220</v>
      </c>
      <c r="Y46" s="90"/>
      <c r="Z46" s="95"/>
      <c r="AA46" s="93">
        <f t="shared" si="4"/>
        <v>20127</v>
      </c>
      <c r="AB46" s="96"/>
      <c r="AD46" s="67"/>
    </row>
    <row r="47" spans="1:30" ht="34.5" customHeight="1">
      <c r="A47" s="9" t="s">
        <v>105</v>
      </c>
      <c r="B47" s="9" t="s">
        <v>105</v>
      </c>
      <c r="C47" s="85" t="s">
        <v>105</v>
      </c>
      <c r="D47" s="10" t="s">
        <v>105</v>
      </c>
      <c r="E47" s="10" t="s">
        <v>105</v>
      </c>
      <c r="F47" s="10" t="s">
        <v>105</v>
      </c>
      <c r="G47" s="9" t="s">
        <v>105</v>
      </c>
      <c r="H47" s="9">
        <f>SUM(H4:H46)</f>
        <v>880</v>
      </c>
      <c r="I47" s="9">
        <f t="shared" ref="I47:AA47" si="23">SUM(I4:I46)</f>
        <v>0</v>
      </c>
      <c r="J47" s="9">
        <f t="shared" si="23"/>
        <v>880</v>
      </c>
      <c r="K47" s="9">
        <f t="shared" si="23"/>
        <v>292824</v>
      </c>
      <c r="L47" s="9">
        <f t="shared" si="23"/>
        <v>239585</v>
      </c>
      <c r="M47" s="9">
        <f t="shared" si="23"/>
        <v>532409</v>
      </c>
      <c r="N47" s="9">
        <f t="shared" si="23"/>
        <v>1346</v>
      </c>
      <c r="O47" s="9">
        <f t="shared" si="23"/>
        <v>111973</v>
      </c>
      <c r="P47" s="9">
        <f t="shared" si="23"/>
        <v>6460</v>
      </c>
      <c r="Q47" s="9">
        <f t="shared" si="23"/>
        <v>6795</v>
      </c>
      <c r="R47" s="9">
        <f t="shared" si="23"/>
        <v>0</v>
      </c>
      <c r="S47" s="9">
        <f t="shared" si="23"/>
        <v>0</v>
      </c>
      <c r="T47" s="9">
        <f t="shared" si="23"/>
        <v>657637</v>
      </c>
      <c r="U47" s="9">
        <f t="shared" si="23"/>
        <v>418052</v>
      </c>
      <c r="V47" s="9">
        <f t="shared" si="23"/>
        <v>35138</v>
      </c>
      <c r="W47" s="9">
        <f t="shared" si="23"/>
        <v>3153</v>
      </c>
      <c r="X47" s="9">
        <f t="shared" si="23"/>
        <v>6240</v>
      </c>
      <c r="Y47" s="9">
        <f t="shared" si="23"/>
        <v>0</v>
      </c>
      <c r="Z47" s="9">
        <f t="shared" si="23"/>
        <v>0</v>
      </c>
      <c r="AA47" s="9">
        <f t="shared" si="23"/>
        <v>613106</v>
      </c>
      <c r="AB47" s="12"/>
      <c r="AD47" s="13"/>
    </row>
  </sheetData>
  <autoFilter ref="A3:AE47">
    <filterColumn colId="20"/>
  </autoFilter>
  <mergeCells count="1">
    <mergeCell ref="A2:AB2"/>
  </mergeCells>
  <conditionalFormatting sqref="B19">
    <cfRule type="duplicateValues" dxfId="44" priority="10"/>
  </conditionalFormatting>
  <conditionalFormatting sqref="B20:B22">
    <cfRule type="duplicateValues" dxfId="43" priority="9"/>
  </conditionalFormatting>
  <conditionalFormatting sqref="B92:B1048576 B1 B3:B22 B47">
    <cfRule type="duplicateValues" dxfId="42" priority="7"/>
  </conditionalFormatting>
  <conditionalFormatting sqref="B92:B1048576">
    <cfRule type="duplicateValues" dxfId="41" priority="6"/>
  </conditionalFormatting>
  <conditionalFormatting sqref="B14:B18">
    <cfRule type="duplicateValues" dxfId="40" priority="200"/>
  </conditionalFormatting>
  <conditionalFormatting sqref="A47">
    <cfRule type="duplicateValues" dxfId="39" priority="1"/>
  </conditionalFormatting>
  <conditionalFormatting sqref="B26:B46">
    <cfRule type="duplicateValues" dxfId="38" priority="308"/>
    <cfRule type="duplicateValues" dxfId="37" priority="309"/>
  </conditionalFormatting>
  <conditionalFormatting sqref="B23:B25">
    <cfRule type="duplicateValues" dxfId="36" priority="315"/>
    <cfRule type="duplicateValues" dxfId="35" priority="316"/>
  </conditionalFormatting>
  <pageMargins left="0.19685039370078741" right="0" top="0.39370078740157483" bottom="0" header="0.23622047244094491" footer="0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J26"/>
  <sheetViews>
    <sheetView showGridLines="0" zoomScale="70" zoomScaleNormal="70" zoomScaleSheetLayoutView="40" workbookViewId="0">
      <pane ySplit="3" topLeftCell="A4" activePane="bottomLeft" state="frozen"/>
      <selection pane="bottomLeft" activeCell="F4" sqref="F4"/>
    </sheetView>
  </sheetViews>
  <sheetFormatPr defaultColWidth="9.1796875" defaultRowHeight="14.5"/>
  <cols>
    <col min="2" max="2" width="6.1796875" customWidth="1"/>
    <col min="3" max="3" width="14.81640625" customWidth="1"/>
    <col min="4" max="4" width="36.1796875" customWidth="1"/>
    <col min="5" max="5" width="22" bestFit="1" customWidth="1"/>
    <col min="6" max="6" width="10.453125" bestFit="1" customWidth="1"/>
  </cols>
  <sheetData>
    <row r="1" spans="2:10" ht="15" thickBot="1"/>
    <row r="2" spans="2:10" ht="18.5">
      <c r="B2" s="232" t="s">
        <v>219</v>
      </c>
      <c r="C2" s="233"/>
      <c r="D2" s="233"/>
      <c r="E2" s="233"/>
      <c r="F2" s="234"/>
    </row>
    <row r="3" spans="2:10" s="1" customFormat="1" ht="37">
      <c r="B3" s="135" t="s">
        <v>106</v>
      </c>
      <c r="C3" s="2" t="s">
        <v>107</v>
      </c>
      <c r="D3" s="2" t="s">
        <v>4</v>
      </c>
      <c r="E3" s="2" t="s">
        <v>108</v>
      </c>
      <c r="F3" s="136" t="s">
        <v>109</v>
      </c>
      <c r="G3" s="3"/>
      <c r="H3" s="3"/>
      <c r="I3" s="3"/>
      <c r="J3" s="3"/>
    </row>
    <row r="4" spans="2:10" ht="23.5">
      <c r="B4" s="137">
        <v>1</v>
      </c>
      <c r="C4" s="83">
        <v>21713</v>
      </c>
      <c r="D4" s="86" t="s">
        <v>86</v>
      </c>
      <c r="E4" s="84" t="s">
        <v>25</v>
      </c>
      <c r="F4" s="138">
        <v>250</v>
      </c>
    </row>
    <row r="5" spans="2:10" ht="23.5">
      <c r="B5" s="137">
        <f>B4+1</f>
        <v>2</v>
      </c>
      <c r="C5" s="83">
        <v>22215</v>
      </c>
      <c r="D5" s="86" t="s">
        <v>103</v>
      </c>
      <c r="E5" s="84" t="s">
        <v>67</v>
      </c>
      <c r="F5" s="138">
        <v>250</v>
      </c>
    </row>
    <row r="6" spans="2:10" ht="23.5">
      <c r="B6" s="137">
        <f t="shared" ref="B6:B20" si="0">B5+1</f>
        <v>3</v>
      </c>
      <c r="C6" s="83">
        <v>22271</v>
      </c>
      <c r="D6" s="86" t="s">
        <v>141</v>
      </c>
      <c r="E6" s="84" t="s">
        <v>97</v>
      </c>
      <c r="F6" s="138">
        <v>250</v>
      </c>
    </row>
    <row r="7" spans="2:10" ht="23.5">
      <c r="B7" s="137">
        <f t="shared" si="0"/>
        <v>4</v>
      </c>
      <c r="C7" s="83">
        <v>22273</v>
      </c>
      <c r="D7" s="86" t="s">
        <v>143</v>
      </c>
      <c r="E7" s="84" t="s">
        <v>25</v>
      </c>
      <c r="F7" s="138">
        <v>250</v>
      </c>
    </row>
    <row r="8" spans="2:10" ht="23.5">
      <c r="B8" s="137">
        <f t="shared" si="0"/>
        <v>5</v>
      </c>
      <c r="C8" s="83">
        <v>22274</v>
      </c>
      <c r="D8" s="86" t="s">
        <v>144</v>
      </c>
      <c r="E8" s="84" t="s">
        <v>25</v>
      </c>
      <c r="F8" s="138">
        <v>250</v>
      </c>
    </row>
    <row r="9" spans="2:10" ht="23.5">
      <c r="B9" s="137">
        <f t="shared" si="0"/>
        <v>6</v>
      </c>
      <c r="C9" s="83">
        <v>22277</v>
      </c>
      <c r="D9" s="86" t="s">
        <v>185</v>
      </c>
      <c r="E9" s="84" t="s">
        <v>25</v>
      </c>
      <c r="F9" s="138">
        <v>250</v>
      </c>
    </row>
    <row r="10" spans="2:10" ht="23.5">
      <c r="B10" s="137">
        <f t="shared" si="0"/>
        <v>7</v>
      </c>
      <c r="C10" s="83">
        <v>22279</v>
      </c>
      <c r="D10" s="86" t="s">
        <v>186</v>
      </c>
      <c r="E10" s="84" t="s">
        <v>67</v>
      </c>
      <c r="F10" s="138">
        <v>250</v>
      </c>
    </row>
    <row r="11" spans="2:10" ht="23.5">
      <c r="B11" s="137">
        <f t="shared" si="0"/>
        <v>8</v>
      </c>
      <c r="C11" s="83">
        <v>22294</v>
      </c>
      <c r="D11" s="86" t="s">
        <v>187</v>
      </c>
      <c r="E11" s="84" t="s">
        <v>67</v>
      </c>
      <c r="F11" s="138">
        <v>250</v>
      </c>
    </row>
    <row r="12" spans="2:10" ht="23.5">
      <c r="B12" s="137">
        <f t="shared" si="0"/>
        <v>9</v>
      </c>
      <c r="C12" s="83">
        <v>22295</v>
      </c>
      <c r="D12" s="86" t="s">
        <v>188</v>
      </c>
      <c r="E12" s="84" t="s">
        <v>67</v>
      </c>
      <c r="F12" s="138">
        <v>250</v>
      </c>
    </row>
    <row r="13" spans="2:10" ht="23.5">
      <c r="B13" s="137">
        <f t="shared" si="0"/>
        <v>10</v>
      </c>
      <c r="C13" s="83">
        <v>22325</v>
      </c>
      <c r="D13" s="86" t="s">
        <v>189</v>
      </c>
      <c r="E13" s="84" t="s">
        <v>67</v>
      </c>
      <c r="F13" s="138">
        <v>250</v>
      </c>
    </row>
    <row r="14" spans="2:10" ht="23.5">
      <c r="B14" s="137">
        <f t="shared" si="0"/>
        <v>11</v>
      </c>
      <c r="C14" s="83">
        <v>22330</v>
      </c>
      <c r="D14" s="86" t="s">
        <v>190</v>
      </c>
      <c r="E14" s="84" t="s">
        <v>67</v>
      </c>
      <c r="F14" s="138">
        <v>250</v>
      </c>
    </row>
    <row r="15" spans="2:10" ht="23.5">
      <c r="B15" s="137">
        <f t="shared" si="0"/>
        <v>12</v>
      </c>
      <c r="C15" s="83">
        <v>22341</v>
      </c>
      <c r="D15" s="86" t="s">
        <v>192</v>
      </c>
      <c r="E15" s="84" t="s">
        <v>25</v>
      </c>
      <c r="F15" s="138">
        <v>250</v>
      </c>
    </row>
    <row r="16" spans="2:10" ht="23.5">
      <c r="B16" s="137">
        <f t="shared" si="0"/>
        <v>13</v>
      </c>
      <c r="C16" s="83">
        <v>22345</v>
      </c>
      <c r="D16" s="86" t="s">
        <v>193</v>
      </c>
      <c r="E16" s="84" t="s">
        <v>25</v>
      </c>
      <c r="F16" s="138">
        <v>250</v>
      </c>
    </row>
    <row r="17" spans="2:6" ht="23.5">
      <c r="B17" s="137">
        <f t="shared" si="0"/>
        <v>14</v>
      </c>
      <c r="C17" s="83">
        <v>22346</v>
      </c>
      <c r="D17" s="86" t="s">
        <v>126</v>
      </c>
      <c r="E17" s="84" t="s">
        <v>67</v>
      </c>
      <c r="F17" s="138">
        <v>250</v>
      </c>
    </row>
    <row r="18" spans="2:6" ht="23.5">
      <c r="B18" s="137">
        <f t="shared" si="0"/>
        <v>15</v>
      </c>
      <c r="C18" s="83">
        <v>22347</v>
      </c>
      <c r="D18" s="86" t="s">
        <v>194</v>
      </c>
      <c r="E18" s="84" t="s">
        <v>67</v>
      </c>
      <c r="F18" s="138">
        <v>250</v>
      </c>
    </row>
    <row r="19" spans="2:6" ht="23.5">
      <c r="B19" s="137">
        <f t="shared" si="0"/>
        <v>16</v>
      </c>
      <c r="C19" s="83">
        <v>22359</v>
      </c>
      <c r="D19" s="86" t="s">
        <v>195</v>
      </c>
      <c r="E19" s="84" t="s">
        <v>67</v>
      </c>
      <c r="F19" s="138">
        <v>250</v>
      </c>
    </row>
    <row r="20" spans="2:6" ht="23.5">
      <c r="B20" s="137">
        <f t="shared" si="0"/>
        <v>17</v>
      </c>
      <c r="C20" s="83">
        <v>22362</v>
      </c>
      <c r="D20" s="86" t="s">
        <v>196</v>
      </c>
      <c r="E20" s="84" t="s">
        <v>70</v>
      </c>
      <c r="F20" s="138">
        <v>250</v>
      </c>
    </row>
    <row r="21" spans="2:6" ht="26">
      <c r="B21" s="139"/>
      <c r="C21" s="140"/>
      <c r="D21" s="140"/>
      <c r="E21" s="140"/>
      <c r="F21" s="141">
        <f>SUM(F4:F20)</f>
        <v>4250</v>
      </c>
    </row>
    <row r="22" spans="2:6">
      <c r="B22" s="139"/>
      <c r="C22" s="140"/>
      <c r="D22" s="140"/>
      <c r="E22" s="140"/>
      <c r="F22" s="142"/>
    </row>
    <row r="23" spans="2:6">
      <c r="B23" s="139"/>
      <c r="C23" s="140"/>
      <c r="D23" s="140"/>
      <c r="E23" s="140"/>
      <c r="F23" s="142"/>
    </row>
    <row r="24" spans="2:6">
      <c r="B24" s="139"/>
      <c r="C24" s="140"/>
      <c r="D24" s="140"/>
      <c r="E24" s="140"/>
      <c r="F24" s="142"/>
    </row>
    <row r="25" spans="2:6">
      <c r="B25" s="139"/>
      <c r="C25" s="140"/>
      <c r="D25" s="140"/>
      <c r="E25" s="140"/>
      <c r="F25" s="142"/>
    </row>
    <row r="26" spans="2:6" ht="15" thickBot="1">
      <c r="B26" s="143"/>
      <c r="C26" s="144"/>
      <c r="D26" s="144"/>
      <c r="E26" s="144"/>
      <c r="F26" s="145"/>
    </row>
  </sheetData>
  <mergeCells count="1">
    <mergeCell ref="B2:F2"/>
  </mergeCells>
  <conditionalFormatting sqref="C4">
    <cfRule type="duplicateValues" dxfId="34" priority="772"/>
    <cfRule type="duplicateValues" dxfId="33" priority="773"/>
  </conditionalFormatting>
  <conditionalFormatting sqref="C4:C6">
    <cfRule type="duplicateValues" dxfId="32" priority="39"/>
  </conditionalFormatting>
  <conditionalFormatting sqref="C5:C6">
    <cfRule type="duplicateValues" dxfId="31" priority="38"/>
  </conditionalFormatting>
  <conditionalFormatting sqref="C5:C8">
    <cfRule type="duplicateValues" dxfId="30" priority="884"/>
    <cfRule type="duplicateValues" dxfId="29" priority="885"/>
    <cfRule type="duplicateValues" dxfId="28" priority="886"/>
  </conditionalFormatting>
  <conditionalFormatting sqref="C7:C8">
    <cfRule type="duplicateValues" dxfId="27" priority="36"/>
    <cfRule type="duplicateValues" dxfId="26" priority="37"/>
  </conditionalFormatting>
  <conditionalFormatting sqref="C9">
    <cfRule type="duplicateValues" dxfId="25" priority="34"/>
    <cfRule type="duplicateValues" dxfId="24" priority="35"/>
  </conditionalFormatting>
  <conditionalFormatting sqref="C9:C10">
    <cfRule type="duplicateValues" dxfId="23" priority="878"/>
    <cfRule type="duplicateValues" dxfId="22" priority="879"/>
    <cfRule type="duplicateValues" dxfId="21" priority="880"/>
    <cfRule type="duplicateValues" dxfId="20" priority="881"/>
    <cfRule type="duplicateValues" dxfId="19" priority="882"/>
    <cfRule type="duplicateValues" dxfId="18" priority="883"/>
  </conditionalFormatting>
  <conditionalFormatting sqref="C15">
    <cfRule type="duplicateValues" dxfId="17" priority="110"/>
    <cfRule type="duplicateValues" dxfId="16" priority="111"/>
  </conditionalFormatting>
  <conditionalFormatting sqref="C4:C5">
    <cfRule type="duplicateValues" dxfId="15" priority="31"/>
  </conditionalFormatting>
  <conditionalFormatting sqref="C5">
    <cfRule type="duplicateValues" dxfId="14" priority="30"/>
  </conditionalFormatting>
  <conditionalFormatting sqref="C6:C7">
    <cfRule type="duplicateValues" dxfId="13" priority="28"/>
    <cfRule type="duplicateValues" dxfId="12" priority="29"/>
  </conditionalFormatting>
  <conditionalFormatting sqref="C10:C14">
    <cfRule type="duplicateValues" dxfId="11" priority="1141"/>
    <cfRule type="duplicateValues" dxfId="10" priority="1142"/>
  </conditionalFormatting>
  <conditionalFormatting sqref="C11:C14">
    <cfRule type="duplicateValues" dxfId="9" priority="1143"/>
    <cfRule type="duplicateValues" dxfId="8" priority="1144"/>
    <cfRule type="duplicateValues" dxfId="7" priority="1145"/>
    <cfRule type="duplicateValues" dxfId="6" priority="1146"/>
    <cfRule type="duplicateValues" dxfId="5" priority="1147"/>
    <cfRule type="duplicateValues" dxfId="4" priority="1148"/>
  </conditionalFormatting>
  <conditionalFormatting sqref="C21:C1048576 C15:C17 C2:C8">
    <cfRule type="duplicateValues" dxfId="3" priority="1252"/>
  </conditionalFormatting>
  <conditionalFormatting sqref="C21:C1048576 C16:C17 C2:C4">
    <cfRule type="duplicateValues" dxfId="2" priority="1256"/>
  </conditionalFormatting>
  <conditionalFormatting sqref="C8:C20">
    <cfRule type="duplicateValues" dxfId="1" priority="1346"/>
    <cfRule type="duplicateValues" dxfId="0" priority="1347"/>
  </conditionalFormatting>
  <pageMargins left="0.39370078740157499" right="0" top="0.39370078740157499" bottom="0" header="0" footer="0"/>
  <pageSetup paperSize="9" scale="6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5"/>
    </sheetView>
  </sheetViews>
  <sheetFormatPr defaultRowHeight="14.5"/>
  <cols>
    <col min="1" max="1" width="5.1796875" bestFit="1" customWidth="1"/>
    <col min="2" max="2" width="10.81640625" bestFit="1" customWidth="1"/>
    <col min="3" max="3" width="14" bestFit="1" customWidth="1"/>
    <col min="9" max="9" width="11.2695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 WAGES</vt:lpstr>
      <vt:lpstr>INVOICE</vt:lpstr>
      <vt:lpstr>BREAKUP </vt:lpstr>
      <vt:lpstr>Sheet1</vt:lpstr>
      <vt:lpstr>Sheet2</vt:lpstr>
      <vt:lpstr>Sheet3</vt:lpstr>
      <vt:lpstr>D WAGES</vt:lpstr>
      <vt:lpstr>ROOM ALLOW</vt:lpstr>
      <vt:lpstr>DEC'25</vt:lpstr>
      <vt:lpstr>'BREAKUP '!Print_Area</vt:lpstr>
      <vt:lpstr>'D WAGES'!Print_Area</vt:lpstr>
      <vt:lpstr>INVOICE!Print_Area</vt:lpstr>
      <vt:lpstr>'M WAGES'!Print_Area</vt:lpstr>
      <vt:lpstr>'ROOM ALLOW'!Print_Area</vt:lpstr>
      <vt:lpstr>'D WAGES'!Print_Titles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UNIT I</dc:creator>
  <cp:lastModifiedBy>ADMIN</cp:lastModifiedBy>
  <cp:lastPrinted>2026-07-31T05:43:50Z</cp:lastPrinted>
  <dcterms:created xsi:type="dcterms:W3CDTF">2019-06-25T03:50:00Z</dcterms:created>
  <dcterms:modified xsi:type="dcterms:W3CDTF">2026-09-27T15:40:28Z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FCB914CCF3064C37B9665C2930A50858_13</vt:lpwstr>
  </property>
  <property fmtid="{D5CDD505-2E9C-101B-9397-08002B2CF9AE}" pid="3" name="KSOProductBuildVer">
    <vt:lpwstr>2057-12.2.0.21931</vt:lpwstr>
  </property>
</Properties>
</file>