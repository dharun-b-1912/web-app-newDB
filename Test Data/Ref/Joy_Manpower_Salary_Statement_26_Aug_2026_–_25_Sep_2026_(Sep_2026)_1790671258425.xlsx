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ary Statement" state="visible" r:id="rId4"/>
  </sheets>
  <calcPr calcId="171027"/>
</workbook>
</file>

<file path=xl/sharedStrings.xml><?xml version="1.0" encoding="utf-8"?>
<sst xmlns="http://schemas.openxmlformats.org/spreadsheetml/2006/main" count="276" uniqueCount="150">
  <si>
    <t>JOY MANPOWER SERVICES PRIVATE LIMITED — SALARY STATEMENT FOR THE PERIOD OF 26 AUG 2026 – 25 SEP 2026 (SEP 2026)</t>
  </si>
  <si>
    <t>EMPLOYEE INFORMATION</t>
  </si>
  <si>
    <t>ATTENDANCE METRICS</t>
  </si>
  <si>
    <t>EARNINGS BREAKUP</t>
  </si>
  <si>
    <t>STATUTORY DEDUCTIONS</t>
  </si>
  <si>
    <t>ASSET &amp; PPE RECOVERIES</t>
  </si>
  <si>
    <t>CANTEEN &amp; MEAL RECOVERIES</t>
  </si>
  <si>
    <t>ADVANCES &amp; WELFARE</t>
  </si>
  <si>
    <t>FINAL NET AMOUNT &amp; SIGNATURE</t>
  </si>
  <si>
    <t>S.No</t>
  </si>
  <si>
    <t>Emp ID</t>
  </si>
  <si>
    <t>Employee Name</t>
  </si>
  <si>
    <t>DEPT</t>
  </si>
  <si>
    <t>Category</t>
  </si>
  <si>
    <t>D WAGE</t>
  </si>
  <si>
    <t>W DAYS</t>
  </si>
  <si>
    <t>NFH</t>
  </si>
  <si>
    <t>PAY DAYS</t>
  </si>
  <si>
    <t>LOP</t>
  </si>
  <si>
    <t>OT HOURS</t>
  </si>
  <si>
    <t>NIGHT SHIFTS</t>
  </si>
  <si>
    <t>BASIC 55%</t>
  </si>
  <si>
    <t>HRA 45%</t>
  </si>
  <si>
    <t>Wages</t>
  </si>
  <si>
    <t>OT</t>
  </si>
  <si>
    <t>OT STIPEND</t>
  </si>
  <si>
    <t>F.ALLOW</t>
  </si>
  <si>
    <t>N.ALLOW</t>
  </si>
  <si>
    <t>ATTN BONUS</t>
  </si>
  <si>
    <t>ARREARS</t>
  </si>
  <si>
    <t>OTHER EARNINGS</t>
  </si>
  <si>
    <t>GROSS</t>
  </si>
  <si>
    <t>PF</t>
  </si>
  <si>
    <t>ESI</t>
  </si>
  <si>
    <t>PT</t>
  </si>
  <si>
    <t>LWF</t>
  </si>
  <si>
    <t>SHOE</t>
  </si>
  <si>
    <t>UNIFORM</t>
  </si>
  <si>
    <t>ID / TOOLS</t>
  </si>
  <si>
    <t>CANTEEN</t>
  </si>
  <si>
    <t>TIFFIN</t>
  </si>
  <si>
    <t>FOOD RECOVERY</t>
  </si>
  <si>
    <t>ADVANCE</t>
  </si>
  <si>
    <t>MARRIAGE</t>
  </si>
  <si>
    <t>RENT</t>
  </si>
  <si>
    <t>OTHER DEDUCTION</t>
  </si>
  <si>
    <t>TOTAL DEDUCTIONS</t>
  </si>
  <si>
    <t>NET AMOUNT</t>
  </si>
  <si>
    <t>SIGNATURE</t>
  </si>
  <si>
    <t>20385</t>
  </si>
  <si>
    <t>SAKTHI S</t>
  </si>
  <si>
    <t>Assembly</t>
  </si>
  <si>
    <t>JOY MANPOWER</t>
  </si>
  <si>
    <t/>
  </si>
  <si>
    <t>21332</t>
  </si>
  <si>
    <t>KAVITHA KANAGARAJ</t>
  </si>
  <si>
    <t>21481</t>
  </si>
  <si>
    <t>R.INDHUMATHI</t>
  </si>
  <si>
    <t>21515</t>
  </si>
  <si>
    <t>VANAJA</t>
  </si>
  <si>
    <t>21517</t>
  </si>
  <si>
    <t>ANANTHI MUTHURAMALINGAM</t>
  </si>
  <si>
    <t>21710</t>
  </si>
  <si>
    <t>MURUGESWARI BALAJI</t>
  </si>
  <si>
    <t>21713</t>
  </si>
  <si>
    <t>MUNESHWAR SOREN</t>
  </si>
  <si>
    <t>IMD</t>
  </si>
  <si>
    <t>21872</t>
  </si>
  <si>
    <t>CHINNASAMY CHINNAPALANI</t>
  </si>
  <si>
    <t>HK</t>
  </si>
  <si>
    <t>22042</t>
  </si>
  <si>
    <t>GOVINDARAJ ARUMUGAM</t>
  </si>
  <si>
    <t>22050</t>
  </si>
  <si>
    <t>ANITHA SURESHMUTHU</t>
  </si>
  <si>
    <t>22104</t>
  </si>
  <si>
    <t>VIJAYA LAKSHMI</t>
  </si>
  <si>
    <t>22111</t>
  </si>
  <si>
    <t>INDHUMATHI.R</t>
  </si>
  <si>
    <t>22115</t>
  </si>
  <si>
    <t>DEVI</t>
  </si>
  <si>
    <t>22133</t>
  </si>
  <si>
    <t>RAMACHANDRAN</t>
  </si>
  <si>
    <t>AUTOMATION</t>
  </si>
  <si>
    <t>22146</t>
  </si>
  <si>
    <t>VASANTHAMNAI</t>
  </si>
  <si>
    <t>Fetling</t>
  </si>
  <si>
    <t>22149</t>
  </si>
  <si>
    <t>DEEPA</t>
  </si>
  <si>
    <t>22176</t>
  </si>
  <si>
    <t>HEMALATHA</t>
  </si>
  <si>
    <t>22215</t>
  </si>
  <si>
    <t>SUNIL SAWAYNAM</t>
  </si>
  <si>
    <t>22229</t>
  </si>
  <si>
    <t>PREM KUMAR</t>
  </si>
  <si>
    <t>22232</t>
  </si>
  <si>
    <t>MANOHAR KARAN</t>
  </si>
  <si>
    <t>22241</t>
  </si>
  <si>
    <t>ANNALAKSHMI</t>
  </si>
  <si>
    <t>22242</t>
  </si>
  <si>
    <t>SELVI S</t>
  </si>
  <si>
    <t>22265</t>
  </si>
  <si>
    <t>PANDESWARAN</t>
  </si>
  <si>
    <t>Stores</t>
  </si>
  <si>
    <t>22271</t>
  </si>
  <si>
    <t>SURESH MARANDI</t>
  </si>
  <si>
    <t>22273</t>
  </si>
  <si>
    <t>NUNULAL MURMU</t>
  </si>
  <si>
    <t>22274</t>
  </si>
  <si>
    <t>MAHAN MURMU</t>
  </si>
  <si>
    <t>22277</t>
  </si>
  <si>
    <t>ANTU SOREN</t>
  </si>
  <si>
    <t>22279</t>
  </si>
  <si>
    <t>SALMA SOREN</t>
  </si>
  <si>
    <t>22294</t>
  </si>
  <si>
    <t>TRIDEV NAYAK</t>
  </si>
  <si>
    <t>22295</t>
  </si>
  <si>
    <t>SONY CHAMPIYA</t>
  </si>
  <si>
    <t>22300</t>
  </si>
  <si>
    <t>PRAKASH R (ON LEAVE)</t>
  </si>
  <si>
    <t>22325</t>
  </si>
  <si>
    <t>MUNKIDEVI</t>
  </si>
  <si>
    <t>22330</t>
  </si>
  <si>
    <t>SURESH KINDO</t>
  </si>
  <si>
    <t>22341</t>
  </si>
  <si>
    <t>KUNAL UMAR TURI</t>
  </si>
  <si>
    <t>22345</t>
  </si>
  <si>
    <t>MUNNA SOREN</t>
  </si>
  <si>
    <t>22346</t>
  </si>
  <si>
    <t>MANISH KUMAR</t>
  </si>
  <si>
    <t>22347</t>
  </si>
  <si>
    <t>BILU KUMAR</t>
  </si>
  <si>
    <t>22359</t>
  </si>
  <si>
    <t>SARITA BANRA</t>
  </si>
  <si>
    <t>22362</t>
  </si>
  <si>
    <t>MINAKSHI KUMARI</t>
  </si>
  <si>
    <t>22364</t>
  </si>
  <si>
    <t>PARIMALAM</t>
  </si>
  <si>
    <t>22367</t>
  </si>
  <si>
    <t>EKAMBAL</t>
  </si>
  <si>
    <t>22370</t>
  </si>
  <si>
    <t>ROUTHROSCLINE</t>
  </si>
  <si>
    <t>22372</t>
  </si>
  <si>
    <t>KARTHIKEYANI</t>
  </si>
  <si>
    <t>22373</t>
  </si>
  <si>
    <t>SANJAY</t>
  </si>
  <si>
    <t>TOTALS</t>
  </si>
  <si>
    <t>PREPARED BY (VENDOR)</t>
  </si>
  <si>
    <t>CHECKED BY (SITE IN-CHARGE)</t>
  </si>
  <si>
    <t>VERIFIED BY (HR &amp; COMPLIANCE)</t>
  </si>
  <si>
    <t>APPROVED BY (PLANT HEAD)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</si>
</sst>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0"/>
    </font>
    <font>
      <b/>
      <color rgb="FFFFFFFF"/>
      <sz val="9"/>
    </font>
    <font>
      <i/>
      <color rgb="FFD97706"/>
    </font>
    <font>
      <b/>
      <color rgb="FF07563D"/>
      <sz val="10"/>
    </font>
    <font>
      <b/>
    </font>
    <font>
      <b/>
      <sz val="9"/>
    </font>
  </fonts>
  <fills count="13">
    <fill>
      <patternFill patternType="none"/>
    </fill>
    <fill>
      <patternFill patternType="gray125"/>
    </fill>
    <fill>
      <patternFill patternType="solid">
        <fgColor rgb="FF07563D"/>
      </patternFill>
    </fill>
    <fill>
      <patternFill patternType="solid">
        <fgColor rgb="FF1E3A8A"/>
      </patternFill>
    </fill>
    <fill>
      <patternFill patternType="solid">
        <fgColor rgb="FF065F46"/>
      </patternFill>
    </fill>
    <fill>
      <patternFill patternType="solid">
        <fgColor rgb="FF991B1B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7C3AED"/>
      </patternFill>
    </fill>
    <fill>
      <patternFill patternType="solid">
        <fgColor rgb="FF1F2937"/>
      </patternFill>
    </fill>
    <fill>
      <patternFill patternType="solid">
        <fgColor rgb="FFF9FAFB"/>
      </patternFill>
    </fill>
    <fill>
      <patternFill patternType="solid">
        <fgColor rgb="FFFFFBEB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0" fontId="0" fillId="10" borderId="0" xfId="0" applyFill="1" applyAlignment="1">
      <alignment vertical="center"/>
    </xf>
    <xf numFmtId="4" fontId="0" fillId="10" borderId="0" xfId="0" applyNumberFormat="1" applyFill="1" applyAlignment="1">
      <alignment vertical="center"/>
    </xf>
    <xf numFmtId="3" fontId="0" fillId="10" borderId="0" xfId="0" applyNumberFormat="1" applyFill="1" applyAlignment="1">
      <alignment vertical="center"/>
    </xf>
    <xf numFmtId="0" fontId="0" fillId="11" borderId="0" xfId="0" applyFill="1" applyAlignment="1">
      <alignment vertical="center"/>
    </xf>
    <xf numFmtId="0" fontId="4" fillId="11" borderId="0" xfId="0" applyFont="1" applyFill="1" applyAlignment="1">
      <alignment vertical="center"/>
    </xf>
    <xf numFmtId="4" fontId="0" fillId="11" borderId="0" xfId="0" applyNumberFormat="1" applyFill="1" applyAlignment="1">
      <alignment vertical="center"/>
    </xf>
    <xf numFmtId="3" fontId="0" fillId="11" borderId="0" xfId="0" applyNumberFormat="1" applyFill="1" applyAlignment="1">
      <alignment vertical="center"/>
    </xf>
    <xf numFmtId="0" fontId="0" fillId="12" borderId="0" xfId="0" applyFill="1"/>
    <xf numFmtId="0" fontId="5" fillId="12" borderId="0" xfId="0" applyFont="1" applyFill="1"/>
    <xf numFmtId="4" fontId="6" fillId="12" borderId="0" xfId="0" applyNumberFormat="1" applyFont="1" applyFill="1"/>
    <xf numFmtId="3" fontId="6" fillId="12" borderId="0" xfId="0" applyNumberFormat="1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1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0" customWidth="1"/>
    <col min="3" max="3" width="22" customWidth="1"/>
    <col min="4" max="4" width="14" customWidth="1"/>
    <col min="5" max="5" width="16" customWidth="1"/>
    <col min="6" max="6" width="11" customWidth="1"/>
    <col min="8" max="8" width="8" customWidth="1"/>
    <col min="9" max="9" width="10" customWidth="1"/>
    <col min="10" max="10" width="8" customWidth="1"/>
    <col min="11" max="11" width="10" customWidth="1"/>
    <col min="12" max="12" width="11" customWidth="1"/>
    <col min="13" max="15" width="13" customWidth="1"/>
    <col min="16" max="16" width="11" customWidth="1"/>
    <col min="17" max="17" width="12" customWidth="1"/>
    <col min="18" max="19" width="11" customWidth="1"/>
    <col min="20" max="20" width="13" customWidth="1"/>
    <col min="21" max="21" width="11" customWidth="1"/>
    <col min="22" max="23" width="14" customWidth="1"/>
    <col min="24" max="24" width="11" customWidth="1"/>
    <col min="25" max="25" width="10" customWidth="1"/>
    <col min="27" max="27" width="8" customWidth="1"/>
    <col min="28" max="29" width="11" customWidth="1"/>
    <col min="30" max="31" width="12" customWidth="1"/>
    <col min="32" max="32" width="10" customWidth="1"/>
    <col min="33" max="33" width="13" customWidth="1"/>
    <col min="34" max="35" width="11" customWidth="1"/>
    <col min="36" max="36" width="10" customWidth="1"/>
    <col min="37" max="37" width="14" customWidth="1"/>
    <col min="38" max="39" width="15" customWidth="1"/>
    <col min="40" max="40" width="18" customWidth="1"/>
  </cols>
  <sheetData>
    <row r="1" ht="28" customHeight="1" spans="1:4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ht="20" customHeight="1" spans="1:40" x14ac:dyDescent="0.25">
      <c r="A2" s="2" t="s">
        <v>1</v>
      </c>
      <c r="B2" s="2"/>
      <c r="C2" s="2"/>
      <c r="D2" s="2"/>
      <c r="E2" s="2"/>
      <c r="F2" s="3" t="s">
        <v>2</v>
      </c>
      <c r="G2" s="3"/>
      <c r="H2" s="3"/>
      <c r="I2" s="3"/>
      <c r="J2" s="3"/>
      <c r="K2" s="3"/>
      <c r="L2" s="3"/>
      <c r="M2" s="4" t="s">
        <v>3</v>
      </c>
      <c r="N2" s="4"/>
      <c r="O2" s="4"/>
      <c r="P2" s="4"/>
      <c r="Q2" s="4"/>
      <c r="R2" s="4"/>
      <c r="S2" s="4"/>
      <c r="T2" s="4"/>
      <c r="U2" s="4"/>
      <c r="V2" s="4"/>
      <c r="W2" s="4"/>
      <c r="X2" s="5" t="s">
        <v>4</v>
      </c>
      <c r="Y2" s="5"/>
      <c r="Z2" s="5"/>
      <c r="AA2" s="5"/>
      <c r="AB2" s="6" t="s">
        <v>5</v>
      </c>
      <c r="AC2" s="6"/>
      <c r="AD2" s="6"/>
      <c r="AE2" s="7" t="s">
        <v>6</v>
      </c>
      <c r="AF2" s="7"/>
      <c r="AG2" s="7"/>
      <c r="AH2" s="8" t="s">
        <v>7</v>
      </c>
      <c r="AI2" s="8"/>
      <c r="AJ2" s="8"/>
      <c r="AK2" s="8"/>
      <c r="AL2" s="8"/>
      <c r="AM2" s="9" t="s">
        <v>8</v>
      </c>
      <c r="AN2" s="9"/>
    </row>
    <row r="3" ht="26" customHeight="1" spans="1:40" s="10" customFormat="1" x14ac:dyDescent="0.25">
      <c r="A3" s="10" t="s">
        <v>9</v>
      </c>
      <c r="B3" s="10" t="s">
        <v>10</v>
      </c>
      <c r="C3" s="10" t="s">
        <v>11</v>
      </c>
      <c r="D3" s="10" t="s">
        <v>12</v>
      </c>
      <c r="E3" s="10" t="s">
        <v>13</v>
      </c>
      <c r="F3" s="10" t="s">
        <v>14</v>
      </c>
      <c r="G3" s="10" t="s">
        <v>15</v>
      </c>
      <c r="H3" s="10" t="s">
        <v>16</v>
      </c>
      <c r="I3" s="10" t="s">
        <v>17</v>
      </c>
      <c r="J3" s="10" t="s">
        <v>18</v>
      </c>
      <c r="K3" s="10" t="s">
        <v>19</v>
      </c>
      <c r="L3" s="10" t="s">
        <v>20</v>
      </c>
      <c r="M3" s="10" t="s">
        <v>21</v>
      </c>
      <c r="N3" s="10" t="s">
        <v>22</v>
      </c>
      <c r="O3" s="10" t="s">
        <v>23</v>
      </c>
      <c r="P3" s="10" t="s">
        <v>24</v>
      </c>
      <c r="Q3" s="10" t="s">
        <v>25</v>
      </c>
      <c r="R3" s="10" t="s">
        <v>26</v>
      </c>
      <c r="S3" s="10" t="s">
        <v>27</v>
      </c>
      <c r="T3" s="10" t="s">
        <v>28</v>
      </c>
      <c r="U3" s="10" t="s">
        <v>29</v>
      </c>
      <c r="V3" s="10" t="s">
        <v>30</v>
      </c>
      <c r="W3" s="10" t="s">
        <v>31</v>
      </c>
      <c r="X3" s="10" t="s">
        <v>32</v>
      </c>
      <c r="Y3" s="10" t="s">
        <v>33</v>
      </c>
      <c r="Z3" s="10" t="s">
        <v>34</v>
      </c>
      <c r="AA3" s="10" t="s">
        <v>35</v>
      </c>
      <c r="AB3" s="10" t="s">
        <v>36</v>
      </c>
      <c r="AC3" s="10" t="s">
        <v>37</v>
      </c>
      <c r="AD3" s="10" t="s">
        <v>38</v>
      </c>
      <c r="AE3" s="10" t="s">
        <v>39</v>
      </c>
      <c r="AF3" s="10" t="s">
        <v>40</v>
      </c>
      <c r="AG3" s="10" t="s">
        <v>41</v>
      </c>
      <c r="AH3" s="10" t="s">
        <v>42</v>
      </c>
      <c r="AI3" s="10" t="s">
        <v>43</v>
      </c>
      <c r="AJ3" s="10" t="s">
        <v>44</v>
      </c>
      <c r="AK3" s="10" t="s">
        <v>45</v>
      </c>
      <c r="AL3" s="10" t="s">
        <v>46</v>
      </c>
      <c r="AM3" s="10" t="s">
        <v>47</v>
      </c>
      <c r="AN3" s="10" t="s">
        <v>48</v>
      </c>
    </row>
    <row r="4" spans="1:40" s="11" customFormat="1" x14ac:dyDescent="0.25">
      <c r="A4" s="11">
        <v>1</v>
      </c>
      <c r="B4" s="11" t="s">
        <v>49</v>
      </c>
      <c r="C4" s="11" t="s">
        <v>50</v>
      </c>
      <c r="D4" s="11" t="s">
        <v>51</v>
      </c>
      <c r="E4" s="11" t="s">
        <v>52</v>
      </c>
      <c r="F4" s="12">
        <v>605</v>
      </c>
      <c r="G4" s="13">
        <v>25</v>
      </c>
      <c r="H4" s="13">
        <v>0</v>
      </c>
      <c r="I4" s="13">
        <v>25</v>
      </c>
      <c r="J4" s="13">
        <v>1</v>
      </c>
      <c r="K4" s="13">
        <v>0</v>
      </c>
      <c r="L4" s="13">
        <v>0</v>
      </c>
      <c r="M4" s="12">
        <v>8318.75</v>
      </c>
      <c r="N4" s="12">
        <v>6806.25</v>
      </c>
      <c r="O4" s="12">
        <v>15125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15125</v>
      </c>
      <c r="X4" s="12">
        <v>998</v>
      </c>
      <c r="Y4" s="12">
        <v>113</v>
      </c>
      <c r="Z4" s="12">
        <v>0</v>
      </c>
      <c r="AA4" s="12">
        <v>20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1131</v>
      </c>
      <c r="AM4" s="12">
        <v>13994</v>
      </c>
      <c r="AN4" s="11" t="s">
        <v>53</v>
      </c>
    </row>
    <row r="5" spans="1:40" s="14" customFormat="1" x14ac:dyDescent="0.25">
      <c r="A5" s="14">
        <v>2</v>
      </c>
      <c r="B5" s="14" t="s">
        <v>54</v>
      </c>
      <c r="C5" s="14" t="s">
        <v>55</v>
      </c>
      <c r="D5" s="14" t="s">
        <v>51</v>
      </c>
      <c r="E5" s="14" t="s">
        <v>52</v>
      </c>
      <c r="F5" s="15">
        <v>605</v>
      </c>
      <c r="G5" s="16">
        <v>18</v>
      </c>
      <c r="H5" s="16">
        <v>0</v>
      </c>
      <c r="I5" s="16">
        <v>18</v>
      </c>
      <c r="J5" s="16">
        <v>9</v>
      </c>
      <c r="K5" s="16">
        <v>0</v>
      </c>
      <c r="L5" s="16">
        <v>0</v>
      </c>
      <c r="M5" s="15">
        <v>5989.5</v>
      </c>
      <c r="N5" s="15">
        <v>4900.5</v>
      </c>
      <c r="O5" s="15">
        <v>10890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10890</v>
      </c>
      <c r="X5" s="15">
        <v>719</v>
      </c>
      <c r="Y5" s="15">
        <v>82</v>
      </c>
      <c r="Z5" s="15">
        <v>0</v>
      </c>
      <c r="AA5" s="15">
        <v>20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821</v>
      </c>
      <c r="AM5" s="15">
        <v>10069</v>
      </c>
      <c r="AN5" s="14" t="s">
        <v>53</v>
      </c>
    </row>
    <row r="6" spans="1:40" s="11" customFormat="1" x14ac:dyDescent="0.25">
      <c r="A6" s="11">
        <v>3</v>
      </c>
      <c r="B6" s="11" t="s">
        <v>56</v>
      </c>
      <c r="C6" s="11" t="s">
        <v>57</v>
      </c>
      <c r="D6" s="11" t="s">
        <v>51</v>
      </c>
      <c r="E6" s="11" t="s">
        <v>52</v>
      </c>
      <c r="F6" s="12">
        <v>605</v>
      </c>
      <c r="G6" s="13">
        <v>23</v>
      </c>
      <c r="H6" s="13">
        <v>0</v>
      </c>
      <c r="I6" s="13">
        <v>23</v>
      </c>
      <c r="J6" s="13">
        <v>4</v>
      </c>
      <c r="K6" s="13">
        <v>0</v>
      </c>
      <c r="L6" s="13">
        <v>0</v>
      </c>
      <c r="M6" s="12">
        <v>7653.25</v>
      </c>
      <c r="N6" s="12">
        <v>6261.75</v>
      </c>
      <c r="O6" s="12">
        <v>13915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13915</v>
      </c>
      <c r="X6" s="12">
        <v>918</v>
      </c>
      <c r="Y6" s="12">
        <v>104</v>
      </c>
      <c r="Z6" s="12">
        <v>0</v>
      </c>
      <c r="AA6" s="12">
        <v>20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1042</v>
      </c>
      <c r="AM6" s="12">
        <v>12873</v>
      </c>
      <c r="AN6" s="11" t="s">
        <v>53</v>
      </c>
    </row>
    <row r="7" spans="1:40" s="14" customFormat="1" x14ac:dyDescent="0.25">
      <c r="A7" s="14">
        <v>4</v>
      </c>
      <c r="B7" s="14" t="s">
        <v>58</v>
      </c>
      <c r="C7" s="14" t="s">
        <v>59</v>
      </c>
      <c r="D7" s="14" t="s">
        <v>51</v>
      </c>
      <c r="E7" s="14" t="s">
        <v>52</v>
      </c>
      <c r="F7" s="15">
        <v>605</v>
      </c>
      <c r="G7" s="16">
        <v>24</v>
      </c>
      <c r="H7" s="16">
        <v>0</v>
      </c>
      <c r="I7" s="16">
        <v>24</v>
      </c>
      <c r="J7" s="16">
        <v>3</v>
      </c>
      <c r="K7" s="16">
        <v>0</v>
      </c>
      <c r="L7" s="16">
        <v>0</v>
      </c>
      <c r="M7" s="15">
        <v>7986</v>
      </c>
      <c r="N7" s="15">
        <v>6534</v>
      </c>
      <c r="O7" s="15">
        <v>14520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14520</v>
      </c>
      <c r="X7" s="15">
        <v>958</v>
      </c>
      <c r="Y7" s="15">
        <v>109</v>
      </c>
      <c r="Z7" s="15">
        <v>0</v>
      </c>
      <c r="AA7" s="15">
        <v>20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1087</v>
      </c>
      <c r="AM7" s="15">
        <v>13433</v>
      </c>
      <c r="AN7" s="14" t="s">
        <v>53</v>
      </c>
    </row>
    <row r="8" spans="1:40" s="11" customFormat="1" x14ac:dyDescent="0.25">
      <c r="A8" s="11">
        <v>5</v>
      </c>
      <c r="B8" s="11" t="s">
        <v>60</v>
      </c>
      <c r="C8" s="11" t="s">
        <v>61</v>
      </c>
      <c r="D8" s="11" t="s">
        <v>51</v>
      </c>
      <c r="E8" s="11" t="s">
        <v>52</v>
      </c>
      <c r="F8" s="12">
        <v>605</v>
      </c>
      <c r="G8" s="13">
        <v>24</v>
      </c>
      <c r="H8" s="13">
        <v>0</v>
      </c>
      <c r="I8" s="13">
        <v>24</v>
      </c>
      <c r="J8" s="13">
        <v>3</v>
      </c>
      <c r="K8" s="13">
        <v>0</v>
      </c>
      <c r="L8" s="13">
        <v>0</v>
      </c>
      <c r="M8" s="12">
        <v>7986</v>
      </c>
      <c r="N8" s="12">
        <v>6534</v>
      </c>
      <c r="O8" s="12">
        <v>14520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14520</v>
      </c>
      <c r="X8" s="12">
        <v>958</v>
      </c>
      <c r="Y8" s="12">
        <v>109</v>
      </c>
      <c r="Z8" s="12">
        <v>0</v>
      </c>
      <c r="AA8" s="12">
        <v>20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1087</v>
      </c>
      <c r="AM8" s="12">
        <v>13433</v>
      </c>
      <c r="AN8" s="11" t="s">
        <v>53</v>
      </c>
    </row>
    <row r="9" spans="1:40" s="14" customFormat="1" x14ac:dyDescent="0.25">
      <c r="A9" s="14">
        <v>6</v>
      </c>
      <c r="B9" s="14" t="s">
        <v>62</v>
      </c>
      <c r="C9" s="14" t="s">
        <v>63</v>
      </c>
      <c r="D9" s="14" t="s">
        <v>51</v>
      </c>
      <c r="E9" s="14" t="s">
        <v>52</v>
      </c>
      <c r="F9" s="15">
        <v>605</v>
      </c>
      <c r="G9" s="16">
        <v>25</v>
      </c>
      <c r="H9" s="16">
        <v>0</v>
      </c>
      <c r="I9" s="16">
        <v>25</v>
      </c>
      <c r="J9" s="16">
        <v>1</v>
      </c>
      <c r="K9" s="16">
        <v>0</v>
      </c>
      <c r="L9" s="16">
        <v>0</v>
      </c>
      <c r="M9" s="15">
        <v>8318.75</v>
      </c>
      <c r="N9" s="15">
        <v>6806.25</v>
      </c>
      <c r="O9" s="15">
        <v>15125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15125</v>
      </c>
      <c r="X9" s="15">
        <v>998</v>
      </c>
      <c r="Y9" s="15">
        <v>113</v>
      </c>
      <c r="Z9" s="15">
        <v>0</v>
      </c>
      <c r="AA9" s="15">
        <v>20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1131</v>
      </c>
      <c r="AM9" s="15">
        <v>13994</v>
      </c>
      <c r="AN9" s="14" t="s">
        <v>53</v>
      </c>
    </row>
    <row r="10" spans="1:40" s="11" customFormat="1" x14ac:dyDescent="0.25">
      <c r="A10" s="11">
        <v>7</v>
      </c>
      <c r="B10" s="11" t="s">
        <v>64</v>
      </c>
      <c r="C10" s="11" t="s">
        <v>65</v>
      </c>
      <c r="D10" s="11" t="s">
        <v>66</v>
      </c>
      <c r="E10" s="11" t="s">
        <v>52</v>
      </c>
      <c r="F10" s="12">
        <v>605</v>
      </c>
      <c r="G10" s="13">
        <v>23</v>
      </c>
      <c r="H10" s="13">
        <v>0</v>
      </c>
      <c r="I10" s="13">
        <v>23</v>
      </c>
      <c r="J10" s="13">
        <v>2</v>
      </c>
      <c r="K10" s="13">
        <v>92</v>
      </c>
      <c r="L10" s="13">
        <v>0</v>
      </c>
      <c r="M10" s="12">
        <v>7653.25</v>
      </c>
      <c r="N10" s="12">
        <v>6261.75</v>
      </c>
      <c r="O10" s="12">
        <v>13915</v>
      </c>
      <c r="P10" s="12">
        <v>6958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20873</v>
      </c>
      <c r="X10" s="12">
        <v>918</v>
      </c>
      <c r="Y10" s="12">
        <v>157</v>
      </c>
      <c r="Z10" s="12">
        <v>0</v>
      </c>
      <c r="AA10" s="12">
        <v>20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1095</v>
      </c>
      <c r="AM10" s="12">
        <v>19778</v>
      </c>
      <c r="AN10" s="11" t="s">
        <v>53</v>
      </c>
    </row>
    <row r="11" spans="1:40" s="14" customFormat="1" x14ac:dyDescent="0.25">
      <c r="A11" s="14">
        <v>8</v>
      </c>
      <c r="B11" s="14" t="s">
        <v>67</v>
      </c>
      <c r="C11" s="14" t="s">
        <v>68</v>
      </c>
      <c r="D11" s="14" t="s">
        <v>69</v>
      </c>
      <c r="E11" s="14" t="s">
        <v>52</v>
      </c>
      <c r="F11" s="15">
        <v>605</v>
      </c>
      <c r="G11" s="16">
        <v>23</v>
      </c>
      <c r="H11" s="16">
        <v>0</v>
      </c>
      <c r="I11" s="16">
        <v>23</v>
      </c>
      <c r="J11" s="16">
        <v>3</v>
      </c>
      <c r="K11" s="16">
        <v>22</v>
      </c>
      <c r="L11" s="16">
        <v>0</v>
      </c>
      <c r="M11" s="15">
        <v>7653.25</v>
      </c>
      <c r="N11" s="15">
        <v>6261.75</v>
      </c>
      <c r="O11" s="15">
        <v>13915</v>
      </c>
      <c r="P11" s="15">
        <v>1664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15579</v>
      </c>
      <c r="X11" s="15">
        <v>918</v>
      </c>
      <c r="Y11" s="15">
        <v>117</v>
      </c>
      <c r="Z11" s="15">
        <v>0</v>
      </c>
      <c r="AA11" s="15">
        <v>20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1055</v>
      </c>
      <c r="AM11" s="15">
        <v>14524</v>
      </c>
      <c r="AN11" s="14" t="s">
        <v>53</v>
      </c>
    </row>
    <row r="12" spans="1:40" s="11" customFormat="1" x14ac:dyDescent="0.25">
      <c r="A12" s="11">
        <v>9</v>
      </c>
      <c r="B12" s="11" t="s">
        <v>70</v>
      </c>
      <c r="C12" s="11" t="s">
        <v>71</v>
      </c>
      <c r="D12" s="11" t="s">
        <v>66</v>
      </c>
      <c r="E12" s="11" t="s">
        <v>52</v>
      </c>
      <c r="F12" s="12">
        <v>605</v>
      </c>
      <c r="G12" s="13">
        <v>17</v>
      </c>
      <c r="H12" s="13">
        <v>0</v>
      </c>
      <c r="I12" s="13">
        <v>17</v>
      </c>
      <c r="J12" s="13">
        <v>9</v>
      </c>
      <c r="K12" s="13">
        <v>68</v>
      </c>
      <c r="L12" s="13">
        <v>0</v>
      </c>
      <c r="M12" s="12">
        <v>5656.75</v>
      </c>
      <c r="N12" s="12">
        <v>4628.25</v>
      </c>
      <c r="O12" s="12">
        <v>10285</v>
      </c>
      <c r="P12" s="12">
        <v>5143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15428</v>
      </c>
      <c r="X12" s="12">
        <v>679</v>
      </c>
      <c r="Y12" s="12">
        <v>116</v>
      </c>
      <c r="Z12" s="12">
        <v>0</v>
      </c>
      <c r="AA12" s="12">
        <v>20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815</v>
      </c>
      <c r="AM12" s="12">
        <v>14613</v>
      </c>
      <c r="AN12" s="11" t="s">
        <v>53</v>
      </c>
    </row>
    <row r="13" spans="1:40" s="14" customFormat="1" x14ac:dyDescent="0.25">
      <c r="A13" s="14">
        <v>10</v>
      </c>
      <c r="B13" s="14" t="s">
        <v>72</v>
      </c>
      <c r="C13" s="14" t="s">
        <v>73</v>
      </c>
      <c r="D13" s="14" t="s">
        <v>51</v>
      </c>
      <c r="E13" s="14" t="s">
        <v>52</v>
      </c>
      <c r="F13" s="15">
        <v>605</v>
      </c>
      <c r="G13" s="16">
        <v>15</v>
      </c>
      <c r="H13" s="16">
        <v>0</v>
      </c>
      <c r="I13" s="16">
        <v>15</v>
      </c>
      <c r="J13" s="16">
        <v>11</v>
      </c>
      <c r="K13" s="16">
        <v>0</v>
      </c>
      <c r="L13" s="16">
        <v>0</v>
      </c>
      <c r="M13" s="15">
        <v>4991.25</v>
      </c>
      <c r="N13" s="15">
        <v>4083.75</v>
      </c>
      <c r="O13" s="15">
        <v>9075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9075</v>
      </c>
      <c r="X13" s="15">
        <v>599</v>
      </c>
      <c r="Y13" s="15">
        <v>68</v>
      </c>
      <c r="Z13" s="15">
        <v>0</v>
      </c>
      <c r="AA13" s="15">
        <v>20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687</v>
      </c>
      <c r="AM13" s="15">
        <v>8388</v>
      </c>
      <c r="AN13" s="14" t="s">
        <v>53</v>
      </c>
    </row>
    <row r="14" spans="1:40" s="11" customFormat="1" x14ac:dyDescent="0.25">
      <c r="A14" s="11">
        <v>11</v>
      </c>
      <c r="B14" s="11" t="s">
        <v>74</v>
      </c>
      <c r="C14" s="11" t="s">
        <v>75</v>
      </c>
      <c r="D14" s="11" t="s">
        <v>51</v>
      </c>
      <c r="E14" s="11" t="s">
        <v>52</v>
      </c>
      <c r="F14" s="12">
        <v>605</v>
      </c>
      <c r="G14" s="13">
        <v>22</v>
      </c>
      <c r="H14" s="13">
        <v>0</v>
      </c>
      <c r="I14" s="13">
        <v>22</v>
      </c>
      <c r="J14" s="13">
        <v>4</v>
      </c>
      <c r="K14" s="13">
        <v>0</v>
      </c>
      <c r="L14" s="13">
        <v>0</v>
      </c>
      <c r="M14" s="12">
        <v>7320.5</v>
      </c>
      <c r="N14" s="12">
        <v>5989.5</v>
      </c>
      <c r="O14" s="12">
        <v>13310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13310</v>
      </c>
      <c r="X14" s="12">
        <v>878</v>
      </c>
      <c r="Y14" s="12">
        <v>100</v>
      </c>
      <c r="Z14" s="12">
        <v>0</v>
      </c>
      <c r="AA14" s="12">
        <v>20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998</v>
      </c>
      <c r="AM14" s="12">
        <v>12312</v>
      </c>
      <c r="AN14" s="11" t="s">
        <v>53</v>
      </c>
    </row>
    <row r="15" spans="1:40" s="14" customFormat="1" x14ac:dyDescent="0.25">
      <c r="A15" s="14">
        <v>12</v>
      </c>
      <c r="B15" s="14" t="s">
        <v>76</v>
      </c>
      <c r="C15" s="14" t="s">
        <v>77</v>
      </c>
      <c r="D15" s="14" t="s">
        <v>51</v>
      </c>
      <c r="E15" s="14" t="s">
        <v>52</v>
      </c>
      <c r="F15" s="15">
        <v>605</v>
      </c>
      <c r="G15" s="16">
        <v>20</v>
      </c>
      <c r="H15" s="16">
        <v>0</v>
      </c>
      <c r="I15" s="16">
        <v>20</v>
      </c>
      <c r="J15" s="16">
        <v>6</v>
      </c>
      <c r="K15" s="16">
        <v>0</v>
      </c>
      <c r="L15" s="16">
        <v>0</v>
      </c>
      <c r="M15" s="15">
        <v>6655</v>
      </c>
      <c r="N15" s="15">
        <v>5445</v>
      </c>
      <c r="O15" s="15">
        <v>12100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12100</v>
      </c>
      <c r="X15" s="15">
        <v>799</v>
      </c>
      <c r="Y15" s="15">
        <v>91</v>
      </c>
      <c r="Z15" s="15">
        <v>0</v>
      </c>
      <c r="AA15" s="15">
        <v>20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910</v>
      </c>
      <c r="AM15" s="15">
        <v>11190</v>
      </c>
      <c r="AN15" s="14" t="s">
        <v>53</v>
      </c>
    </row>
    <row r="16" spans="1:40" s="11" customFormat="1" x14ac:dyDescent="0.25">
      <c r="A16" s="11">
        <v>13</v>
      </c>
      <c r="B16" s="11" t="s">
        <v>78</v>
      </c>
      <c r="C16" s="11" t="s">
        <v>79</v>
      </c>
      <c r="D16" s="11" t="s">
        <v>51</v>
      </c>
      <c r="E16" s="11" t="s">
        <v>52</v>
      </c>
      <c r="F16" s="12">
        <v>605</v>
      </c>
      <c r="G16" s="13">
        <v>23</v>
      </c>
      <c r="H16" s="13">
        <v>0</v>
      </c>
      <c r="I16" s="13">
        <v>23</v>
      </c>
      <c r="J16" s="13">
        <v>3</v>
      </c>
      <c r="K16" s="13">
        <v>0</v>
      </c>
      <c r="L16" s="13">
        <v>0</v>
      </c>
      <c r="M16" s="12">
        <v>7653.25</v>
      </c>
      <c r="N16" s="12">
        <v>6261.75</v>
      </c>
      <c r="O16" s="12">
        <v>13915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13915</v>
      </c>
      <c r="X16" s="12">
        <v>918</v>
      </c>
      <c r="Y16" s="12">
        <v>104</v>
      </c>
      <c r="Z16" s="12">
        <v>0</v>
      </c>
      <c r="AA16" s="12">
        <v>20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1042</v>
      </c>
      <c r="AM16" s="12">
        <v>12873</v>
      </c>
      <c r="AN16" s="11" t="s">
        <v>53</v>
      </c>
    </row>
    <row r="17" spans="1:40" s="14" customFormat="1" x14ac:dyDescent="0.25">
      <c r="A17" s="14">
        <v>14</v>
      </c>
      <c r="B17" s="14" t="s">
        <v>80</v>
      </c>
      <c r="C17" s="14" t="s">
        <v>81</v>
      </c>
      <c r="D17" s="14" t="s">
        <v>82</v>
      </c>
      <c r="E17" s="14" t="s">
        <v>52</v>
      </c>
      <c r="F17" s="15">
        <v>605</v>
      </c>
      <c r="G17" s="16">
        <v>22</v>
      </c>
      <c r="H17" s="16">
        <v>0</v>
      </c>
      <c r="I17" s="16">
        <v>22</v>
      </c>
      <c r="J17" s="16">
        <v>4</v>
      </c>
      <c r="K17" s="16">
        <v>88</v>
      </c>
      <c r="L17" s="16">
        <v>0</v>
      </c>
      <c r="M17" s="15">
        <v>7320.5</v>
      </c>
      <c r="N17" s="15">
        <v>5989.5</v>
      </c>
      <c r="O17" s="15">
        <v>13310</v>
      </c>
      <c r="P17" s="15">
        <v>6655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19965</v>
      </c>
      <c r="X17" s="15">
        <v>878</v>
      </c>
      <c r="Y17" s="15">
        <v>150</v>
      </c>
      <c r="Z17" s="15">
        <v>0</v>
      </c>
      <c r="AA17" s="15">
        <v>20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1048</v>
      </c>
      <c r="AM17" s="15">
        <v>18917</v>
      </c>
      <c r="AN17" s="14" t="s">
        <v>53</v>
      </c>
    </row>
    <row r="18" spans="1:40" s="11" customFormat="1" x14ac:dyDescent="0.25">
      <c r="A18" s="11">
        <v>15</v>
      </c>
      <c r="B18" s="11" t="s">
        <v>83</v>
      </c>
      <c r="C18" s="11" t="s">
        <v>84</v>
      </c>
      <c r="D18" s="11" t="s">
        <v>85</v>
      </c>
      <c r="E18" s="11" t="s">
        <v>52</v>
      </c>
      <c r="F18" s="12">
        <v>605</v>
      </c>
      <c r="G18" s="13">
        <v>23</v>
      </c>
      <c r="H18" s="13">
        <v>0</v>
      </c>
      <c r="I18" s="13">
        <v>23</v>
      </c>
      <c r="J18" s="13">
        <v>3</v>
      </c>
      <c r="K18" s="13">
        <v>0</v>
      </c>
      <c r="L18" s="13">
        <v>0</v>
      </c>
      <c r="M18" s="12">
        <v>7653.25</v>
      </c>
      <c r="N18" s="12">
        <v>6261.75</v>
      </c>
      <c r="O18" s="12">
        <v>13915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13915</v>
      </c>
      <c r="X18" s="12">
        <v>918</v>
      </c>
      <c r="Y18" s="12">
        <v>104</v>
      </c>
      <c r="Z18" s="12">
        <v>0</v>
      </c>
      <c r="AA18" s="12">
        <v>20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1042</v>
      </c>
      <c r="AM18" s="12">
        <v>12873</v>
      </c>
      <c r="AN18" s="11" t="s">
        <v>53</v>
      </c>
    </row>
    <row r="19" spans="1:40" s="14" customFormat="1" x14ac:dyDescent="0.25">
      <c r="A19" s="14">
        <v>16</v>
      </c>
      <c r="B19" s="14" t="s">
        <v>86</v>
      </c>
      <c r="C19" s="14" t="s">
        <v>87</v>
      </c>
      <c r="D19" s="14" t="s">
        <v>51</v>
      </c>
      <c r="E19" s="14" t="s">
        <v>52</v>
      </c>
      <c r="F19" s="15">
        <v>605</v>
      </c>
      <c r="G19" s="16">
        <v>20</v>
      </c>
      <c r="H19" s="16">
        <v>0</v>
      </c>
      <c r="I19" s="16">
        <v>20</v>
      </c>
      <c r="J19" s="16">
        <v>6</v>
      </c>
      <c r="K19" s="16">
        <v>0</v>
      </c>
      <c r="L19" s="16">
        <v>0</v>
      </c>
      <c r="M19" s="15">
        <v>6655</v>
      </c>
      <c r="N19" s="15">
        <v>5445</v>
      </c>
      <c r="O19" s="15">
        <v>12100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12100</v>
      </c>
      <c r="X19" s="15">
        <v>799</v>
      </c>
      <c r="Y19" s="15">
        <v>91</v>
      </c>
      <c r="Z19" s="15">
        <v>0</v>
      </c>
      <c r="AA19" s="15">
        <v>20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910</v>
      </c>
      <c r="AM19" s="15">
        <v>11190</v>
      </c>
      <c r="AN19" s="14" t="s">
        <v>53</v>
      </c>
    </row>
    <row r="20" spans="1:40" s="11" customFormat="1" x14ac:dyDescent="0.25">
      <c r="A20" s="11">
        <v>17</v>
      </c>
      <c r="B20" s="11" t="s">
        <v>88</v>
      </c>
      <c r="C20" s="11" t="s">
        <v>89</v>
      </c>
      <c r="D20" s="11" t="s">
        <v>51</v>
      </c>
      <c r="E20" s="11" t="s">
        <v>52</v>
      </c>
      <c r="F20" s="12">
        <v>605</v>
      </c>
      <c r="G20" s="13">
        <v>23</v>
      </c>
      <c r="H20" s="13">
        <v>0</v>
      </c>
      <c r="I20" s="13">
        <v>23</v>
      </c>
      <c r="J20" s="13">
        <v>3</v>
      </c>
      <c r="K20" s="13">
        <v>0</v>
      </c>
      <c r="L20" s="13">
        <v>0</v>
      </c>
      <c r="M20" s="12">
        <v>7653.25</v>
      </c>
      <c r="N20" s="12">
        <v>6261.75</v>
      </c>
      <c r="O20" s="12">
        <v>13915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13915</v>
      </c>
      <c r="X20" s="12">
        <v>918</v>
      </c>
      <c r="Y20" s="12">
        <v>104</v>
      </c>
      <c r="Z20" s="12">
        <v>0</v>
      </c>
      <c r="AA20" s="12">
        <v>20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1042</v>
      </c>
      <c r="AM20" s="12">
        <v>12873</v>
      </c>
      <c r="AN20" s="11" t="s">
        <v>53</v>
      </c>
    </row>
    <row r="21" spans="1:40" s="14" customFormat="1" x14ac:dyDescent="0.25">
      <c r="A21" s="14">
        <v>18</v>
      </c>
      <c r="B21" s="14" t="s">
        <v>90</v>
      </c>
      <c r="C21" s="14" t="s">
        <v>91</v>
      </c>
      <c r="D21" s="14" t="s">
        <v>51</v>
      </c>
      <c r="E21" s="14" t="s">
        <v>52</v>
      </c>
      <c r="F21" s="15">
        <v>605</v>
      </c>
      <c r="G21" s="16">
        <v>21</v>
      </c>
      <c r="H21" s="16">
        <v>0</v>
      </c>
      <c r="I21" s="16">
        <v>21</v>
      </c>
      <c r="J21" s="16">
        <v>5</v>
      </c>
      <c r="K21" s="16">
        <v>89</v>
      </c>
      <c r="L21" s="16">
        <v>0</v>
      </c>
      <c r="M21" s="15">
        <v>6987.75</v>
      </c>
      <c r="N21" s="15">
        <v>5717.25</v>
      </c>
      <c r="O21" s="15">
        <v>12705</v>
      </c>
      <c r="P21" s="15">
        <v>6731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19436</v>
      </c>
      <c r="X21" s="15">
        <v>839</v>
      </c>
      <c r="Y21" s="15">
        <v>146</v>
      </c>
      <c r="Z21" s="15">
        <v>0</v>
      </c>
      <c r="AA21" s="15">
        <v>20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1005</v>
      </c>
      <c r="AM21" s="15">
        <v>18431</v>
      </c>
      <c r="AN21" s="14" t="s">
        <v>53</v>
      </c>
    </row>
    <row r="22" spans="1:40" s="11" customFormat="1" x14ac:dyDescent="0.25">
      <c r="A22" s="11">
        <v>19</v>
      </c>
      <c r="B22" s="11" t="s">
        <v>92</v>
      </c>
      <c r="C22" s="11" t="s">
        <v>93</v>
      </c>
      <c r="D22" s="11" t="s">
        <v>66</v>
      </c>
      <c r="E22" s="11" t="s">
        <v>52</v>
      </c>
      <c r="F22" s="12">
        <v>605</v>
      </c>
      <c r="G22" s="13">
        <v>10</v>
      </c>
      <c r="H22" s="13">
        <v>0</v>
      </c>
      <c r="I22" s="13">
        <v>10</v>
      </c>
      <c r="J22" s="13">
        <v>1</v>
      </c>
      <c r="K22" s="13">
        <v>40</v>
      </c>
      <c r="L22" s="13">
        <v>0</v>
      </c>
      <c r="M22" s="12">
        <v>3327.5</v>
      </c>
      <c r="N22" s="12">
        <v>2722.5</v>
      </c>
      <c r="O22" s="12">
        <v>6050</v>
      </c>
      <c r="P22" s="12">
        <v>3025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9075</v>
      </c>
      <c r="X22" s="12">
        <v>399</v>
      </c>
      <c r="Y22" s="12">
        <v>68</v>
      </c>
      <c r="Z22" s="12">
        <v>0</v>
      </c>
      <c r="AA22" s="12">
        <v>20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487</v>
      </c>
      <c r="AM22" s="12">
        <v>8588</v>
      </c>
      <c r="AN22" s="11" t="s">
        <v>53</v>
      </c>
    </row>
    <row r="23" spans="1:40" s="14" customFormat="1" x14ac:dyDescent="0.25">
      <c r="A23" s="14">
        <v>20</v>
      </c>
      <c r="B23" s="14" t="s">
        <v>94</v>
      </c>
      <c r="C23" s="14" t="s">
        <v>95</v>
      </c>
      <c r="D23" s="14" t="s">
        <v>66</v>
      </c>
      <c r="E23" s="14" t="s">
        <v>52</v>
      </c>
      <c r="F23" s="15">
        <v>605</v>
      </c>
      <c r="G23" s="16">
        <v>10</v>
      </c>
      <c r="H23" s="16">
        <v>0</v>
      </c>
      <c r="I23" s="16">
        <v>10</v>
      </c>
      <c r="J23" s="16">
        <v>0</v>
      </c>
      <c r="K23" s="16">
        <v>40</v>
      </c>
      <c r="L23" s="16">
        <v>0</v>
      </c>
      <c r="M23" s="15">
        <v>3327.5</v>
      </c>
      <c r="N23" s="15">
        <v>2722.5</v>
      </c>
      <c r="O23" s="15">
        <v>6050</v>
      </c>
      <c r="P23" s="15">
        <v>3025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9075</v>
      </c>
      <c r="X23" s="15">
        <v>399</v>
      </c>
      <c r="Y23" s="15">
        <v>68</v>
      </c>
      <c r="Z23" s="15">
        <v>0</v>
      </c>
      <c r="AA23" s="15">
        <v>20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487</v>
      </c>
      <c r="AM23" s="15">
        <v>8588</v>
      </c>
      <c r="AN23" s="14" t="s">
        <v>53</v>
      </c>
    </row>
    <row r="24" spans="1:40" s="11" customFormat="1" x14ac:dyDescent="0.25">
      <c r="A24" s="11">
        <v>21</v>
      </c>
      <c r="B24" s="11" t="s">
        <v>96</v>
      </c>
      <c r="C24" s="11" t="s">
        <v>97</v>
      </c>
      <c r="D24" s="11" t="s">
        <v>51</v>
      </c>
      <c r="E24" s="11" t="s">
        <v>52</v>
      </c>
      <c r="F24" s="12">
        <v>605</v>
      </c>
      <c r="G24" s="13">
        <v>24</v>
      </c>
      <c r="H24" s="13">
        <v>0</v>
      </c>
      <c r="I24" s="13">
        <v>24</v>
      </c>
      <c r="J24" s="13">
        <v>2</v>
      </c>
      <c r="K24" s="13">
        <v>0</v>
      </c>
      <c r="L24" s="13">
        <v>0</v>
      </c>
      <c r="M24" s="12">
        <v>7986</v>
      </c>
      <c r="N24" s="12">
        <v>6534</v>
      </c>
      <c r="O24" s="12">
        <v>14520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14520</v>
      </c>
      <c r="X24" s="12">
        <v>958</v>
      </c>
      <c r="Y24" s="12">
        <v>109</v>
      </c>
      <c r="Z24" s="12">
        <v>0</v>
      </c>
      <c r="AA24" s="12">
        <v>20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1087</v>
      </c>
      <c r="AM24" s="12">
        <v>13433</v>
      </c>
      <c r="AN24" s="11" t="s">
        <v>53</v>
      </c>
    </row>
    <row r="25" spans="1:40" s="14" customFormat="1" x14ac:dyDescent="0.25">
      <c r="A25" s="14">
        <v>22</v>
      </c>
      <c r="B25" s="14" t="s">
        <v>98</v>
      </c>
      <c r="C25" s="14" t="s">
        <v>99</v>
      </c>
      <c r="D25" s="14" t="s">
        <v>51</v>
      </c>
      <c r="E25" s="14" t="s">
        <v>52</v>
      </c>
      <c r="F25" s="15">
        <v>605</v>
      </c>
      <c r="G25" s="16">
        <v>22</v>
      </c>
      <c r="H25" s="16">
        <v>0</v>
      </c>
      <c r="I25" s="16">
        <v>22</v>
      </c>
      <c r="J25" s="16">
        <v>4</v>
      </c>
      <c r="K25" s="16">
        <v>0</v>
      </c>
      <c r="L25" s="16">
        <v>0</v>
      </c>
      <c r="M25" s="15">
        <v>7320.5</v>
      </c>
      <c r="N25" s="15">
        <v>5989.5</v>
      </c>
      <c r="O25" s="15">
        <v>13310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13310</v>
      </c>
      <c r="X25" s="15">
        <v>878</v>
      </c>
      <c r="Y25" s="15">
        <v>100</v>
      </c>
      <c r="Z25" s="15">
        <v>0</v>
      </c>
      <c r="AA25" s="15">
        <v>20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998</v>
      </c>
      <c r="AM25" s="15">
        <v>12312</v>
      </c>
      <c r="AN25" s="14" t="s">
        <v>53</v>
      </c>
    </row>
    <row r="26" spans="1:40" s="11" customFormat="1" x14ac:dyDescent="0.25">
      <c r="A26" s="11">
        <v>23</v>
      </c>
      <c r="B26" s="11" t="s">
        <v>100</v>
      </c>
      <c r="C26" s="11" t="s">
        <v>101</v>
      </c>
      <c r="D26" s="11" t="s">
        <v>102</v>
      </c>
      <c r="E26" s="11" t="s">
        <v>52</v>
      </c>
      <c r="F26" s="12">
        <v>605</v>
      </c>
      <c r="G26" s="13">
        <v>23</v>
      </c>
      <c r="H26" s="13">
        <v>0</v>
      </c>
      <c r="I26" s="13">
        <v>23</v>
      </c>
      <c r="J26" s="13">
        <v>3</v>
      </c>
      <c r="K26" s="13">
        <v>100</v>
      </c>
      <c r="L26" s="13">
        <v>0</v>
      </c>
      <c r="M26" s="12">
        <v>7653.25</v>
      </c>
      <c r="N26" s="12">
        <v>6261.75</v>
      </c>
      <c r="O26" s="12">
        <v>13915</v>
      </c>
      <c r="P26" s="12">
        <v>7563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21478</v>
      </c>
      <c r="X26" s="12">
        <v>918</v>
      </c>
      <c r="Y26" s="12">
        <v>0</v>
      </c>
      <c r="Z26" s="12">
        <v>135</v>
      </c>
      <c r="AA26" s="12">
        <v>20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1073</v>
      </c>
      <c r="AM26" s="12">
        <v>20405</v>
      </c>
      <c r="AN26" s="11" t="s">
        <v>53</v>
      </c>
    </row>
    <row r="27" spans="1:40" s="14" customFormat="1" x14ac:dyDescent="0.25">
      <c r="A27" s="14">
        <v>24</v>
      </c>
      <c r="B27" s="14" t="s">
        <v>103</v>
      </c>
      <c r="C27" s="14" t="s">
        <v>104</v>
      </c>
      <c r="D27" s="14" t="s">
        <v>82</v>
      </c>
      <c r="E27" s="14" t="s">
        <v>52</v>
      </c>
      <c r="F27" s="15">
        <v>605</v>
      </c>
      <c r="G27" s="16">
        <v>23</v>
      </c>
      <c r="H27" s="16">
        <v>0</v>
      </c>
      <c r="I27" s="16">
        <v>23</v>
      </c>
      <c r="J27" s="16">
        <v>3</v>
      </c>
      <c r="K27" s="16">
        <v>92</v>
      </c>
      <c r="L27" s="16">
        <v>0</v>
      </c>
      <c r="M27" s="15">
        <v>7653.25</v>
      </c>
      <c r="N27" s="15">
        <v>6261.75</v>
      </c>
      <c r="O27" s="15">
        <v>13915</v>
      </c>
      <c r="P27" s="15">
        <v>6958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20873</v>
      </c>
      <c r="X27" s="15">
        <v>918</v>
      </c>
      <c r="Y27" s="15">
        <v>157</v>
      </c>
      <c r="Z27" s="15">
        <v>0</v>
      </c>
      <c r="AA27" s="15">
        <v>20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1095</v>
      </c>
      <c r="AM27" s="15">
        <v>19778</v>
      </c>
      <c r="AN27" s="14" t="s">
        <v>53</v>
      </c>
    </row>
    <row r="28" spans="1:40" s="11" customFormat="1" x14ac:dyDescent="0.25">
      <c r="A28" s="11">
        <v>25</v>
      </c>
      <c r="B28" s="11" t="s">
        <v>105</v>
      </c>
      <c r="C28" s="11" t="s">
        <v>106</v>
      </c>
      <c r="D28" s="11" t="s">
        <v>66</v>
      </c>
      <c r="E28" s="11" t="s">
        <v>52</v>
      </c>
      <c r="F28" s="12">
        <v>605</v>
      </c>
      <c r="G28" s="13">
        <v>21</v>
      </c>
      <c r="H28" s="13">
        <v>0</v>
      </c>
      <c r="I28" s="13">
        <v>21</v>
      </c>
      <c r="J28" s="13">
        <v>5</v>
      </c>
      <c r="K28" s="13">
        <v>80</v>
      </c>
      <c r="L28" s="13">
        <v>0</v>
      </c>
      <c r="M28" s="12">
        <v>6987.75</v>
      </c>
      <c r="N28" s="12">
        <v>5717.25</v>
      </c>
      <c r="O28" s="12">
        <v>12705</v>
      </c>
      <c r="P28" s="12">
        <v>6050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18755</v>
      </c>
      <c r="X28" s="12">
        <v>839</v>
      </c>
      <c r="Y28" s="12">
        <v>141</v>
      </c>
      <c r="Z28" s="12">
        <v>0</v>
      </c>
      <c r="AA28" s="12">
        <v>20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1000</v>
      </c>
      <c r="AM28" s="12">
        <v>17755</v>
      </c>
      <c r="AN28" s="11" t="s">
        <v>53</v>
      </c>
    </row>
    <row r="29" spans="1:40" s="14" customFormat="1" x14ac:dyDescent="0.25">
      <c r="A29" s="14">
        <v>26</v>
      </c>
      <c r="B29" s="14" t="s">
        <v>107</v>
      </c>
      <c r="C29" s="14" t="s">
        <v>108</v>
      </c>
      <c r="D29" s="14" t="s">
        <v>66</v>
      </c>
      <c r="E29" s="14" t="s">
        <v>52</v>
      </c>
      <c r="F29" s="15">
        <v>605</v>
      </c>
      <c r="G29" s="16">
        <v>21</v>
      </c>
      <c r="H29" s="16">
        <v>0</v>
      </c>
      <c r="I29" s="16">
        <v>21</v>
      </c>
      <c r="J29" s="16">
        <v>5</v>
      </c>
      <c r="K29" s="16">
        <v>84</v>
      </c>
      <c r="L29" s="16">
        <v>0</v>
      </c>
      <c r="M29" s="15">
        <v>6987.75</v>
      </c>
      <c r="N29" s="15">
        <v>5717.25</v>
      </c>
      <c r="O29" s="15">
        <v>12705</v>
      </c>
      <c r="P29" s="15">
        <v>6353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19058</v>
      </c>
      <c r="X29" s="15">
        <v>839</v>
      </c>
      <c r="Y29" s="15">
        <v>143</v>
      </c>
      <c r="Z29" s="15">
        <v>0</v>
      </c>
      <c r="AA29" s="15">
        <v>20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1002</v>
      </c>
      <c r="AM29" s="15">
        <v>18056</v>
      </c>
      <c r="AN29" s="14" t="s">
        <v>53</v>
      </c>
    </row>
    <row r="30" spans="1:40" s="11" customFormat="1" x14ac:dyDescent="0.25">
      <c r="A30" s="11">
        <v>27</v>
      </c>
      <c r="B30" s="11" t="s">
        <v>109</v>
      </c>
      <c r="C30" s="11" t="s">
        <v>110</v>
      </c>
      <c r="D30" s="11" t="s">
        <v>66</v>
      </c>
      <c r="E30" s="11" t="s">
        <v>52</v>
      </c>
      <c r="F30" s="12">
        <v>605</v>
      </c>
      <c r="G30" s="13">
        <v>15</v>
      </c>
      <c r="H30" s="13">
        <v>0</v>
      </c>
      <c r="I30" s="13">
        <v>15</v>
      </c>
      <c r="J30" s="13">
        <v>2</v>
      </c>
      <c r="K30" s="13">
        <v>60</v>
      </c>
      <c r="L30" s="13">
        <v>0</v>
      </c>
      <c r="M30" s="12">
        <v>4991.25</v>
      </c>
      <c r="N30" s="12">
        <v>4083.75</v>
      </c>
      <c r="O30" s="12">
        <v>9075</v>
      </c>
      <c r="P30" s="12">
        <v>4538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13613</v>
      </c>
      <c r="X30" s="12">
        <v>599</v>
      </c>
      <c r="Y30" s="12">
        <v>102</v>
      </c>
      <c r="Z30" s="12">
        <v>0</v>
      </c>
      <c r="AA30" s="12">
        <v>20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721</v>
      </c>
      <c r="AM30" s="12">
        <v>12892</v>
      </c>
      <c r="AN30" s="11" t="s">
        <v>53</v>
      </c>
    </row>
    <row r="31" spans="1:40" s="14" customFormat="1" x14ac:dyDescent="0.25">
      <c r="A31" s="14">
        <v>28</v>
      </c>
      <c r="B31" s="14" t="s">
        <v>111</v>
      </c>
      <c r="C31" s="14" t="s">
        <v>112</v>
      </c>
      <c r="D31" s="14" t="s">
        <v>51</v>
      </c>
      <c r="E31" s="14" t="s">
        <v>52</v>
      </c>
      <c r="F31" s="15">
        <v>605</v>
      </c>
      <c r="G31" s="16">
        <v>25</v>
      </c>
      <c r="H31" s="16">
        <v>0</v>
      </c>
      <c r="I31" s="16">
        <v>25</v>
      </c>
      <c r="J31" s="16">
        <v>1</v>
      </c>
      <c r="K31" s="16">
        <v>0</v>
      </c>
      <c r="L31" s="16">
        <v>0</v>
      </c>
      <c r="M31" s="15">
        <v>8318.75</v>
      </c>
      <c r="N31" s="15">
        <v>6806.25</v>
      </c>
      <c r="O31" s="15">
        <v>15125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15125</v>
      </c>
      <c r="X31" s="15">
        <v>998</v>
      </c>
      <c r="Y31" s="15">
        <v>113</v>
      </c>
      <c r="Z31" s="15">
        <v>0</v>
      </c>
      <c r="AA31" s="15">
        <v>20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1131</v>
      </c>
      <c r="AM31" s="15">
        <v>13994</v>
      </c>
      <c r="AN31" s="14" t="s">
        <v>53</v>
      </c>
    </row>
    <row r="32" spans="1:40" s="11" customFormat="1" x14ac:dyDescent="0.25">
      <c r="A32" s="11">
        <v>29</v>
      </c>
      <c r="B32" s="11" t="s">
        <v>113</v>
      </c>
      <c r="C32" s="11" t="s">
        <v>114</v>
      </c>
      <c r="D32" s="11" t="s">
        <v>51</v>
      </c>
      <c r="E32" s="11" t="s">
        <v>52</v>
      </c>
      <c r="F32" s="12">
        <v>605</v>
      </c>
      <c r="G32" s="13">
        <v>23</v>
      </c>
      <c r="H32" s="13">
        <v>0</v>
      </c>
      <c r="I32" s="13">
        <v>23</v>
      </c>
      <c r="J32" s="13">
        <v>3</v>
      </c>
      <c r="K32" s="13">
        <v>0</v>
      </c>
      <c r="L32" s="13">
        <v>0</v>
      </c>
      <c r="M32" s="12">
        <v>7653.25</v>
      </c>
      <c r="N32" s="12">
        <v>6261.75</v>
      </c>
      <c r="O32" s="12">
        <v>13915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13915</v>
      </c>
      <c r="X32" s="12">
        <v>918</v>
      </c>
      <c r="Y32" s="12">
        <v>104</v>
      </c>
      <c r="Z32" s="12">
        <v>0</v>
      </c>
      <c r="AA32" s="12">
        <v>20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1042</v>
      </c>
      <c r="AM32" s="12">
        <v>12873</v>
      </c>
      <c r="AN32" s="11" t="s">
        <v>53</v>
      </c>
    </row>
    <row r="33" spans="1:40" s="14" customFormat="1" x14ac:dyDescent="0.25">
      <c r="A33" s="14">
        <v>30</v>
      </c>
      <c r="B33" s="14" t="s">
        <v>115</v>
      </c>
      <c r="C33" s="14" t="s">
        <v>116</v>
      </c>
      <c r="D33" s="14" t="s">
        <v>51</v>
      </c>
      <c r="E33" s="14" t="s">
        <v>52</v>
      </c>
      <c r="F33" s="15">
        <v>605</v>
      </c>
      <c r="G33" s="16">
        <v>24</v>
      </c>
      <c r="H33" s="16">
        <v>0</v>
      </c>
      <c r="I33" s="16">
        <v>24</v>
      </c>
      <c r="J33" s="16">
        <v>2</v>
      </c>
      <c r="K33" s="16">
        <v>0</v>
      </c>
      <c r="L33" s="16">
        <v>0</v>
      </c>
      <c r="M33" s="15">
        <v>7986</v>
      </c>
      <c r="N33" s="15">
        <v>6534</v>
      </c>
      <c r="O33" s="15">
        <v>14520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14520</v>
      </c>
      <c r="X33" s="15">
        <v>958</v>
      </c>
      <c r="Y33" s="15">
        <v>109</v>
      </c>
      <c r="Z33" s="15">
        <v>0</v>
      </c>
      <c r="AA33" s="15">
        <v>20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1087</v>
      </c>
      <c r="AM33" s="15">
        <v>13433</v>
      </c>
      <c r="AN33" s="14" t="s">
        <v>53</v>
      </c>
    </row>
    <row r="34" spans="1:40" s="17" customFormat="1" x14ac:dyDescent="0.25">
      <c r="A34" s="17">
        <v>31</v>
      </c>
      <c r="B34" s="17" t="s">
        <v>117</v>
      </c>
      <c r="C34" s="18" t="s">
        <v>118</v>
      </c>
      <c r="D34" s="17" t="s">
        <v>51</v>
      </c>
      <c r="E34" s="17" t="s">
        <v>52</v>
      </c>
      <c r="F34" s="19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20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7" t="s">
        <v>53</v>
      </c>
    </row>
    <row r="35" spans="1:40" s="14" customFormat="1" x14ac:dyDescent="0.25">
      <c r="A35" s="14">
        <v>32</v>
      </c>
      <c r="B35" s="14" t="s">
        <v>119</v>
      </c>
      <c r="C35" s="14" t="s">
        <v>120</v>
      </c>
      <c r="D35" s="14" t="s">
        <v>51</v>
      </c>
      <c r="E35" s="14" t="s">
        <v>52</v>
      </c>
      <c r="F35" s="15">
        <v>605</v>
      </c>
      <c r="G35" s="16">
        <v>21</v>
      </c>
      <c r="H35" s="16">
        <v>0</v>
      </c>
      <c r="I35" s="16">
        <v>21</v>
      </c>
      <c r="J35" s="16">
        <v>5</v>
      </c>
      <c r="K35" s="16">
        <v>0</v>
      </c>
      <c r="L35" s="16">
        <v>0</v>
      </c>
      <c r="M35" s="15">
        <v>6987.75</v>
      </c>
      <c r="N35" s="15">
        <v>5717.25</v>
      </c>
      <c r="O35" s="15">
        <v>12705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12705</v>
      </c>
      <c r="X35" s="15">
        <v>839</v>
      </c>
      <c r="Y35" s="15">
        <v>95</v>
      </c>
      <c r="Z35" s="15">
        <v>0</v>
      </c>
      <c r="AA35" s="15">
        <v>20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954</v>
      </c>
      <c r="AM35" s="15">
        <v>11751</v>
      </c>
      <c r="AN35" s="14" t="s">
        <v>53</v>
      </c>
    </row>
    <row r="36" spans="1:40" s="11" customFormat="1" x14ac:dyDescent="0.25">
      <c r="A36" s="11">
        <v>33</v>
      </c>
      <c r="B36" s="11" t="s">
        <v>121</v>
      </c>
      <c r="C36" s="11" t="s">
        <v>122</v>
      </c>
      <c r="D36" s="11" t="s">
        <v>102</v>
      </c>
      <c r="E36" s="11" t="s">
        <v>52</v>
      </c>
      <c r="F36" s="12">
        <v>605</v>
      </c>
      <c r="G36" s="13">
        <v>24</v>
      </c>
      <c r="H36" s="13">
        <v>0</v>
      </c>
      <c r="I36" s="13">
        <v>24</v>
      </c>
      <c r="J36" s="13">
        <v>2</v>
      </c>
      <c r="K36" s="13">
        <v>62</v>
      </c>
      <c r="L36" s="13">
        <v>0</v>
      </c>
      <c r="M36" s="12">
        <v>7986</v>
      </c>
      <c r="N36" s="12">
        <v>6534</v>
      </c>
      <c r="O36" s="12">
        <v>14520</v>
      </c>
      <c r="P36" s="12">
        <v>4689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19209</v>
      </c>
      <c r="X36" s="12">
        <v>958</v>
      </c>
      <c r="Y36" s="12">
        <v>144</v>
      </c>
      <c r="Z36" s="12">
        <v>0</v>
      </c>
      <c r="AA36" s="12">
        <v>20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1122</v>
      </c>
      <c r="AM36" s="12">
        <v>18087</v>
      </c>
      <c r="AN36" s="11" t="s">
        <v>53</v>
      </c>
    </row>
    <row r="37" spans="1:40" s="14" customFormat="1" x14ac:dyDescent="0.25">
      <c r="A37" s="14">
        <v>34</v>
      </c>
      <c r="B37" s="14" t="s">
        <v>123</v>
      </c>
      <c r="C37" s="14" t="s">
        <v>124</v>
      </c>
      <c r="D37" s="14" t="s">
        <v>66</v>
      </c>
      <c r="E37" s="14" t="s">
        <v>52</v>
      </c>
      <c r="F37" s="15">
        <v>605</v>
      </c>
      <c r="G37" s="16">
        <v>17</v>
      </c>
      <c r="H37" s="16">
        <v>0</v>
      </c>
      <c r="I37" s="16">
        <v>17</v>
      </c>
      <c r="J37" s="16">
        <v>9</v>
      </c>
      <c r="K37" s="16">
        <v>68</v>
      </c>
      <c r="L37" s="16">
        <v>0</v>
      </c>
      <c r="M37" s="15">
        <v>5656.75</v>
      </c>
      <c r="N37" s="15">
        <v>4628.25</v>
      </c>
      <c r="O37" s="15">
        <v>10285</v>
      </c>
      <c r="P37" s="15">
        <v>5143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15428</v>
      </c>
      <c r="X37" s="15">
        <v>679</v>
      </c>
      <c r="Y37" s="15">
        <v>116</v>
      </c>
      <c r="Z37" s="15">
        <v>0</v>
      </c>
      <c r="AA37" s="15">
        <v>20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815</v>
      </c>
      <c r="AM37" s="15">
        <v>14613</v>
      </c>
      <c r="AN37" s="14" t="s">
        <v>53</v>
      </c>
    </row>
    <row r="38" spans="1:40" s="11" customFormat="1" x14ac:dyDescent="0.25">
      <c r="A38" s="11">
        <v>35</v>
      </c>
      <c r="B38" s="11" t="s">
        <v>125</v>
      </c>
      <c r="C38" s="11" t="s">
        <v>126</v>
      </c>
      <c r="D38" s="11" t="s">
        <v>66</v>
      </c>
      <c r="E38" s="11" t="s">
        <v>52</v>
      </c>
      <c r="F38" s="12">
        <v>605</v>
      </c>
      <c r="G38" s="13">
        <v>20</v>
      </c>
      <c r="H38" s="13">
        <v>0</v>
      </c>
      <c r="I38" s="13">
        <v>20</v>
      </c>
      <c r="J38" s="13">
        <v>6</v>
      </c>
      <c r="K38" s="13">
        <v>80</v>
      </c>
      <c r="L38" s="13">
        <v>0</v>
      </c>
      <c r="M38" s="12">
        <v>6655</v>
      </c>
      <c r="N38" s="12">
        <v>5445</v>
      </c>
      <c r="O38" s="12">
        <v>12100</v>
      </c>
      <c r="P38" s="12">
        <v>6050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18150</v>
      </c>
      <c r="X38" s="12">
        <v>799</v>
      </c>
      <c r="Y38" s="12">
        <v>136</v>
      </c>
      <c r="Z38" s="12">
        <v>0</v>
      </c>
      <c r="AA38" s="12">
        <v>20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955</v>
      </c>
      <c r="AM38" s="12">
        <v>17195</v>
      </c>
      <c r="AN38" s="11" t="s">
        <v>53</v>
      </c>
    </row>
    <row r="39" spans="1:40" s="14" customFormat="1" x14ac:dyDescent="0.25">
      <c r="A39" s="14">
        <v>36</v>
      </c>
      <c r="B39" s="14" t="s">
        <v>127</v>
      </c>
      <c r="C39" s="14" t="s">
        <v>128</v>
      </c>
      <c r="D39" s="14" t="s">
        <v>82</v>
      </c>
      <c r="E39" s="14" t="s">
        <v>52</v>
      </c>
      <c r="F39" s="15">
        <v>605</v>
      </c>
      <c r="G39" s="16">
        <v>24</v>
      </c>
      <c r="H39" s="16">
        <v>0</v>
      </c>
      <c r="I39" s="16">
        <v>24</v>
      </c>
      <c r="J39" s="16">
        <v>2</v>
      </c>
      <c r="K39" s="16">
        <v>96</v>
      </c>
      <c r="L39" s="16">
        <v>0</v>
      </c>
      <c r="M39" s="15">
        <v>7986</v>
      </c>
      <c r="N39" s="15">
        <v>6534</v>
      </c>
      <c r="O39" s="15">
        <v>14520</v>
      </c>
      <c r="P39" s="15">
        <v>7260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21780</v>
      </c>
      <c r="X39" s="15">
        <v>958</v>
      </c>
      <c r="Y39" s="15">
        <v>0</v>
      </c>
      <c r="Z39" s="15">
        <v>135</v>
      </c>
      <c r="AA39" s="15">
        <v>20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1113</v>
      </c>
      <c r="AM39" s="15">
        <v>20667</v>
      </c>
      <c r="AN39" s="14" t="s">
        <v>53</v>
      </c>
    </row>
    <row r="40" spans="1:40" s="11" customFormat="1" x14ac:dyDescent="0.25">
      <c r="A40" s="11">
        <v>37</v>
      </c>
      <c r="B40" s="11" t="s">
        <v>129</v>
      </c>
      <c r="C40" s="11" t="s">
        <v>130</v>
      </c>
      <c r="D40" s="11" t="s">
        <v>82</v>
      </c>
      <c r="E40" s="11" t="s">
        <v>52</v>
      </c>
      <c r="F40" s="12">
        <v>605</v>
      </c>
      <c r="G40" s="13">
        <v>25</v>
      </c>
      <c r="H40" s="13">
        <v>0</v>
      </c>
      <c r="I40" s="13">
        <v>25</v>
      </c>
      <c r="J40" s="13">
        <v>1</v>
      </c>
      <c r="K40" s="13">
        <v>100</v>
      </c>
      <c r="L40" s="13">
        <v>0</v>
      </c>
      <c r="M40" s="12">
        <v>8318.75</v>
      </c>
      <c r="N40" s="12">
        <v>6806.25</v>
      </c>
      <c r="O40" s="12">
        <v>15125</v>
      </c>
      <c r="P40" s="12">
        <v>7563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22688</v>
      </c>
      <c r="X40" s="12">
        <v>998</v>
      </c>
      <c r="Y40" s="12">
        <v>0</v>
      </c>
      <c r="Z40" s="12">
        <v>135</v>
      </c>
      <c r="AA40" s="12">
        <v>20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1153</v>
      </c>
      <c r="AM40" s="12">
        <v>21535</v>
      </c>
      <c r="AN40" s="11" t="s">
        <v>53</v>
      </c>
    </row>
    <row r="41" spans="1:40" s="14" customFormat="1" x14ac:dyDescent="0.25">
      <c r="A41" s="14">
        <v>38</v>
      </c>
      <c r="B41" s="14" t="s">
        <v>131</v>
      </c>
      <c r="C41" s="14" t="s">
        <v>132</v>
      </c>
      <c r="D41" s="14" t="s">
        <v>51</v>
      </c>
      <c r="E41" s="14" t="s">
        <v>52</v>
      </c>
      <c r="F41" s="15">
        <v>605</v>
      </c>
      <c r="G41" s="16">
        <v>25</v>
      </c>
      <c r="H41" s="16">
        <v>0</v>
      </c>
      <c r="I41" s="16">
        <v>25</v>
      </c>
      <c r="J41" s="16">
        <v>2</v>
      </c>
      <c r="K41" s="16">
        <v>0</v>
      </c>
      <c r="L41" s="16">
        <v>0</v>
      </c>
      <c r="M41" s="15">
        <v>8318.75</v>
      </c>
      <c r="N41" s="15">
        <v>6806.25</v>
      </c>
      <c r="O41" s="15">
        <v>15125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15125</v>
      </c>
      <c r="X41" s="15">
        <v>998</v>
      </c>
      <c r="Y41" s="15">
        <v>113</v>
      </c>
      <c r="Z41" s="15">
        <v>0</v>
      </c>
      <c r="AA41" s="15">
        <v>20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1131</v>
      </c>
      <c r="AM41" s="15">
        <v>13994</v>
      </c>
      <c r="AN41" s="14" t="s">
        <v>53</v>
      </c>
    </row>
    <row r="42" spans="1:40" s="11" customFormat="1" x14ac:dyDescent="0.25">
      <c r="A42" s="11">
        <v>39</v>
      </c>
      <c r="B42" s="11" t="s">
        <v>133</v>
      </c>
      <c r="C42" s="11" t="s">
        <v>134</v>
      </c>
      <c r="D42" s="11" t="s">
        <v>85</v>
      </c>
      <c r="E42" s="11" t="s">
        <v>52</v>
      </c>
      <c r="F42" s="12">
        <v>605</v>
      </c>
      <c r="G42" s="13">
        <v>18</v>
      </c>
      <c r="H42" s="13">
        <v>0</v>
      </c>
      <c r="I42" s="13">
        <v>18</v>
      </c>
      <c r="J42" s="13">
        <v>8</v>
      </c>
      <c r="K42" s="13">
        <v>0</v>
      </c>
      <c r="L42" s="13">
        <v>0</v>
      </c>
      <c r="M42" s="12">
        <v>5989.5</v>
      </c>
      <c r="N42" s="12">
        <v>4900.5</v>
      </c>
      <c r="O42" s="12">
        <v>10890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10890</v>
      </c>
      <c r="X42" s="12">
        <v>719</v>
      </c>
      <c r="Y42" s="12">
        <v>82</v>
      </c>
      <c r="Z42" s="12">
        <v>0</v>
      </c>
      <c r="AA42" s="12">
        <v>20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821</v>
      </c>
      <c r="AM42" s="12">
        <v>10069</v>
      </c>
      <c r="AN42" s="11" t="s">
        <v>53</v>
      </c>
    </row>
    <row r="43" spans="1:40" s="14" customFormat="1" x14ac:dyDescent="0.25">
      <c r="A43" s="14">
        <v>40</v>
      </c>
      <c r="B43" s="14" t="s">
        <v>135</v>
      </c>
      <c r="C43" s="14" t="s">
        <v>136</v>
      </c>
      <c r="D43" s="14" t="s">
        <v>51</v>
      </c>
      <c r="E43" s="14" t="s">
        <v>52</v>
      </c>
      <c r="F43" s="15">
        <v>605</v>
      </c>
      <c r="G43" s="16">
        <v>3</v>
      </c>
      <c r="H43" s="16">
        <v>0</v>
      </c>
      <c r="I43" s="16">
        <v>3</v>
      </c>
      <c r="J43" s="16">
        <v>0</v>
      </c>
      <c r="K43" s="16">
        <v>0</v>
      </c>
      <c r="L43" s="16">
        <v>0</v>
      </c>
      <c r="M43" s="15">
        <v>998.25</v>
      </c>
      <c r="N43" s="15">
        <v>816.75</v>
      </c>
      <c r="O43" s="15">
        <v>1815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1815</v>
      </c>
      <c r="X43" s="15">
        <v>120</v>
      </c>
      <c r="Y43" s="15">
        <v>14</v>
      </c>
      <c r="Z43" s="15">
        <v>0</v>
      </c>
      <c r="AA43" s="15">
        <v>20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154</v>
      </c>
      <c r="AM43" s="15">
        <v>1661</v>
      </c>
      <c r="AN43" s="14" t="s">
        <v>53</v>
      </c>
    </row>
    <row r="44" spans="1:40" s="11" customFormat="1" x14ac:dyDescent="0.25">
      <c r="A44" s="11">
        <v>41</v>
      </c>
      <c r="B44" s="11" t="s">
        <v>137</v>
      </c>
      <c r="C44" s="11" t="s">
        <v>138</v>
      </c>
      <c r="D44" s="11" t="s">
        <v>51</v>
      </c>
      <c r="E44" s="11" t="s">
        <v>52</v>
      </c>
      <c r="F44" s="12">
        <v>605</v>
      </c>
      <c r="G44" s="13">
        <v>22</v>
      </c>
      <c r="H44" s="13">
        <v>0</v>
      </c>
      <c r="I44" s="13">
        <v>22</v>
      </c>
      <c r="J44" s="13">
        <v>5</v>
      </c>
      <c r="K44" s="13">
        <v>0</v>
      </c>
      <c r="L44" s="13">
        <v>0</v>
      </c>
      <c r="M44" s="12">
        <v>7320.5</v>
      </c>
      <c r="N44" s="12">
        <v>5989.5</v>
      </c>
      <c r="O44" s="12">
        <v>13310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13310</v>
      </c>
      <c r="X44" s="12">
        <v>878</v>
      </c>
      <c r="Y44" s="12">
        <v>100</v>
      </c>
      <c r="Z44" s="12">
        <v>0</v>
      </c>
      <c r="AA44" s="12">
        <v>20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998</v>
      </c>
      <c r="AM44" s="12">
        <v>12312</v>
      </c>
      <c r="AN44" s="11" t="s">
        <v>53</v>
      </c>
    </row>
    <row r="45" spans="1:40" s="14" customFormat="1" x14ac:dyDescent="0.25">
      <c r="A45" s="14">
        <v>42</v>
      </c>
      <c r="B45" s="14" t="s">
        <v>139</v>
      </c>
      <c r="C45" s="14" t="s">
        <v>140</v>
      </c>
      <c r="D45" s="14" t="s">
        <v>85</v>
      </c>
      <c r="E45" s="14" t="s">
        <v>52</v>
      </c>
      <c r="F45" s="15">
        <v>605</v>
      </c>
      <c r="G45" s="16">
        <v>8</v>
      </c>
      <c r="H45" s="16">
        <v>0</v>
      </c>
      <c r="I45" s="16">
        <v>8</v>
      </c>
      <c r="J45" s="16">
        <v>18</v>
      </c>
      <c r="K45" s="16">
        <v>0</v>
      </c>
      <c r="L45" s="16">
        <v>0</v>
      </c>
      <c r="M45" s="15">
        <v>2662</v>
      </c>
      <c r="N45" s="15">
        <v>2178</v>
      </c>
      <c r="O45" s="15">
        <v>4840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4840</v>
      </c>
      <c r="X45" s="15">
        <v>319</v>
      </c>
      <c r="Y45" s="15">
        <v>36</v>
      </c>
      <c r="Z45" s="15">
        <v>0</v>
      </c>
      <c r="AA45" s="15">
        <v>20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375</v>
      </c>
      <c r="AM45" s="15">
        <v>4465</v>
      </c>
      <c r="AN45" s="14" t="s">
        <v>53</v>
      </c>
    </row>
    <row r="46" spans="1:40" s="11" customFormat="1" x14ac:dyDescent="0.25">
      <c r="A46" s="11">
        <v>43</v>
      </c>
      <c r="B46" s="11" t="s">
        <v>141</v>
      </c>
      <c r="C46" s="11" t="s">
        <v>142</v>
      </c>
      <c r="D46" s="11" t="s">
        <v>51</v>
      </c>
      <c r="E46" s="11" t="s">
        <v>52</v>
      </c>
      <c r="F46" s="12">
        <v>605</v>
      </c>
      <c r="G46" s="13">
        <v>19</v>
      </c>
      <c r="H46" s="13">
        <v>0</v>
      </c>
      <c r="I46" s="13">
        <v>19</v>
      </c>
      <c r="J46" s="13">
        <v>8</v>
      </c>
      <c r="K46" s="13">
        <v>0</v>
      </c>
      <c r="L46" s="13">
        <v>0</v>
      </c>
      <c r="M46" s="12">
        <v>6322.25</v>
      </c>
      <c r="N46" s="12">
        <v>5172.75</v>
      </c>
      <c r="O46" s="12">
        <v>11495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11495</v>
      </c>
      <c r="X46" s="12">
        <v>759</v>
      </c>
      <c r="Y46" s="12">
        <v>86</v>
      </c>
      <c r="Z46" s="12">
        <v>0</v>
      </c>
      <c r="AA46" s="12">
        <v>20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865</v>
      </c>
      <c r="AM46" s="12">
        <v>10630</v>
      </c>
      <c r="AN46" s="11" t="s">
        <v>53</v>
      </c>
    </row>
    <row r="47" spans="1:40" s="14" customFormat="1" x14ac:dyDescent="0.25">
      <c r="A47" s="14">
        <v>44</v>
      </c>
      <c r="B47" s="14" t="s">
        <v>143</v>
      </c>
      <c r="C47" s="14" t="s">
        <v>144</v>
      </c>
      <c r="D47" s="14" t="s">
        <v>82</v>
      </c>
      <c r="E47" s="14" t="s">
        <v>52</v>
      </c>
      <c r="F47" s="15">
        <v>605</v>
      </c>
      <c r="G47" s="16">
        <v>22</v>
      </c>
      <c r="H47" s="16">
        <v>0</v>
      </c>
      <c r="I47" s="16">
        <v>22</v>
      </c>
      <c r="J47" s="16">
        <v>4</v>
      </c>
      <c r="K47" s="16">
        <v>85</v>
      </c>
      <c r="L47" s="16">
        <v>0</v>
      </c>
      <c r="M47" s="15">
        <v>7320.5</v>
      </c>
      <c r="N47" s="15">
        <v>5989.5</v>
      </c>
      <c r="O47" s="15">
        <v>13310</v>
      </c>
      <c r="P47" s="15">
        <v>6429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19739</v>
      </c>
      <c r="X47" s="15">
        <v>878</v>
      </c>
      <c r="Y47" s="15">
        <v>148</v>
      </c>
      <c r="Z47" s="15">
        <v>0</v>
      </c>
      <c r="AA47" s="15">
        <v>20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1046</v>
      </c>
      <c r="AM47" s="15">
        <v>18693</v>
      </c>
      <c r="AN47" s="14" t="s">
        <v>53</v>
      </c>
    </row>
    <row r="48" ht="24" customHeight="1" spans="1:39" s="21" customFormat="1" x14ac:dyDescent="0.25">
      <c r="A48" s="21" t="s">
        <v>53</v>
      </c>
      <c r="B48" s="21" t="s">
        <v>53</v>
      </c>
      <c r="C48" s="22" t="s">
        <v>145</v>
      </c>
      <c r="F48" s="23">
        <f>SUM(F4:F47)</f>
      </c>
      <c r="G48" s="24">
        <f>SUM(G4:G47)</f>
      </c>
      <c r="H48" s="24">
        <f>SUM(H4:H47)</f>
      </c>
      <c r="I48" s="24">
        <f>SUM(I4:I47)</f>
      </c>
      <c r="J48" s="24">
        <f>SUM(J4:J47)</f>
      </c>
      <c r="K48" s="24">
        <f>SUM(K4:K47)</f>
      </c>
      <c r="L48" s="24">
        <f>SUM(L4:L47)</f>
      </c>
      <c r="M48" s="23">
        <f>SUM(M4:M47)</f>
      </c>
      <c r="N48" s="23">
        <f>SUM(N4:N47)</f>
      </c>
      <c r="O48" s="23">
        <f>SUM(O4:O47)</f>
      </c>
      <c r="P48" s="23">
        <f>SUM(P4:P47)</f>
      </c>
      <c r="Q48" s="23">
        <f>SUM(Q4:Q47)</f>
      </c>
      <c r="R48" s="23">
        <f>SUM(R4:R47)</f>
      </c>
      <c r="S48" s="23">
        <f>SUM(S4:S47)</f>
      </c>
      <c r="T48" s="23">
        <f>SUM(T4:T47)</f>
      </c>
      <c r="U48" s="23">
        <f>SUM(U4:U47)</f>
      </c>
      <c r="V48" s="23">
        <f>SUM(V4:V47)</f>
      </c>
      <c r="W48" s="23">
        <f>SUM(W4:W47)</f>
      </c>
      <c r="X48" s="23">
        <f>SUM(X4:X47)</f>
      </c>
      <c r="Y48" s="23">
        <f>SUM(Y4:Y47)</f>
      </c>
      <c r="Z48" s="23">
        <f>SUM(Z4:Z47)</f>
      </c>
      <c r="AA48" s="23">
        <f>SUM(AA4:AA47)</f>
      </c>
      <c r="AB48" s="23">
        <f>SUM(AB4:AB47)</f>
      </c>
      <c r="AC48" s="23">
        <f>SUM(AC4:AC47)</f>
      </c>
      <c r="AD48" s="23">
        <f>SUM(AD4:AD47)</f>
      </c>
      <c r="AE48" s="23">
        <f>SUM(AE4:AE47)</f>
      </c>
      <c r="AF48" s="23">
        <f>SUM(AF4:AF47)</f>
      </c>
      <c r="AG48" s="23">
        <f>SUM(AG4:AG47)</f>
      </c>
      <c r="AH48" s="23">
        <f>SUM(AH4:AH47)</f>
      </c>
      <c r="AI48" s="23">
        <f>SUM(AI4:AI47)</f>
      </c>
      <c r="AJ48" s="23">
        <f>SUM(AJ4:AJ47)</f>
      </c>
      <c r="AK48" s="23">
        <f>SUM(AK4:AK47)</f>
      </c>
      <c r="AL48" s="23">
        <f>SUM(AL4:AL47)</f>
      </c>
      <c r="AM48" s="23">
        <f>SUM(AM4:AM47)</f>
      </c>
    </row>
    <row r="51" spans="3:33" x14ac:dyDescent="0.25">
      <c r="C51" s="25" t="s">
        <v>146</v>
      </c>
      <c r="O51" s="25" t="s">
        <v>147</v>
      </c>
      <c r="Z51" s="25" t="s">
        <v>148</v>
      </c>
      <c r="AG51" s="25" t="s">
        <v>149</v>
      </c>
    </row>
  </sheetData>
  <mergeCells count="9">
    <mergeCell ref="A1:AN1"/>
    <mergeCell ref="A2:E2"/>
    <mergeCell ref="F2:L2"/>
    <mergeCell ref="M2:W2"/>
    <mergeCell ref="X2:AA2"/>
    <mergeCell ref="AB2:AD2"/>
    <mergeCell ref="AE2:AG2"/>
    <mergeCell ref="AH2:AL2"/>
    <mergeCell ref="AM2:AN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PeopleHR — Payroll Engine</dc:creator>
  <dc:title/>
  <dc:subject/>
  <dc:description/>
  <cp:keywords/>
  <cp:category/>
  <cp:lastModifiedBy>Unknown</cp:lastModifiedBy>
  <dcterms:created xsi:type="dcterms:W3CDTF">2026-09-29T08:40:58Z</dcterms:created>
  <dcterms:modified xsi:type="dcterms:W3CDTF">2026-09-29T08:40:58Z</dcterms:modified>
</cp:coreProperties>
</file>