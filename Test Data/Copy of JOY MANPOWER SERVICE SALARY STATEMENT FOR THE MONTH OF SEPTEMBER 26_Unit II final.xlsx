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hyaVadivel\Documents\DAILY PUNCHING\"/>
    </mc:Choice>
  </mc:AlternateContent>
  <xr:revisionPtr revIDLastSave="0" documentId="8_{6FCB2B55-1AD3-4871-B8D9-2F014A104039}" xr6:coauthVersionLast="47" xr6:coauthVersionMax="47" xr10:uidLastSave="{00000000-0000-0000-0000-000000000000}"/>
  <bookViews>
    <workbookView xWindow="-120" yWindow="-120" windowWidth="20730" windowHeight="11040" tabRatio="652" firstSheet="3" activeTab="3" xr2:uid="{00000000-000D-0000-FFFF-FFFF00000000}"/>
  </bookViews>
  <sheets>
    <sheet name="PF BREAKUP" sheetId="20" state="hidden" r:id="rId1"/>
    <sheet name="PF BREAKUP (2)" sheetId="21" state="hidden" r:id="rId2"/>
    <sheet name="Internship" sheetId="27" state="hidden" r:id="rId3"/>
    <sheet name="INVOICE" sheetId="36" r:id="rId4"/>
    <sheet name="BREAKUP" sheetId="24" r:id="rId5"/>
    <sheet name="D WAGES ESI &amp; PF" sheetId="33" r:id="rId6"/>
    <sheet name="AUG" sheetId="34" r:id="rId7"/>
    <sheet name="ROOM RENT" sheetId="25" r:id="rId8"/>
    <sheet name="ESI AND EPF M WAGES" sheetId="15" state="hidden" r:id="rId9"/>
    <sheet name="rent" sheetId="17" state="hidden" r:id="rId10"/>
  </sheets>
  <definedNames>
    <definedName name="_xlnm._FilterDatabase" localSheetId="6" hidden="1">AUG!$A$3:$Z$5</definedName>
    <definedName name="_xlnm._FilterDatabase" localSheetId="5" hidden="1">'D WAGES ESI &amp; PF'!$A$5:$AF$69</definedName>
    <definedName name="_xlnm._FilterDatabase" localSheetId="2" hidden="1">Internship!$A$3:$W$6</definedName>
    <definedName name="_xlnm._FilterDatabase" localSheetId="9" hidden="1">rent!$A$4:$W$79</definedName>
    <definedName name="_xlnm.Print_Area" localSheetId="6">AUG!$A$1:$X$6</definedName>
    <definedName name="_xlnm.Print_Area" localSheetId="4">BREAKUP!$B$2:$F$23</definedName>
    <definedName name="_xlnm.Print_Area" localSheetId="5">'D WAGES ESI &amp; PF'!$A$2:$AD$78</definedName>
    <definedName name="_xlnm.Print_Area" localSheetId="8">'ESI AND EPF M WAGES'!$A$2:$W$7</definedName>
    <definedName name="_xlnm.Print_Area" localSheetId="3">INVOICE!$B$2:$I$35</definedName>
    <definedName name="_xlnm.Print_Area" localSheetId="0">'PF BREAKUP'!$B$1:$F$23</definedName>
    <definedName name="_xlnm.Print_Area" localSheetId="1">'PF BREAKUP (2)'!$B$1:$F$23</definedName>
    <definedName name="_xlnm.Print_Area" localSheetId="9">rent!$A$2:$W$87</definedName>
    <definedName name="_xlnm.Print_Area" localSheetId="7">'ROOM RENT'!$A$2:$E$20</definedName>
    <definedName name="_xlnm.Print_Titles" localSheetId="6">AUG!$1:$3</definedName>
    <definedName name="_xlnm.Print_Titles" localSheetId="5">'D WAGES ESI &amp; PF'!$2:$5</definedName>
    <definedName name="_xlnm.Print_Titles" localSheetId="9">rent!$2:$4</definedName>
    <definedName name="_xlnm.Print_Titles" localSheetId="7">'ROOM RENT'!$2:$5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4" l="1"/>
  <c r="A10" i="25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AB69" i="33"/>
  <c r="AA69" i="33"/>
  <c r="V69" i="33"/>
  <c r="U69" i="33"/>
  <c r="T69" i="33"/>
  <c r="S69" i="33"/>
  <c r="R69" i="33"/>
  <c r="P69" i="33"/>
  <c r="K69" i="33"/>
  <c r="J69" i="33"/>
  <c r="L66" i="33"/>
  <c r="M66" i="33" s="1"/>
  <c r="N66" i="33" s="1"/>
  <c r="Y66" i="33" s="1"/>
  <c r="L65" i="33"/>
  <c r="M65" i="33" s="1"/>
  <c r="N65" i="33" s="1"/>
  <c r="Y65" i="33" s="1"/>
  <c r="L67" i="33"/>
  <c r="M67" i="33" s="1"/>
  <c r="N67" i="33" s="1"/>
  <c r="Y67" i="33" s="1"/>
  <c r="L68" i="33"/>
  <c r="M68" i="33" s="1"/>
  <c r="Q65" i="33"/>
  <c r="Q66" i="33"/>
  <c r="Q67" i="33"/>
  <c r="Q68" i="33"/>
  <c r="Q7" i="33"/>
  <c r="Q14" i="33"/>
  <c r="Q15" i="33"/>
  <c r="Q22" i="33"/>
  <c r="Q23" i="33"/>
  <c r="Q30" i="33"/>
  <c r="Q31" i="33"/>
  <c r="Q39" i="33"/>
  <c r="Q47" i="33"/>
  <c r="Q54" i="33"/>
  <c r="Q55" i="33"/>
  <c r="Q56" i="33"/>
  <c r="Q61" i="33"/>
  <c r="Q62" i="33"/>
  <c r="Q63" i="33"/>
  <c r="Q64" i="33"/>
  <c r="Q8" i="33"/>
  <c r="Q9" i="33"/>
  <c r="Q10" i="33"/>
  <c r="Q11" i="33"/>
  <c r="Q12" i="33"/>
  <c r="Q13" i="33"/>
  <c r="Q16" i="33"/>
  <c r="Q17" i="33"/>
  <c r="Q18" i="33"/>
  <c r="Q19" i="33"/>
  <c r="Q20" i="33"/>
  <c r="Q21" i="33"/>
  <c r="Q24" i="33"/>
  <c r="Q25" i="33"/>
  <c r="Q26" i="33"/>
  <c r="Q27" i="33"/>
  <c r="Q28" i="33"/>
  <c r="Q29" i="33"/>
  <c r="Q32" i="33"/>
  <c r="Q33" i="33"/>
  <c r="Q34" i="33"/>
  <c r="Q35" i="33"/>
  <c r="Q36" i="33"/>
  <c r="Q37" i="33"/>
  <c r="Q38" i="33"/>
  <c r="Q40" i="33"/>
  <c r="Q41" i="33"/>
  <c r="Q42" i="33"/>
  <c r="Q43" i="33"/>
  <c r="Q44" i="33"/>
  <c r="Q45" i="33"/>
  <c r="Q46" i="33"/>
  <c r="Q48" i="33"/>
  <c r="Q49" i="33"/>
  <c r="Q50" i="33"/>
  <c r="Q51" i="33"/>
  <c r="Q52" i="33"/>
  <c r="Q53" i="33"/>
  <c r="Q57" i="33"/>
  <c r="Q58" i="33"/>
  <c r="Q59" i="33"/>
  <c r="Q60" i="33"/>
  <c r="L7" i="33"/>
  <c r="M7" i="33" s="1"/>
  <c r="O7" i="33" s="1"/>
  <c r="L8" i="33"/>
  <c r="M8" i="33" s="1"/>
  <c r="O8" i="33" s="1"/>
  <c r="L9" i="33"/>
  <c r="M9" i="33" s="1"/>
  <c r="O9" i="33" s="1"/>
  <c r="L10" i="33"/>
  <c r="M10" i="33" s="1"/>
  <c r="O10" i="33" s="1"/>
  <c r="L11" i="33"/>
  <c r="M11" i="33" s="1"/>
  <c r="O11" i="33" s="1"/>
  <c r="L12" i="33"/>
  <c r="M12" i="33" s="1"/>
  <c r="O12" i="33" s="1"/>
  <c r="L13" i="33"/>
  <c r="M13" i="33" s="1"/>
  <c r="O13" i="33" s="1"/>
  <c r="L14" i="33"/>
  <c r="M14" i="33" s="1"/>
  <c r="O14" i="33" s="1"/>
  <c r="L15" i="33"/>
  <c r="M15" i="33" s="1"/>
  <c r="O15" i="33" s="1"/>
  <c r="L16" i="33"/>
  <c r="M16" i="33" s="1"/>
  <c r="O16" i="33" s="1"/>
  <c r="L17" i="33"/>
  <c r="M17" i="33" s="1"/>
  <c r="O17" i="33" s="1"/>
  <c r="L18" i="33"/>
  <c r="M18" i="33" s="1"/>
  <c r="O18" i="33" s="1"/>
  <c r="L19" i="33"/>
  <c r="M19" i="33" s="1"/>
  <c r="O19" i="33" s="1"/>
  <c r="L20" i="33"/>
  <c r="M20" i="33" s="1"/>
  <c r="O20" i="33" s="1"/>
  <c r="L21" i="33"/>
  <c r="M21" i="33" s="1"/>
  <c r="O21" i="33" s="1"/>
  <c r="L22" i="33"/>
  <c r="M22" i="33" s="1"/>
  <c r="O22" i="33" s="1"/>
  <c r="L23" i="33"/>
  <c r="M23" i="33" s="1"/>
  <c r="O23" i="33" s="1"/>
  <c r="L24" i="33"/>
  <c r="M24" i="33" s="1"/>
  <c r="O24" i="33" s="1"/>
  <c r="L25" i="33"/>
  <c r="M25" i="33" s="1"/>
  <c r="O25" i="33" s="1"/>
  <c r="L26" i="33"/>
  <c r="M26" i="33" s="1"/>
  <c r="O26" i="33" s="1"/>
  <c r="L27" i="33"/>
  <c r="M27" i="33" s="1"/>
  <c r="O27" i="33" s="1"/>
  <c r="L28" i="33"/>
  <c r="M28" i="33" s="1"/>
  <c r="O28" i="33" s="1"/>
  <c r="L29" i="33"/>
  <c r="M29" i="33" s="1"/>
  <c r="O29" i="33" s="1"/>
  <c r="L30" i="33"/>
  <c r="M30" i="33" s="1"/>
  <c r="O30" i="33" s="1"/>
  <c r="L31" i="33"/>
  <c r="M31" i="33" s="1"/>
  <c r="O31" i="33" s="1"/>
  <c r="L32" i="33"/>
  <c r="M32" i="33" s="1"/>
  <c r="O32" i="33" s="1"/>
  <c r="L33" i="33"/>
  <c r="M33" i="33" s="1"/>
  <c r="O33" i="33" s="1"/>
  <c r="L34" i="33"/>
  <c r="M34" i="33" s="1"/>
  <c r="O34" i="33" s="1"/>
  <c r="L35" i="33"/>
  <c r="M35" i="33" s="1"/>
  <c r="O35" i="33" s="1"/>
  <c r="L36" i="33"/>
  <c r="M36" i="33" s="1"/>
  <c r="O36" i="33" s="1"/>
  <c r="L37" i="33"/>
  <c r="M37" i="33" s="1"/>
  <c r="O37" i="33" s="1"/>
  <c r="L38" i="33"/>
  <c r="M38" i="33" s="1"/>
  <c r="O38" i="33" s="1"/>
  <c r="L39" i="33"/>
  <c r="M39" i="33" s="1"/>
  <c r="O39" i="33" s="1"/>
  <c r="L40" i="33"/>
  <c r="M40" i="33" s="1"/>
  <c r="O40" i="33" s="1"/>
  <c r="L41" i="33"/>
  <c r="M41" i="33" s="1"/>
  <c r="O41" i="33" s="1"/>
  <c r="L42" i="33"/>
  <c r="M42" i="33" s="1"/>
  <c r="O42" i="33" s="1"/>
  <c r="L43" i="33"/>
  <c r="M43" i="33" s="1"/>
  <c r="O43" i="33" s="1"/>
  <c r="L44" i="33"/>
  <c r="M44" i="33" s="1"/>
  <c r="O44" i="33" s="1"/>
  <c r="L45" i="33"/>
  <c r="M45" i="33" s="1"/>
  <c r="O45" i="33" s="1"/>
  <c r="L46" i="33"/>
  <c r="M46" i="33" s="1"/>
  <c r="O46" i="33" s="1"/>
  <c r="L47" i="33"/>
  <c r="M47" i="33" s="1"/>
  <c r="O47" i="33" s="1"/>
  <c r="L48" i="33"/>
  <c r="M48" i="33" s="1"/>
  <c r="O48" i="33" s="1"/>
  <c r="L49" i="33"/>
  <c r="M49" i="33" s="1"/>
  <c r="O49" i="33" s="1"/>
  <c r="L50" i="33"/>
  <c r="M50" i="33" s="1"/>
  <c r="O50" i="33" s="1"/>
  <c r="L51" i="33"/>
  <c r="M51" i="33" s="1"/>
  <c r="O51" i="33" s="1"/>
  <c r="L52" i="33"/>
  <c r="M52" i="33" s="1"/>
  <c r="O52" i="33" s="1"/>
  <c r="L53" i="33"/>
  <c r="M53" i="33" s="1"/>
  <c r="O53" i="33" s="1"/>
  <c r="L54" i="33"/>
  <c r="M54" i="33" s="1"/>
  <c r="O54" i="33" s="1"/>
  <c r="L55" i="33"/>
  <c r="M55" i="33" s="1"/>
  <c r="O55" i="33" s="1"/>
  <c r="L56" i="33"/>
  <c r="M56" i="33" s="1"/>
  <c r="O56" i="33" s="1"/>
  <c r="L57" i="33"/>
  <c r="M57" i="33" s="1"/>
  <c r="O57" i="33" s="1"/>
  <c r="L58" i="33"/>
  <c r="M58" i="33" s="1"/>
  <c r="O58" i="33" s="1"/>
  <c r="L59" i="33"/>
  <c r="M59" i="33" s="1"/>
  <c r="O59" i="33" s="1"/>
  <c r="L60" i="33"/>
  <c r="M60" i="33" s="1"/>
  <c r="O60" i="33" s="1"/>
  <c r="L61" i="33"/>
  <c r="M61" i="33" s="1"/>
  <c r="O61" i="33" s="1"/>
  <c r="L62" i="33"/>
  <c r="M62" i="33" s="1"/>
  <c r="O62" i="33" s="1"/>
  <c r="L63" i="33"/>
  <c r="M63" i="33" s="1"/>
  <c r="O63" i="33" s="1"/>
  <c r="L64" i="33"/>
  <c r="M64" i="33" s="1"/>
  <c r="O64" i="33" s="1"/>
  <c r="B31" i="36"/>
  <c r="E38" i="25"/>
  <c r="J4" i="34"/>
  <c r="I4" i="34"/>
  <c r="W66" i="33" l="1"/>
  <c r="O68" i="33"/>
  <c r="N68" i="33"/>
  <c r="Y68" i="33" s="1"/>
  <c r="O65" i="33"/>
  <c r="O66" i="33"/>
  <c r="O67" i="33"/>
  <c r="W68" i="33"/>
  <c r="W67" i="33"/>
  <c r="W65" i="33"/>
  <c r="W63" i="33"/>
  <c r="W59" i="33"/>
  <c r="W61" i="33"/>
  <c r="W60" i="33"/>
  <c r="W62" i="33"/>
  <c r="W64" i="33"/>
  <c r="N63" i="33"/>
  <c r="Y63" i="33" s="1"/>
  <c r="Q6" i="33"/>
  <c r="Q69" i="33" s="1"/>
  <c r="N59" i="33"/>
  <c r="Y59" i="33" s="1"/>
  <c r="N61" i="33"/>
  <c r="Y61" i="33" s="1"/>
  <c r="X66" i="33" l="1"/>
  <c r="Z66" i="33" s="1"/>
  <c r="AC66" i="33" s="1"/>
  <c r="X68" i="33"/>
  <c r="Z68" i="33" s="1"/>
  <c r="AC68" i="33" s="1"/>
  <c r="X65" i="33"/>
  <c r="Z65" i="33" s="1"/>
  <c r="AC65" i="33" s="1"/>
  <c r="X67" i="33"/>
  <c r="Z67" i="33" s="1"/>
  <c r="AC67" i="33" s="1"/>
  <c r="X63" i="33"/>
  <c r="Z63" i="33" s="1"/>
  <c r="AC63" i="33" s="1"/>
  <c r="X59" i="33"/>
  <c r="Z59" i="33" s="1"/>
  <c r="AC59" i="33" s="1"/>
  <c r="X61" i="33"/>
  <c r="Z61" i="33" s="1"/>
  <c r="AC61" i="33" s="1"/>
  <c r="N62" i="33"/>
  <c r="Y62" i="33" s="1"/>
  <c r="N60" i="33"/>
  <c r="Y60" i="33" s="1"/>
  <c r="X60" i="33"/>
  <c r="X62" i="33"/>
  <c r="N64" i="33"/>
  <c r="Y64" i="33" s="1"/>
  <c r="X64" i="33" l="1"/>
  <c r="Z64" i="33" s="1"/>
  <c r="AC64" i="33" s="1"/>
  <c r="Z62" i="33"/>
  <c r="AC62" i="33" s="1"/>
  <c r="Z60" i="33"/>
  <c r="AC60" i="33" s="1"/>
  <c r="W5" i="34"/>
  <c r="V5" i="34"/>
  <c r="U5" i="34"/>
  <c r="T5" i="34"/>
  <c r="E16" i="24" s="1"/>
  <c r="S5" i="34"/>
  <c r="E15" i="24" s="1"/>
  <c r="Q5" i="34"/>
  <c r="P5" i="34"/>
  <c r="O5" i="34"/>
  <c r="N5" i="34"/>
  <c r="M5" i="34"/>
  <c r="K5" i="34"/>
  <c r="H5" i="34"/>
  <c r="G5" i="34"/>
  <c r="F5" i="34"/>
  <c r="L4" i="34"/>
  <c r="L5" i="34" s="1"/>
  <c r="J5" i="34"/>
  <c r="R4" i="34" l="1"/>
  <c r="R5" i="34" s="1"/>
  <c r="I5" i="34"/>
  <c r="W7" i="33"/>
  <c r="W8" i="33"/>
  <c r="W9" i="33"/>
  <c r="W10" i="33"/>
  <c r="W11" i="33"/>
  <c r="W12" i="33"/>
  <c r="W13" i="33"/>
  <c r="W14" i="33"/>
  <c r="W15" i="33"/>
  <c r="W16" i="33"/>
  <c r="W17" i="33"/>
  <c r="W18" i="33"/>
  <c r="W19" i="33"/>
  <c r="W20" i="33"/>
  <c r="W21" i="33"/>
  <c r="W22" i="33"/>
  <c r="W23" i="33"/>
  <c r="W24" i="33"/>
  <c r="W25" i="33"/>
  <c r="W26" i="33"/>
  <c r="W27" i="33"/>
  <c r="W28" i="33"/>
  <c r="W29" i="33"/>
  <c r="W30" i="33"/>
  <c r="W31" i="33"/>
  <c r="W32" i="33"/>
  <c r="W33" i="33"/>
  <c r="W34" i="33"/>
  <c r="W35" i="33"/>
  <c r="W36" i="33"/>
  <c r="W37" i="33"/>
  <c r="W38" i="33"/>
  <c r="W39" i="33"/>
  <c r="W40" i="33"/>
  <c r="W41" i="33"/>
  <c r="W42" i="33"/>
  <c r="W43" i="33"/>
  <c r="W44" i="33"/>
  <c r="W45" i="33"/>
  <c r="W46" i="33"/>
  <c r="W47" i="33"/>
  <c r="W48" i="33"/>
  <c r="W49" i="33"/>
  <c r="W50" i="33"/>
  <c r="W51" i="33"/>
  <c r="W52" i="33"/>
  <c r="W53" i="33"/>
  <c r="W54" i="33"/>
  <c r="W55" i="33"/>
  <c r="W56" i="33"/>
  <c r="W57" i="33"/>
  <c r="W58" i="33"/>
  <c r="L6" i="33"/>
  <c r="L69" i="33" s="1"/>
  <c r="A7" i="33"/>
  <c r="A8" i="33" l="1"/>
  <c r="A9" i="33" s="1"/>
  <c r="A10" i="33" s="1"/>
  <c r="A11" i="33" s="1"/>
  <c r="A12" i="33" s="1"/>
  <c r="A13" i="33" s="1"/>
  <c r="A14" i="33" s="1"/>
  <c r="A15" i="33" s="1"/>
  <c r="A16" i="33" s="1"/>
  <c r="A17" i="33" s="1"/>
  <c r="M6" i="33"/>
  <c r="M69" i="33" s="1"/>
  <c r="N57" i="33"/>
  <c r="Y57" i="33" s="1"/>
  <c r="X57" i="33"/>
  <c r="N50" i="33"/>
  <c r="Y50" i="33" s="1"/>
  <c r="X50" i="33"/>
  <c r="N44" i="33"/>
  <c r="Y44" i="33" s="1"/>
  <c r="X44" i="33"/>
  <c r="N36" i="33"/>
  <c r="Y36" i="33" s="1"/>
  <c r="X36" i="33"/>
  <c r="N29" i="33"/>
  <c r="Y29" i="33" s="1"/>
  <c r="X29" i="33"/>
  <c r="N26" i="33"/>
  <c r="Y26" i="33" s="1"/>
  <c r="X26" i="33"/>
  <c r="N15" i="33"/>
  <c r="Y15" i="33" s="1"/>
  <c r="X15" i="33"/>
  <c r="N11" i="33"/>
  <c r="Y11" i="33" s="1"/>
  <c r="X11" i="33"/>
  <c r="N8" i="33"/>
  <c r="Y8" i="33" s="1"/>
  <c r="X8" i="33"/>
  <c r="X58" i="33"/>
  <c r="N58" i="33"/>
  <c r="Y58" i="33" s="1"/>
  <c r="X56" i="33"/>
  <c r="N56" i="33"/>
  <c r="Y56" i="33" s="1"/>
  <c r="X53" i="33"/>
  <c r="N53" i="33"/>
  <c r="Y53" i="33" s="1"/>
  <c r="N47" i="33"/>
  <c r="Y47" i="33" s="1"/>
  <c r="X47" i="33"/>
  <c r="N43" i="33"/>
  <c r="Y43" i="33" s="1"/>
  <c r="X43" i="33"/>
  <c r="N39" i="33"/>
  <c r="Y39" i="33" s="1"/>
  <c r="X39" i="33"/>
  <c r="N32" i="33"/>
  <c r="Y32" i="33" s="1"/>
  <c r="X32" i="33"/>
  <c r="N28" i="33"/>
  <c r="Y28" i="33" s="1"/>
  <c r="X28" i="33"/>
  <c r="N25" i="33"/>
  <c r="Y25" i="33" s="1"/>
  <c r="X25" i="33"/>
  <c r="N21" i="33"/>
  <c r="Y21" i="33" s="1"/>
  <c r="X21" i="33"/>
  <c r="N18" i="33"/>
  <c r="Y18" i="33" s="1"/>
  <c r="X18" i="33"/>
  <c r="N14" i="33"/>
  <c r="Y14" i="33" s="1"/>
  <c r="X14" i="33"/>
  <c r="N10" i="33"/>
  <c r="Y10" i="33" s="1"/>
  <c r="X10" i="33"/>
  <c r="N7" i="33"/>
  <c r="Y7" i="33" s="1"/>
  <c r="N48" i="33"/>
  <c r="Y48" i="33" s="1"/>
  <c r="X48" i="33"/>
  <c r="N40" i="33"/>
  <c r="Y40" i="33" s="1"/>
  <c r="X40" i="33"/>
  <c r="N33" i="33"/>
  <c r="Y33" i="33" s="1"/>
  <c r="X33" i="33"/>
  <c r="N27" i="33"/>
  <c r="Y27" i="33" s="1"/>
  <c r="X27" i="33"/>
  <c r="N22" i="33"/>
  <c r="Y22" i="33" s="1"/>
  <c r="X22" i="33"/>
  <c r="N55" i="33"/>
  <c r="Y55" i="33" s="1"/>
  <c r="X55" i="33"/>
  <c r="X52" i="33"/>
  <c r="N52" i="33"/>
  <c r="Y52" i="33" s="1"/>
  <c r="X46" i="33"/>
  <c r="N46" i="33"/>
  <c r="Y46" i="33" s="1"/>
  <c r="N42" i="33"/>
  <c r="Y42" i="33" s="1"/>
  <c r="X42" i="33"/>
  <c r="X38" i="33"/>
  <c r="N38" i="33"/>
  <c r="Y38" i="33" s="1"/>
  <c r="N35" i="33"/>
  <c r="Y35" i="33" s="1"/>
  <c r="X35" i="33"/>
  <c r="X31" i="33"/>
  <c r="N31" i="33"/>
  <c r="Y31" i="33" s="1"/>
  <c r="N24" i="33"/>
  <c r="Y24" i="33" s="1"/>
  <c r="X24" i="33"/>
  <c r="X20" i="33"/>
  <c r="N20" i="33"/>
  <c r="Y20" i="33" s="1"/>
  <c r="N17" i="33"/>
  <c r="Y17" i="33" s="1"/>
  <c r="X17" i="33"/>
  <c r="X13" i="33"/>
  <c r="N13" i="33"/>
  <c r="Y13" i="33" s="1"/>
  <c r="X54" i="33"/>
  <c r="N54" i="33"/>
  <c r="Y54" i="33" s="1"/>
  <c r="X51" i="33"/>
  <c r="N51" i="33"/>
  <c r="Y51" i="33" s="1"/>
  <c r="X49" i="33"/>
  <c r="N49" i="33"/>
  <c r="Y49" i="33" s="1"/>
  <c r="X45" i="33"/>
  <c r="N45" i="33"/>
  <c r="Y45" i="33" s="1"/>
  <c r="X41" i="33"/>
  <c r="N41" i="33"/>
  <c r="Y41" i="33" s="1"/>
  <c r="X37" i="33"/>
  <c r="N37" i="33"/>
  <c r="Y37" i="33" s="1"/>
  <c r="X34" i="33"/>
  <c r="N34" i="33"/>
  <c r="Y34" i="33" s="1"/>
  <c r="X30" i="33"/>
  <c r="N30" i="33"/>
  <c r="Y30" i="33" s="1"/>
  <c r="X23" i="33"/>
  <c r="N23" i="33"/>
  <c r="Y23" i="33" s="1"/>
  <c r="X19" i="33"/>
  <c r="N19" i="33"/>
  <c r="Y19" i="33" s="1"/>
  <c r="X16" i="33"/>
  <c r="N16" i="33"/>
  <c r="Y16" i="33" s="1"/>
  <c r="X12" i="33"/>
  <c r="N12" i="33"/>
  <c r="Y12" i="33" s="1"/>
  <c r="X9" i="33"/>
  <c r="N9" i="33"/>
  <c r="Y9" i="33" s="1"/>
  <c r="X4" i="34"/>
  <c r="X5" i="34" s="1"/>
  <c r="A18" i="33" l="1"/>
  <c r="A19" i="33" s="1"/>
  <c r="A20" i="33" s="1"/>
  <c r="A21" i="33" s="1"/>
  <c r="A22" i="33" s="1"/>
  <c r="A23" i="33" s="1"/>
  <c r="A24" i="33" s="1"/>
  <c r="Z40" i="33"/>
  <c r="AC40" i="33" s="1"/>
  <c r="O6" i="33"/>
  <c r="O69" i="33" s="1"/>
  <c r="W6" i="33"/>
  <c r="W69" i="33" s="1"/>
  <c r="F4" i="24" s="1"/>
  <c r="N6" i="33"/>
  <c r="N69" i="33" s="1"/>
  <c r="E6" i="24" s="1"/>
  <c r="X7" i="33"/>
  <c r="Z7" i="33" s="1"/>
  <c r="AC7" i="33" s="1"/>
  <c r="Z11" i="33"/>
  <c r="AC11" i="33" s="1"/>
  <c r="Z35" i="33"/>
  <c r="AC35" i="33" s="1"/>
  <c r="Z13" i="33"/>
  <c r="AC13" i="33" s="1"/>
  <c r="Z41" i="33"/>
  <c r="AC41" i="33" s="1"/>
  <c r="Z31" i="33"/>
  <c r="AC31" i="33" s="1"/>
  <c r="Z39" i="33"/>
  <c r="AC39" i="33" s="1"/>
  <c r="Z45" i="33"/>
  <c r="AC45" i="33" s="1"/>
  <c r="Z44" i="33"/>
  <c r="AC44" i="33" s="1"/>
  <c r="Z27" i="33"/>
  <c r="AC27" i="33" s="1"/>
  <c r="Z17" i="33"/>
  <c r="AC17" i="33" s="1"/>
  <c r="Z19" i="33"/>
  <c r="AC19" i="33" s="1"/>
  <c r="Z10" i="33"/>
  <c r="AC10" i="33" s="1"/>
  <c r="Z9" i="33"/>
  <c r="AC9" i="33" s="1"/>
  <c r="Z28" i="33"/>
  <c r="AC28" i="33" s="1"/>
  <c r="Z48" i="33"/>
  <c r="AC48" i="33" s="1"/>
  <c r="Z47" i="33"/>
  <c r="AC47" i="33" s="1"/>
  <c r="Z25" i="33"/>
  <c r="AC25" i="33" s="1"/>
  <c r="Z50" i="33"/>
  <c r="AC50" i="33" s="1"/>
  <c r="Z52" i="33"/>
  <c r="AC52" i="33" s="1"/>
  <c r="Z58" i="33"/>
  <c r="AC58" i="33" s="1"/>
  <c r="Z15" i="33"/>
  <c r="AC15" i="33" s="1"/>
  <c r="Z55" i="33"/>
  <c r="AC55" i="33" s="1"/>
  <c r="Z21" i="33"/>
  <c r="AC21" i="33" s="1"/>
  <c r="Z49" i="33"/>
  <c r="AC49" i="33" s="1"/>
  <c r="Z33" i="33"/>
  <c r="AC33" i="33" s="1"/>
  <c r="Z30" i="33"/>
  <c r="AC30" i="33" s="1"/>
  <c r="Z18" i="33"/>
  <c r="AC18" i="33" s="1"/>
  <c r="Z46" i="33"/>
  <c r="AC46" i="33" s="1"/>
  <c r="Z34" i="33"/>
  <c r="AC34" i="33" s="1"/>
  <c r="Z36" i="33"/>
  <c r="AC36" i="33" s="1"/>
  <c r="Z43" i="33"/>
  <c r="AC43" i="33" s="1"/>
  <c r="Z12" i="33"/>
  <c r="AC12" i="33" s="1"/>
  <c r="Z26" i="33"/>
  <c r="AC26" i="33" s="1"/>
  <c r="Z24" i="33"/>
  <c r="AC24" i="33" s="1"/>
  <c r="Z20" i="33"/>
  <c r="AC20" i="33" s="1"/>
  <c r="Z42" i="33"/>
  <c r="AC42" i="33" s="1"/>
  <c r="Z16" i="33"/>
  <c r="AC16" i="33" s="1"/>
  <c r="Z37" i="33"/>
  <c r="AC37" i="33" s="1"/>
  <c r="Z23" i="33"/>
  <c r="AC23" i="33" s="1"/>
  <c r="Z51" i="33"/>
  <c r="AC51" i="33" s="1"/>
  <c r="Z54" i="33"/>
  <c r="AC54" i="33" s="1"/>
  <c r="Z57" i="33"/>
  <c r="AC57" i="33" s="1"/>
  <c r="Z53" i="33"/>
  <c r="AC53" i="33" s="1"/>
  <c r="Z38" i="33"/>
  <c r="AC38" i="33" s="1"/>
  <c r="Z32" i="33"/>
  <c r="AC32" i="33" s="1"/>
  <c r="Z8" i="33"/>
  <c r="AC8" i="33" s="1"/>
  <c r="Z56" i="33"/>
  <c r="AC56" i="33" s="1"/>
  <c r="Z22" i="33"/>
  <c r="AC22" i="33" s="1"/>
  <c r="Z29" i="33"/>
  <c r="AC29" i="33" s="1"/>
  <c r="Z14" i="33"/>
  <c r="AC14" i="33" s="1"/>
  <c r="A25" i="33" l="1"/>
  <c r="A26" i="33" s="1"/>
  <c r="A27" i="33" s="1"/>
  <c r="A28" i="33" s="1"/>
  <c r="A29" i="33" s="1"/>
  <c r="A30" i="33" s="1"/>
  <c r="A31" i="33" s="1"/>
  <c r="A32" i="33" s="1"/>
  <c r="A33" i="33" s="1"/>
  <c r="A34" i="33" s="1"/>
  <c r="A35" i="33" s="1"/>
  <c r="A36" i="33" s="1"/>
  <c r="A37" i="33" s="1"/>
  <c r="A38" i="33" s="1"/>
  <c r="A39" i="33" s="1"/>
  <c r="Y6" i="33"/>
  <c r="Y69" i="33" s="1"/>
  <c r="X6" i="33"/>
  <c r="X69" i="33" s="1"/>
  <c r="A40" i="33" l="1"/>
  <c r="A41" i="33" s="1"/>
  <c r="A42" i="33" s="1"/>
  <c r="A43" i="33" s="1"/>
  <c r="A44" i="33" s="1"/>
  <c r="A45" i="33" s="1"/>
  <c r="A46" i="33" s="1"/>
  <c r="Z6" i="33"/>
  <c r="Z69" i="33" s="1"/>
  <c r="E7" i="24"/>
  <c r="A47" i="33" l="1"/>
  <c r="A48" i="33" s="1"/>
  <c r="A49" i="33" s="1"/>
  <c r="AC6" i="33"/>
  <c r="AC69" i="33" s="1"/>
  <c r="A7" i="25"/>
  <c r="A8" i="25" s="1"/>
  <c r="A9" i="25" s="1"/>
  <c r="A50" i="33" l="1"/>
  <c r="A51" i="33" s="1"/>
  <c r="A52" i="33" s="1"/>
  <c r="A53" i="33" s="1"/>
  <c r="T6" i="27"/>
  <c r="S6" i="27"/>
  <c r="R6" i="27"/>
  <c r="Q6" i="27"/>
  <c r="P6" i="27"/>
  <c r="N6" i="27"/>
  <c r="M6" i="27"/>
  <c r="L6" i="27"/>
  <c r="K6" i="27"/>
  <c r="I6" i="27"/>
  <c r="F6" i="27"/>
  <c r="J5" i="27"/>
  <c r="H5" i="27"/>
  <c r="G5" i="27"/>
  <c r="J4" i="27"/>
  <c r="H4" i="27"/>
  <c r="G4" i="27"/>
  <c r="A5" i="27"/>
  <c r="A54" i="33" l="1"/>
  <c r="A55" i="33" s="1"/>
  <c r="A56" i="33" s="1"/>
  <c r="A57" i="33" s="1"/>
  <c r="A58" i="33" s="1"/>
  <c r="A59" i="33" s="1"/>
  <c r="A60" i="33" s="1"/>
  <c r="A61" i="33" s="1"/>
  <c r="A62" i="33" s="1"/>
  <c r="J6" i="27"/>
  <c r="O5" i="27"/>
  <c r="U5" i="27" s="1"/>
  <c r="G6" i="27"/>
  <c r="H6" i="27"/>
  <c r="O4" i="27"/>
  <c r="U4" i="27" s="1"/>
  <c r="A63" i="33" l="1"/>
  <c r="A64" i="33" s="1"/>
  <c r="A65" i="33" s="1"/>
  <c r="A66" i="33" s="1"/>
  <c r="A67" i="33" s="1"/>
  <c r="A68" i="33" s="1"/>
  <c r="U6" i="27"/>
  <c r="O6" i="27"/>
  <c r="H6" i="21" l="1"/>
  <c r="E6" i="21" l="1"/>
  <c r="F6" i="21" s="1"/>
  <c r="M5" i="15" l="1"/>
  <c r="I5" i="15"/>
  <c r="K5" i="15" l="1"/>
  <c r="Q5" i="15" l="1"/>
  <c r="S5" i="15" s="1"/>
  <c r="J5" i="15"/>
  <c r="R5" i="15" s="1"/>
  <c r="E5" i="20" l="1"/>
  <c r="F5" i="20" s="1"/>
  <c r="M79" i="17"/>
  <c r="H79" i="17"/>
  <c r="I79" i="17" s="1"/>
  <c r="J79" i="17" s="1"/>
  <c r="R79" i="17" s="1"/>
  <c r="M78" i="17"/>
  <c r="H78" i="17"/>
  <c r="I78" i="17" s="1"/>
  <c r="M77" i="17"/>
  <c r="H77" i="17"/>
  <c r="I77" i="17" s="1"/>
  <c r="M76" i="17"/>
  <c r="H76" i="17"/>
  <c r="I76" i="17" s="1"/>
  <c r="K76" i="17" s="1"/>
  <c r="M75" i="17"/>
  <c r="H75" i="17"/>
  <c r="I75" i="17" s="1"/>
  <c r="M74" i="17"/>
  <c r="H74" i="17"/>
  <c r="I74" i="17" s="1"/>
  <c r="M73" i="17"/>
  <c r="H73" i="17"/>
  <c r="I73" i="17" s="1"/>
  <c r="M72" i="17"/>
  <c r="H72" i="17"/>
  <c r="I72" i="17" s="1"/>
  <c r="K72" i="17" s="1"/>
  <c r="M71" i="17"/>
  <c r="H71" i="17"/>
  <c r="I71" i="17" s="1"/>
  <c r="M70" i="17"/>
  <c r="H70" i="17"/>
  <c r="I70" i="17" s="1"/>
  <c r="M69" i="17"/>
  <c r="H69" i="17"/>
  <c r="I69" i="17" s="1"/>
  <c r="M68" i="17"/>
  <c r="H68" i="17"/>
  <c r="I68" i="17" s="1"/>
  <c r="K68" i="17" s="1"/>
  <c r="M67" i="17"/>
  <c r="H67" i="17"/>
  <c r="I67" i="17" s="1"/>
  <c r="J67" i="17" s="1"/>
  <c r="R67" i="17" s="1"/>
  <c r="M66" i="17"/>
  <c r="H66" i="17"/>
  <c r="I66" i="17" s="1"/>
  <c r="K66" i="17" s="1"/>
  <c r="M65" i="17"/>
  <c r="H65" i="17"/>
  <c r="I65" i="17" s="1"/>
  <c r="M64" i="17"/>
  <c r="H64" i="17"/>
  <c r="I64" i="17" s="1"/>
  <c r="M63" i="17"/>
  <c r="H63" i="17"/>
  <c r="I63" i="17" s="1"/>
  <c r="M62" i="17"/>
  <c r="H62" i="17"/>
  <c r="I62" i="17" s="1"/>
  <c r="K62" i="17" s="1"/>
  <c r="M61" i="17"/>
  <c r="H61" i="17"/>
  <c r="I61" i="17" s="1"/>
  <c r="M60" i="17"/>
  <c r="H60" i="17"/>
  <c r="I60" i="17" s="1"/>
  <c r="M59" i="17"/>
  <c r="H59" i="17"/>
  <c r="I59" i="17" s="1"/>
  <c r="M58" i="17"/>
  <c r="H58" i="17"/>
  <c r="I58" i="17" s="1"/>
  <c r="M57" i="17"/>
  <c r="H57" i="17"/>
  <c r="I57" i="17" s="1"/>
  <c r="K57" i="17" s="1"/>
  <c r="M56" i="17"/>
  <c r="H56" i="17"/>
  <c r="I56" i="17" s="1"/>
  <c r="M55" i="17"/>
  <c r="H55" i="17"/>
  <c r="I55" i="17" s="1"/>
  <c r="M54" i="17"/>
  <c r="H54" i="17"/>
  <c r="I54" i="17" s="1"/>
  <c r="K54" i="17" s="1"/>
  <c r="M53" i="17"/>
  <c r="H53" i="17"/>
  <c r="I53" i="17" s="1"/>
  <c r="K53" i="17" s="1"/>
  <c r="M52" i="17"/>
  <c r="H52" i="17"/>
  <c r="I52" i="17" s="1"/>
  <c r="J52" i="17" s="1"/>
  <c r="R52" i="17" s="1"/>
  <c r="M51" i="17"/>
  <c r="H51" i="17"/>
  <c r="I51" i="17" s="1"/>
  <c r="M50" i="17"/>
  <c r="H50" i="17"/>
  <c r="I50" i="17" s="1"/>
  <c r="M49" i="17"/>
  <c r="H49" i="17"/>
  <c r="I49" i="17" s="1"/>
  <c r="M48" i="17"/>
  <c r="H48" i="17"/>
  <c r="I48" i="17" s="1"/>
  <c r="M47" i="17"/>
  <c r="H47" i="17"/>
  <c r="I47" i="17" s="1"/>
  <c r="K47" i="17" s="1"/>
  <c r="M46" i="17"/>
  <c r="H46" i="17"/>
  <c r="I46" i="17" s="1"/>
  <c r="M45" i="17"/>
  <c r="H45" i="17"/>
  <c r="I45" i="17" s="1"/>
  <c r="M44" i="17"/>
  <c r="H44" i="17"/>
  <c r="I44" i="17" s="1"/>
  <c r="M43" i="17"/>
  <c r="H43" i="17"/>
  <c r="I43" i="17" s="1"/>
  <c r="M42" i="17"/>
  <c r="H42" i="17"/>
  <c r="I42" i="17" s="1"/>
  <c r="J42" i="17" s="1"/>
  <c r="R42" i="17" s="1"/>
  <c r="M41" i="17"/>
  <c r="H41" i="17"/>
  <c r="I41" i="17" s="1"/>
  <c r="J41" i="17" s="1"/>
  <c r="R41" i="17" s="1"/>
  <c r="M40" i="17"/>
  <c r="H40" i="17"/>
  <c r="I40" i="17" s="1"/>
  <c r="M39" i="17"/>
  <c r="H39" i="17"/>
  <c r="I39" i="17" s="1"/>
  <c r="M38" i="17"/>
  <c r="H38" i="17"/>
  <c r="I38" i="17" s="1"/>
  <c r="J38" i="17" s="1"/>
  <c r="R38" i="17" s="1"/>
  <c r="M37" i="17"/>
  <c r="H37" i="17"/>
  <c r="I37" i="17" s="1"/>
  <c r="M36" i="17"/>
  <c r="H36" i="17"/>
  <c r="I36" i="17" s="1"/>
  <c r="J36" i="17" s="1"/>
  <c r="R36" i="17" s="1"/>
  <c r="M35" i="17"/>
  <c r="H35" i="17"/>
  <c r="I35" i="17" s="1"/>
  <c r="M34" i="17"/>
  <c r="H34" i="17"/>
  <c r="I34" i="17" s="1"/>
  <c r="K34" i="17" s="1"/>
  <c r="M33" i="17"/>
  <c r="H33" i="17"/>
  <c r="I33" i="17" s="1"/>
  <c r="M32" i="17"/>
  <c r="H32" i="17"/>
  <c r="I32" i="17" s="1"/>
  <c r="M31" i="17"/>
  <c r="H31" i="17"/>
  <c r="I31" i="17" s="1"/>
  <c r="K31" i="17" s="1"/>
  <c r="M30" i="17"/>
  <c r="H30" i="17"/>
  <c r="I30" i="17" s="1"/>
  <c r="M29" i="17"/>
  <c r="H29" i="17"/>
  <c r="I29" i="17" s="1"/>
  <c r="K29" i="17" s="1"/>
  <c r="M28" i="17"/>
  <c r="H28" i="17"/>
  <c r="I28" i="17" s="1"/>
  <c r="J28" i="17" s="1"/>
  <c r="R28" i="17" s="1"/>
  <c r="M27" i="17"/>
  <c r="H27" i="17"/>
  <c r="I27" i="17" s="1"/>
  <c r="J27" i="17" s="1"/>
  <c r="R27" i="17" s="1"/>
  <c r="M26" i="17"/>
  <c r="H26" i="17"/>
  <c r="I26" i="17" s="1"/>
  <c r="M25" i="17"/>
  <c r="H25" i="17"/>
  <c r="I25" i="17" s="1"/>
  <c r="M24" i="17"/>
  <c r="H24" i="17"/>
  <c r="I24" i="17" s="1"/>
  <c r="M23" i="17"/>
  <c r="H23" i="17"/>
  <c r="I23" i="17" s="1"/>
  <c r="M22" i="17"/>
  <c r="H22" i="17"/>
  <c r="I22" i="17" s="1"/>
  <c r="M21" i="17"/>
  <c r="H21" i="17"/>
  <c r="I21" i="17" s="1"/>
  <c r="J21" i="17" s="1"/>
  <c r="R21" i="17" s="1"/>
  <c r="M20" i="17"/>
  <c r="H20" i="17"/>
  <c r="I20" i="17" s="1"/>
  <c r="M19" i="17"/>
  <c r="H19" i="17"/>
  <c r="I19" i="17" s="1"/>
  <c r="K19" i="17" s="1"/>
  <c r="M18" i="17"/>
  <c r="H18" i="17"/>
  <c r="I18" i="17" s="1"/>
  <c r="M17" i="17"/>
  <c r="H17" i="17"/>
  <c r="I17" i="17" s="1"/>
  <c r="K17" i="17" s="1"/>
  <c r="M16" i="17"/>
  <c r="H16" i="17"/>
  <c r="I16" i="17" s="1"/>
  <c r="M15" i="17"/>
  <c r="H15" i="17"/>
  <c r="I15" i="17" s="1"/>
  <c r="M14" i="17"/>
  <c r="H14" i="17"/>
  <c r="I14" i="17" s="1"/>
  <c r="M13" i="17"/>
  <c r="H13" i="17"/>
  <c r="I13" i="17" s="1"/>
  <c r="M12" i="17"/>
  <c r="H12" i="17"/>
  <c r="I12" i="17" s="1"/>
  <c r="J12" i="17" s="1"/>
  <c r="R12" i="17" s="1"/>
  <c r="M11" i="17"/>
  <c r="H11" i="17"/>
  <c r="I11" i="17" s="1"/>
  <c r="M10" i="17"/>
  <c r="H10" i="17"/>
  <c r="I10" i="17" s="1"/>
  <c r="M9" i="17"/>
  <c r="H9" i="17"/>
  <c r="I9" i="17" s="1"/>
  <c r="M8" i="17"/>
  <c r="H8" i="17"/>
  <c r="I8" i="17" s="1"/>
  <c r="K8" i="17" s="1"/>
  <c r="M7" i="17"/>
  <c r="H7" i="17"/>
  <c r="I7" i="17" s="1"/>
  <c r="K7" i="17" s="1"/>
  <c r="M6" i="17"/>
  <c r="H6" i="17"/>
  <c r="I6" i="17" s="1"/>
  <c r="M5" i="17"/>
  <c r="H5" i="17"/>
  <c r="I5" i="17" s="1"/>
  <c r="J5" i="17" s="1"/>
  <c r="R5" i="17" s="1"/>
  <c r="Q45" i="17" l="1"/>
  <c r="S45" i="17" s="1"/>
  <c r="Q14" i="17"/>
  <c r="S14" i="17" s="1"/>
  <c r="I86" i="17"/>
  <c r="K42" i="17"/>
  <c r="Q42" i="17"/>
  <c r="S42" i="17" s="1"/>
  <c r="V42" i="17" s="1"/>
  <c r="Q61" i="17"/>
  <c r="S61" i="17" s="1"/>
  <c r="Q22" i="17"/>
  <c r="S22" i="17" s="1"/>
  <c r="Q24" i="17"/>
  <c r="S24" i="17" s="1"/>
  <c r="Q25" i="17"/>
  <c r="S25" i="17" s="1"/>
  <c r="Q50" i="17"/>
  <c r="S50" i="17" s="1"/>
  <c r="Q58" i="17"/>
  <c r="S58" i="17" s="1"/>
  <c r="J57" i="17"/>
  <c r="R57" i="17" s="1"/>
  <c r="Q69" i="17"/>
  <c r="S69" i="17" s="1"/>
  <c r="Q73" i="17"/>
  <c r="S73" i="17" s="1"/>
  <c r="J63" i="17"/>
  <c r="R63" i="17" s="1"/>
  <c r="K63" i="17"/>
  <c r="J43" i="17"/>
  <c r="R43" i="17" s="1"/>
  <c r="K43" i="17"/>
  <c r="J71" i="17"/>
  <c r="R71" i="17" s="1"/>
  <c r="K71" i="17"/>
  <c r="K37" i="17"/>
  <c r="J37" i="17"/>
  <c r="R37" i="17" s="1"/>
  <c r="Q11" i="17"/>
  <c r="S11" i="17" s="1"/>
  <c r="Q20" i="17"/>
  <c r="S20" i="17" s="1"/>
  <c r="Q39" i="17"/>
  <c r="S39" i="17" s="1"/>
  <c r="K41" i="17"/>
  <c r="J58" i="17"/>
  <c r="R58" i="17" s="1"/>
  <c r="Q72" i="17"/>
  <c r="S72" i="17" s="1"/>
  <c r="Q6" i="17"/>
  <c r="S6" i="17" s="1"/>
  <c r="Q13" i="17"/>
  <c r="S13" i="17" s="1"/>
  <c r="K36" i="17"/>
  <c r="Q18" i="17"/>
  <c r="S18" i="17" s="1"/>
  <c r="Q27" i="17"/>
  <c r="S27" i="17" s="1"/>
  <c r="V27" i="17" s="1"/>
  <c r="Q37" i="17"/>
  <c r="S37" i="17" s="1"/>
  <c r="J62" i="17"/>
  <c r="R62" i="17" s="1"/>
  <c r="Q68" i="17"/>
  <c r="S68" i="17" s="1"/>
  <c r="Q26" i="17"/>
  <c r="S26" i="17" s="1"/>
  <c r="K26" i="17"/>
  <c r="J26" i="17"/>
  <c r="R26" i="17" s="1"/>
  <c r="Q32" i="17"/>
  <c r="S32" i="17" s="1"/>
  <c r="J32" i="17"/>
  <c r="R32" i="17" s="1"/>
  <c r="J10" i="17"/>
  <c r="R10" i="17" s="1"/>
  <c r="K10" i="17"/>
  <c r="Q8" i="17"/>
  <c r="S8" i="17" s="1"/>
  <c r="J75" i="17"/>
  <c r="R75" i="17" s="1"/>
  <c r="K75" i="17"/>
  <c r="K12" i="17"/>
  <c r="K28" i="17"/>
  <c r="Q29" i="17"/>
  <c r="S29" i="17" s="1"/>
  <c r="J31" i="17"/>
  <c r="R31" i="17" s="1"/>
  <c r="J34" i="17"/>
  <c r="R34" i="17" s="1"/>
  <c r="K38" i="17"/>
  <c r="Q41" i="17"/>
  <c r="S41" i="17" s="1"/>
  <c r="J45" i="17"/>
  <c r="R45" i="17" s="1"/>
  <c r="J47" i="17"/>
  <c r="R47" i="17" s="1"/>
  <c r="Q48" i="17"/>
  <c r="K52" i="17"/>
  <c r="Q53" i="17"/>
  <c r="S53" i="17" s="1"/>
  <c r="Q57" i="17"/>
  <c r="S57" i="17" s="1"/>
  <c r="K58" i="17"/>
  <c r="Q62" i="17"/>
  <c r="S62" i="17" s="1"/>
  <c r="J66" i="17"/>
  <c r="R66" i="17" s="1"/>
  <c r="K67" i="17"/>
  <c r="Q76" i="17"/>
  <c r="S76" i="17" s="1"/>
  <c r="K79" i="17"/>
  <c r="Q19" i="17"/>
  <c r="S19" i="17" s="1"/>
  <c r="Q31" i="17"/>
  <c r="Q40" i="17"/>
  <c r="S40" i="17" s="1"/>
  <c r="K45" i="17"/>
  <c r="Q47" i="17"/>
  <c r="Q52" i="17"/>
  <c r="Q63" i="17"/>
  <c r="S63" i="17" s="1"/>
  <c r="K5" i="17"/>
  <c r="K21" i="17"/>
  <c r="Q34" i="17"/>
  <c r="Q67" i="17"/>
  <c r="S67" i="17" s="1"/>
  <c r="V67" i="17" s="1"/>
  <c r="Q77" i="17"/>
  <c r="K6" i="17"/>
  <c r="J6" i="17"/>
  <c r="R6" i="17" s="1"/>
  <c r="K11" i="17"/>
  <c r="J11" i="17"/>
  <c r="R11" i="17" s="1"/>
  <c r="Q15" i="17"/>
  <c r="Q35" i="17"/>
  <c r="K33" i="17"/>
  <c r="Q33" i="17"/>
  <c r="J33" i="17"/>
  <c r="R33" i="17" s="1"/>
  <c r="K9" i="17"/>
  <c r="J9" i="17"/>
  <c r="R9" i="17" s="1"/>
  <c r="K16" i="17"/>
  <c r="J16" i="17"/>
  <c r="R16" i="17" s="1"/>
  <c r="K23" i="17"/>
  <c r="J23" i="17"/>
  <c r="R23" i="17" s="1"/>
  <c r="J30" i="17"/>
  <c r="R30" i="17" s="1"/>
  <c r="K30" i="17"/>
  <c r="Q30" i="17"/>
  <c r="K15" i="17"/>
  <c r="J15" i="17"/>
  <c r="R15" i="17" s="1"/>
  <c r="K35" i="17"/>
  <c r="J35" i="17"/>
  <c r="R35" i="17" s="1"/>
  <c r="Q9" i="17"/>
  <c r="J13" i="17"/>
  <c r="R13" i="17" s="1"/>
  <c r="K13" i="17"/>
  <c r="Q16" i="17"/>
  <c r="K18" i="17"/>
  <c r="J18" i="17"/>
  <c r="R18" i="17" s="1"/>
  <c r="K20" i="17"/>
  <c r="J20" i="17"/>
  <c r="R20" i="17" s="1"/>
  <c r="Q23" i="17"/>
  <c r="J25" i="17"/>
  <c r="R25" i="17" s="1"/>
  <c r="K25" i="17"/>
  <c r="Q17" i="17"/>
  <c r="K55" i="17"/>
  <c r="J55" i="17"/>
  <c r="R55" i="17" s="1"/>
  <c r="J56" i="17"/>
  <c r="R56" i="17" s="1"/>
  <c r="Q56" i="17"/>
  <c r="K56" i="17"/>
  <c r="J7" i="17"/>
  <c r="R7" i="17" s="1"/>
  <c r="J8" i="17"/>
  <c r="R8" i="17" s="1"/>
  <c r="J14" i="17"/>
  <c r="R14" i="17" s="1"/>
  <c r="J17" i="17"/>
  <c r="R17" i="17" s="1"/>
  <c r="J19" i="17"/>
  <c r="R19" i="17" s="1"/>
  <c r="J22" i="17"/>
  <c r="R22" i="17" s="1"/>
  <c r="J24" i="17"/>
  <c r="R24" i="17" s="1"/>
  <c r="K27" i="17"/>
  <c r="Q28" i="17"/>
  <c r="K32" i="17"/>
  <c r="Q36" i="17"/>
  <c r="Q38" i="17"/>
  <c r="J48" i="17"/>
  <c r="R48" i="17" s="1"/>
  <c r="K48" i="17"/>
  <c r="J60" i="17"/>
  <c r="R60" i="17" s="1"/>
  <c r="K60" i="17"/>
  <c r="Q10" i="17"/>
  <c r="Q12" i="17"/>
  <c r="K14" i="17"/>
  <c r="Q21" i="17"/>
  <c r="K22" i="17"/>
  <c r="K24" i="17"/>
  <c r="K46" i="17"/>
  <c r="J46" i="17"/>
  <c r="R46" i="17" s="1"/>
  <c r="Q55" i="17"/>
  <c r="K59" i="17"/>
  <c r="J59" i="17"/>
  <c r="R59" i="17" s="1"/>
  <c r="Q60" i="17"/>
  <c r="J65" i="17"/>
  <c r="R65" i="17" s="1"/>
  <c r="K65" i="17"/>
  <c r="Q65" i="17"/>
  <c r="Q7" i="17"/>
  <c r="Q5" i="17"/>
  <c r="J29" i="17"/>
  <c r="R29" i="17" s="1"/>
  <c r="K39" i="17"/>
  <c r="J39" i="17"/>
  <c r="R39" i="17" s="1"/>
  <c r="K40" i="17"/>
  <c r="J40" i="17"/>
  <c r="R40" i="17" s="1"/>
  <c r="J44" i="17"/>
  <c r="R44" i="17" s="1"/>
  <c r="Q44" i="17"/>
  <c r="K44" i="17"/>
  <c r="Q46" i="17"/>
  <c r="K49" i="17"/>
  <c r="J49" i="17"/>
  <c r="R49" i="17" s="1"/>
  <c r="K50" i="17"/>
  <c r="J50" i="17"/>
  <c r="R50" i="17" s="1"/>
  <c r="K51" i="17"/>
  <c r="Q51" i="17"/>
  <c r="J51" i="17"/>
  <c r="R51" i="17" s="1"/>
  <c r="Q59" i="17"/>
  <c r="K64" i="17"/>
  <c r="J64" i="17"/>
  <c r="R64" i="17" s="1"/>
  <c r="Q43" i="17"/>
  <c r="Q54" i="17"/>
  <c r="Q64" i="17"/>
  <c r="J53" i="17"/>
  <c r="R53" i="17" s="1"/>
  <c r="J54" i="17"/>
  <c r="R54" i="17" s="1"/>
  <c r="Q49" i="17"/>
  <c r="J61" i="17"/>
  <c r="R61" i="17" s="1"/>
  <c r="K61" i="17"/>
  <c r="Q66" i="17"/>
  <c r="K70" i="17"/>
  <c r="J70" i="17"/>
  <c r="R70" i="17" s="1"/>
  <c r="K74" i="17"/>
  <c r="J74" i="17"/>
  <c r="R74" i="17" s="1"/>
  <c r="K78" i="17"/>
  <c r="J78" i="17"/>
  <c r="R78" i="17" s="1"/>
  <c r="J68" i="17"/>
  <c r="R68" i="17" s="1"/>
  <c r="K69" i="17"/>
  <c r="J69" i="17"/>
  <c r="R69" i="17" s="1"/>
  <c r="Q70" i="17"/>
  <c r="J72" i="17"/>
  <c r="R72" i="17" s="1"/>
  <c r="K73" i="17"/>
  <c r="J73" i="17"/>
  <c r="R73" i="17" s="1"/>
  <c r="Q74" i="17"/>
  <c r="J76" i="17"/>
  <c r="R76" i="17" s="1"/>
  <c r="K77" i="17"/>
  <c r="J77" i="17"/>
  <c r="R77" i="17" s="1"/>
  <c r="Q78" i="17"/>
  <c r="Q71" i="17"/>
  <c r="Q75" i="17"/>
  <c r="Q79" i="17"/>
  <c r="V14" i="17" l="1"/>
  <c r="V41" i="17"/>
  <c r="V57" i="17"/>
  <c r="V26" i="17"/>
  <c r="V69" i="17"/>
  <c r="V29" i="17"/>
  <c r="V32" i="17"/>
  <c r="V11" i="17"/>
  <c r="V8" i="17"/>
  <c r="V37" i="17"/>
  <c r="V22" i="17"/>
  <c r="V63" i="17"/>
  <c r="V73" i="17"/>
  <c r="V6" i="17"/>
  <c r="V61" i="17"/>
  <c r="V39" i="17"/>
  <c r="S48" i="17"/>
  <c r="V48" i="17" s="1"/>
  <c r="V13" i="17"/>
  <c r="V76" i="17"/>
  <c r="V68" i="17"/>
  <c r="V62" i="17"/>
  <c r="V58" i="17"/>
  <c r="V45" i="17"/>
  <c r="V24" i="17"/>
  <c r="V20" i="17"/>
  <c r="S47" i="17"/>
  <c r="V47" i="17" s="1"/>
  <c r="V53" i="17"/>
  <c r="V40" i="17"/>
  <c r="S34" i="17"/>
  <c r="V34" i="17" s="1"/>
  <c r="V19" i="17"/>
  <c r="S77" i="17"/>
  <c r="V77" i="17" s="1"/>
  <c r="V50" i="17"/>
  <c r="V25" i="17"/>
  <c r="S31" i="17"/>
  <c r="V31" i="17" s="1"/>
  <c r="V72" i="17"/>
  <c r="V18" i="17"/>
  <c r="S52" i="17"/>
  <c r="V52" i="17" s="1"/>
  <c r="S75" i="17"/>
  <c r="V75" i="17" s="1"/>
  <c r="S43" i="17"/>
  <c r="V43" i="17" s="1"/>
  <c r="S44" i="17"/>
  <c r="V44" i="17" s="1"/>
  <c r="S9" i="17"/>
  <c r="V9" i="17" s="1"/>
  <c r="S15" i="17"/>
  <c r="V15" i="17" s="1"/>
  <c r="S71" i="17"/>
  <c r="V71" i="17" s="1"/>
  <c r="S66" i="17"/>
  <c r="V66" i="17" s="1"/>
  <c r="S21" i="17"/>
  <c r="V21" i="17" s="1"/>
  <c r="S56" i="17"/>
  <c r="V56" i="17" s="1"/>
  <c r="S16" i="17"/>
  <c r="V16" i="17" s="1"/>
  <c r="S33" i="17"/>
  <c r="V33" i="17" s="1"/>
  <c r="S23" i="17"/>
  <c r="V23" i="17" s="1"/>
  <c r="S74" i="17"/>
  <c r="V74" i="17" s="1"/>
  <c r="S70" i="17"/>
  <c r="V70" i="17" s="1"/>
  <c r="S64" i="17"/>
  <c r="V64" i="17" s="1"/>
  <c r="S54" i="17"/>
  <c r="V54" i="17" s="1"/>
  <c r="S59" i="17"/>
  <c r="V59" i="17" s="1"/>
  <c r="S46" i="17"/>
  <c r="V46" i="17" s="1"/>
  <c r="S5" i="17"/>
  <c r="V5" i="17" s="1"/>
  <c r="S55" i="17"/>
  <c r="V55" i="17" s="1"/>
  <c r="S12" i="17"/>
  <c r="V12" i="17" s="1"/>
  <c r="S38" i="17"/>
  <c r="V38" i="17" s="1"/>
  <c r="S28" i="17"/>
  <c r="V28" i="17" s="1"/>
  <c r="S30" i="17"/>
  <c r="V30" i="17" s="1"/>
  <c r="S49" i="17"/>
  <c r="V49" i="17" s="1"/>
  <c r="S51" i="17"/>
  <c r="V51" i="17" s="1"/>
  <c r="S65" i="17"/>
  <c r="V65" i="17" s="1"/>
  <c r="S78" i="17"/>
  <c r="V78" i="17" s="1"/>
  <c r="S79" i="17"/>
  <c r="V79" i="17" s="1"/>
  <c r="S7" i="17"/>
  <c r="V7" i="17" s="1"/>
  <c r="S60" i="17"/>
  <c r="V60" i="17" s="1"/>
  <c r="S10" i="17"/>
  <c r="V10" i="17" s="1"/>
  <c r="S36" i="17"/>
  <c r="V36" i="17" s="1"/>
  <c r="S17" i="17"/>
  <c r="V17" i="17" s="1"/>
  <c r="I82" i="17"/>
  <c r="S35" i="17"/>
  <c r="V35" i="17" s="1"/>
  <c r="U6" i="15"/>
  <c r="T6" i="15"/>
  <c r="P6" i="15"/>
  <c r="O6" i="15"/>
  <c r="N6" i="15"/>
  <c r="L6" i="15"/>
  <c r="M6" i="15"/>
  <c r="I83" i="17" l="1"/>
  <c r="I81" i="17"/>
  <c r="I84" i="17" l="1"/>
  <c r="I85" i="17" s="1"/>
  <c r="I87" i="17" s="1"/>
  <c r="V5" i="15" l="1"/>
  <c r="G6" i="15" l="1"/>
  <c r="H6" i="15" l="1"/>
  <c r="F6" i="15"/>
  <c r="K6" i="15" l="1"/>
  <c r="I6" i="15"/>
  <c r="S6" i="15" l="1"/>
  <c r="Q6" i="15"/>
  <c r="R6" i="15"/>
  <c r="J6" i="15"/>
  <c r="V6" i="15" l="1"/>
  <c r="E6" i="20" l="1"/>
  <c r="F6" i="20" s="1"/>
  <c r="E7" i="20"/>
  <c r="F7" i="20" s="1"/>
  <c r="F9" i="20" l="1"/>
  <c r="F11" i="20" s="1"/>
  <c r="F10" i="20" l="1"/>
  <c r="F12" i="20" s="1"/>
  <c r="F8" i="24" l="1"/>
  <c r="F6" i="24"/>
  <c r="H5" i="21"/>
  <c r="E5" i="21"/>
  <c r="F5" i="21" s="1"/>
  <c r="F7" i="24"/>
  <c r="E7" i="21"/>
  <c r="F7" i="21" s="1"/>
  <c r="H7" i="21"/>
  <c r="F9" i="24" l="1"/>
  <c r="I20" i="36" s="1"/>
  <c r="F9" i="21"/>
  <c r="F11" i="21" s="1"/>
  <c r="I23" i="36" l="1"/>
  <c r="I25" i="36"/>
  <c r="F11" i="24"/>
  <c r="F10" i="24"/>
  <c r="F10" i="21"/>
  <c r="F12" i="21" s="1"/>
  <c r="I27" i="36" l="1"/>
  <c r="I29" i="36" s="1"/>
  <c r="F12" i="24"/>
</calcChain>
</file>

<file path=xl/sharedStrings.xml><?xml version="1.0" encoding="utf-8"?>
<sst xmlns="http://schemas.openxmlformats.org/spreadsheetml/2006/main" count="589" uniqueCount="274">
  <si>
    <t>JOY MANPOWER SERVICE</t>
  </si>
  <si>
    <t>EXTRUDER</t>
  </si>
  <si>
    <t>IMD</t>
  </si>
  <si>
    <t>STORES</t>
  </si>
  <si>
    <t>NAME</t>
  </si>
  <si>
    <t>DEPT</t>
  </si>
  <si>
    <t>STIPEND</t>
  </si>
  <si>
    <t>CANTEEN</t>
  </si>
  <si>
    <t>RENT</t>
  </si>
  <si>
    <t>AMOUNT</t>
  </si>
  <si>
    <t>GRAND TOTAL</t>
  </si>
  <si>
    <t>OT STIPEND</t>
  </si>
  <si>
    <t>MIXER</t>
  </si>
  <si>
    <t>S NO</t>
  </si>
  <si>
    <t>W DAYS</t>
  </si>
  <si>
    <t>BASIC 70%</t>
  </si>
  <si>
    <t>HRA 30%</t>
  </si>
  <si>
    <t>OT</t>
  </si>
  <si>
    <t>F.ALLOWANCE</t>
  </si>
  <si>
    <t>N.ALLOWANCE</t>
  </si>
  <si>
    <t>GROSS</t>
  </si>
  <si>
    <t>PF 12%</t>
  </si>
  <si>
    <t>ESI 0.75%</t>
  </si>
  <si>
    <t>NET AMOUNT</t>
  </si>
  <si>
    <t>TOTAL</t>
  </si>
  <si>
    <t>PF - 13.0%</t>
  </si>
  <si>
    <t>ESI - 3.25%</t>
  </si>
  <si>
    <t>service charge 6%</t>
  </si>
  <si>
    <t>Less - Canteen &amp; Room Rent</t>
  </si>
  <si>
    <t>Sub Total</t>
  </si>
  <si>
    <t>PACKING</t>
  </si>
  <si>
    <t>EMP ID</t>
  </si>
  <si>
    <t>GRINDING</t>
  </si>
  <si>
    <t>S.NO.</t>
  </si>
  <si>
    <t>PARTICULARS</t>
  </si>
  <si>
    <t>CGST @ 9% on Billing Amount</t>
  </si>
  <si>
    <t>SGST @ 9% on Billing Amount</t>
  </si>
  <si>
    <t>For JOY MANPOWER SERVICE
PROPRIETOR</t>
  </si>
  <si>
    <t>PROPRIETOR</t>
  </si>
  <si>
    <t>INVOICE</t>
  </si>
  <si>
    <t>From</t>
  </si>
  <si>
    <t xml:space="preserve">Invoice Number </t>
  </si>
  <si>
    <t xml:space="preserve">Invoice Date </t>
  </si>
  <si>
    <t>GSTIN Number : 33AOAPR4773D1Z2</t>
  </si>
  <si>
    <t xml:space="preserve">PAN Number </t>
  </si>
  <si>
    <t>AOAPR4773D</t>
  </si>
  <si>
    <t>To</t>
  </si>
  <si>
    <t>PF Code</t>
  </si>
  <si>
    <t>CB/CBE/1724259000</t>
  </si>
  <si>
    <t>ESIC Code</t>
  </si>
  <si>
    <t>56001195190001001</t>
  </si>
  <si>
    <t>GSTIN Number : 33AAACW1645G1ZM</t>
  </si>
  <si>
    <t>Particulars</t>
  </si>
  <si>
    <t>Rs.</t>
  </si>
  <si>
    <t>2. CGST @ 9% on Billing Amount</t>
  </si>
  <si>
    <t>3 .SGST @ 9% on Billing Amount</t>
  </si>
  <si>
    <t xml:space="preserve">TOTAL </t>
  </si>
  <si>
    <t xml:space="preserve">JOY MANPOWER SERVICE </t>
  </si>
  <si>
    <t>PUNCHING NO</t>
  </si>
  <si>
    <t>D WAGES</t>
  </si>
  <si>
    <t>SIGNATURE</t>
  </si>
  <si>
    <t>BIRSA BARJO</t>
  </si>
  <si>
    <t>REMARKS</t>
  </si>
  <si>
    <t>BENTE LOHRA</t>
  </si>
  <si>
    <t>CHHOTELAL MARANDI</t>
  </si>
  <si>
    <t>DAR HO</t>
  </si>
  <si>
    <t>GANESH MAHAKUD</t>
  </si>
  <si>
    <t>BIJYA KUMAR SINGH</t>
  </si>
  <si>
    <t>SURESH SOREN</t>
  </si>
  <si>
    <t>DEVSINGH MURMU</t>
  </si>
  <si>
    <t>BABUL HANSDA</t>
  </si>
  <si>
    <t>DILIP HEMBRAM</t>
  </si>
  <si>
    <t>SURESH MARANDI</t>
  </si>
  <si>
    <t>SUSHIL HEMBRAM</t>
  </si>
  <si>
    <t>VIPAN MURMU</t>
  </si>
  <si>
    <t>CHINTU KISKU</t>
  </si>
  <si>
    <t>WAGES</t>
  </si>
  <si>
    <t>OT WAGES</t>
  </si>
  <si>
    <t>NET WAGES</t>
  </si>
  <si>
    <t>SANTOSH TUDU</t>
  </si>
  <si>
    <t>RAJ KISHOR MARANDI</t>
  </si>
  <si>
    <t>CHANDAN RAM</t>
  </si>
  <si>
    <t>SANTOSH KUMAR</t>
  </si>
  <si>
    <t>VIMALPANDI PALPANDI</t>
  </si>
  <si>
    <t>ATTEN BONUS</t>
  </si>
  <si>
    <t>NARESH PASWAN</t>
  </si>
  <si>
    <t>DILIP MANJHI</t>
  </si>
  <si>
    <t>KAUSHAL KUMAR</t>
  </si>
  <si>
    <t>AJAY KUMAR PRAJAPATI</t>
  </si>
  <si>
    <t>MUKESH KUMAR</t>
  </si>
  <si>
    <t>BAIDHANATH KUMAR BAURI</t>
  </si>
  <si>
    <t>CHANDRAMOULI PASWAN</t>
  </si>
  <si>
    <t>SHANKAR BAURI</t>
  </si>
  <si>
    <t>PUKAR PASWAN</t>
  </si>
  <si>
    <t>DEVAKI PASWAN</t>
  </si>
  <si>
    <t>SATHISH PALANI</t>
  </si>
  <si>
    <t>SANJIT KUMAR</t>
  </si>
  <si>
    <t>PAULUS HANSDA</t>
  </si>
  <si>
    <t>KAMINNDAR KUMAR</t>
  </si>
  <si>
    <t>UTAM KUMAR</t>
  </si>
  <si>
    <t>JITEN BODRA</t>
  </si>
  <si>
    <t>SONU KUMAR</t>
  </si>
  <si>
    <t>SAHU GAGRAI</t>
  </si>
  <si>
    <t>ANANDMILAN BHUINYA</t>
  </si>
  <si>
    <t>MANOJ TUDU</t>
  </si>
  <si>
    <t>DEVENDRA BODRA</t>
  </si>
  <si>
    <t>UDASH MARANDI</t>
  </si>
  <si>
    <t>KAMLESH KUMAR</t>
  </si>
  <si>
    <t>KAUSHAL MANJHI</t>
  </si>
  <si>
    <t>ANUJ MANJHI S</t>
  </si>
  <si>
    <t>RABINDAR DAHANGA</t>
  </si>
  <si>
    <t>MURARI RAM</t>
  </si>
  <si>
    <t>IMD - GRINDING</t>
  </si>
  <si>
    <t>WAGES STATEMENT FOR THE MONTH OF NOV - 2021  (WT - UNIT II)</t>
  </si>
  <si>
    <t>DABU BODARA</t>
  </si>
  <si>
    <t>GOBIND TUDU</t>
  </si>
  <si>
    <t>KALIDHAN TUDU</t>
  </si>
  <si>
    <t>SANATAN MURMU</t>
  </si>
  <si>
    <t>MAHADEV TUDU</t>
  </si>
  <si>
    <t>SHIVKUMAR MURMU</t>
  </si>
  <si>
    <t>BIKAS HANSDA</t>
  </si>
  <si>
    <t>MANORANJAN MURMU</t>
  </si>
  <si>
    <t>KAMLESH MURMU</t>
  </si>
  <si>
    <t>MISTER TUDU</t>
  </si>
  <si>
    <t>MANESHAL MARANDI</t>
  </si>
  <si>
    <t>SURAJ SOREN</t>
  </si>
  <si>
    <t>MANISAL SOREN</t>
  </si>
  <si>
    <t>GANESH MURMU</t>
  </si>
  <si>
    <t>SAGAR KUMAR</t>
  </si>
  <si>
    <t>DEVA DOM</t>
  </si>
  <si>
    <t>PARITOSH SHEET</t>
  </si>
  <si>
    <t>MUKESH KUMAR R</t>
  </si>
  <si>
    <t>CHOTE BHUIYAN</t>
  </si>
  <si>
    <t>TINKU KUMAR</t>
  </si>
  <si>
    <t>RAJU BHUIYAN</t>
  </si>
  <si>
    <t>MUKESH KUMAR M</t>
  </si>
  <si>
    <t>DINESH MANJHI</t>
  </si>
  <si>
    <t>MANOHAR MANJHI</t>
  </si>
  <si>
    <t>AJAY KUMAR</t>
  </si>
  <si>
    <t>AJAY BHUIYAN</t>
  </si>
  <si>
    <t>VIJAY MANJHI</t>
  </si>
  <si>
    <t>SANJAY MANJHI</t>
  </si>
  <si>
    <t>OM PRAGAAS MANJHI</t>
  </si>
  <si>
    <t>C OFF</t>
  </si>
  <si>
    <t>TOTAL DAYS</t>
  </si>
  <si>
    <t>ATTN BONUS</t>
  </si>
  <si>
    <t>NIGHT
ALLOW</t>
  </si>
  <si>
    <t>FOOD
ALLOW</t>
  </si>
  <si>
    <t>W. DAYS</t>
  </si>
  <si>
    <t>WAGES STATEMENT FOR THE MONTH OF MAY - 2022                 UNIT II</t>
  </si>
  <si>
    <t>UAN Number</t>
  </si>
  <si>
    <t>ESI Number</t>
  </si>
  <si>
    <t>PF - 13%</t>
  </si>
  <si>
    <t>PF - 1%</t>
  </si>
  <si>
    <t>MANI MAPPU</t>
  </si>
  <si>
    <t>PF &amp; ESI REIMBURSHMENT</t>
  </si>
  <si>
    <t>SILOMANI</t>
  </si>
  <si>
    <t>Rupees : Fourty Three Thousand And Two Hundred Only/-</t>
  </si>
  <si>
    <t>WAGES BREAKUP FOR THE MONTH OF FEB -  2023</t>
  </si>
  <si>
    <t>Rupees : Sixty Thousand Nine Hundred and Ten only/-</t>
  </si>
  <si>
    <t>*</t>
  </si>
  <si>
    <t>Being the Contract Services for supply of manpower at</t>
  </si>
  <si>
    <t>Service Charges @ 6% on Gross</t>
  </si>
  <si>
    <t>(-) Canteen Deduction</t>
  </si>
  <si>
    <t>(-) Room Rent deduction</t>
  </si>
  <si>
    <t>ROOM RENT</t>
  </si>
  <si>
    <t>MANI RANGASAMY</t>
  </si>
  <si>
    <t>SARJAN MANDAL</t>
  </si>
  <si>
    <t>P. DAYS</t>
  </si>
  <si>
    <t>ADMIN</t>
  </si>
  <si>
    <t>ARRIER</t>
  </si>
  <si>
    <t>KAVERI A</t>
  </si>
  <si>
    <t>Watertec India Pvt Ltd-UNIT I</t>
  </si>
  <si>
    <t>PAY DAYS</t>
  </si>
  <si>
    <t>F.ALLOW</t>
  </si>
  <si>
    <t>N.ALLOW</t>
  </si>
  <si>
    <t>ARREARS</t>
  </si>
  <si>
    <t>OTHER
DED</t>
  </si>
  <si>
    <t>101741563474</t>
  </si>
  <si>
    <t>101699824282</t>
  </si>
  <si>
    <t>101732329797</t>
  </si>
  <si>
    <t>102015030735</t>
  </si>
  <si>
    <t>101564896853</t>
  </si>
  <si>
    <t>P.F.Employer Contribution @ 13%</t>
  </si>
  <si>
    <t>E.S.I Employer Contribution @ 3.25%</t>
  </si>
  <si>
    <t>Dhanush</t>
  </si>
  <si>
    <t>Sharvesh selvam</t>
  </si>
  <si>
    <t>JOY MANPOWER SERVICE WAGES FOR THE MONTH OF OCT - 2024</t>
  </si>
  <si>
    <t>RAJKISHOR MARANDI</t>
  </si>
  <si>
    <t>NFH</t>
  </si>
  <si>
    <t>Watertec India Pvt Ltd-UNIT II</t>
  </si>
  <si>
    <t>TULSI SAW</t>
  </si>
  <si>
    <t>EXTRUDER-MIXING</t>
  </si>
  <si>
    <t>ARREAR</t>
  </si>
  <si>
    <t>EXTRUDER-GRINDING</t>
  </si>
  <si>
    <t>NIRMAL HANSDA</t>
  </si>
  <si>
    <t>HARADHAN KISKU</t>
  </si>
  <si>
    <t>RAJKUMAR TUDU</t>
  </si>
  <si>
    <t>PINTU KUMAR</t>
  </si>
  <si>
    <t>SUDHA NANJAPPAN</t>
  </si>
  <si>
    <t>ADDITIONAL</t>
  </si>
  <si>
    <t>SUBRAMANI</t>
  </si>
  <si>
    <t>PAVALAKODI</t>
  </si>
  <si>
    <t>KANGRESH MARANDI</t>
  </si>
  <si>
    <t>GOWSALAYA</t>
  </si>
  <si>
    <t>RAJADURI A</t>
  </si>
  <si>
    <t>EVARAJ P</t>
  </si>
  <si>
    <t>UMAKANTH</t>
  </si>
  <si>
    <t>PANJALAI PADMANABAN</t>
  </si>
  <si>
    <t>SUBRAMANI M</t>
  </si>
  <si>
    <t>SANTHOSH KUMAR</t>
  </si>
  <si>
    <t>SELVA KUMAR</t>
  </si>
  <si>
    <t>ANUP ORAON</t>
  </si>
  <si>
    <t>MANOHAR KUJUR</t>
  </si>
  <si>
    <t>SOMNATH ORAON</t>
  </si>
  <si>
    <t xml:space="preserve">VANESHWARI </t>
  </si>
  <si>
    <t>KARAM SINGH MERAI</t>
  </si>
  <si>
    <t>MANAY SIRKA</t>
  </si>
  <si>
    <t>ASHISH MALLIK</t>
  </si>
  <si>
    <t>SONU MALLICK</t>
  </si>
  <si>
    <t>KISHUN KUMAR MALLIK</t>
  </si>
  <si>
    <t>ROHIT KUMAR MALLICK</t>
  </si>
  <si>
    <t>KRISHNA KUMAR MALLIK</t>
  </si>
  <si>
    <t>VIKASH KUMAR MALLIK</t>
  </si>
  <si>
    <t>MUKESH KUMAR MALLIK</t>
  </si>
  <si>
    <t>SHIBU KUMAR MALLIK</t>
  </si>
  <si>
    <t>KAMAL KUMAR MALLIK</t>
  </si>
  <si>
    <t>SURAJ KUMAR MALLIK</t>
  </si>
  <si>
    <t>RAJEEV MALLIK</t>
  </si>
  <si>
    <t>KARAN KUMAR MALLIK</t>
  </si>
  <si>
    <t>AMIT KUMAR MALLIK</t>
  </si>
  <si>
    <t>SORAJ KUMAR NAYAK</t>
  </si>
  <si>
    <t>BABUSAL MARANDI</t>
  </si>
  <si>
    <t>MANISAL MURMU</t>
  </si>
  <si>
    <t>PREMSAGAR SOREN</t>
  </si>
  <si>
    <t>UTTAM KUMAR</t>
  </si>
  <si>
    <t>MANJESH</t>
  </si>
  <si>
    <t>SUMAN KUMAR</t>
  </si>
  <si>
    <t>AVIRAJ KUMAR</t>
  </si>
  <si>
    <t>RAUSHAN KUMAR RAM</t>
  </si>
  <si>
    <t>BASIC 55%</t>
  </si>
  <si>
    <t>HRA 45%</t>
  </si>
  <si>
    <t>ESI WAGES</t>
  </si>
  <si>
    <t>DHANESWAR MUNDA</t>
  </si>
  <si>
    <t>ARUKKANI</t>
  </si>
  <si>
    <t>ABHISHEK KUMAR RAM</t>
  </si>
  <si>
    <t>Mobile - 9080776580</t>
  </si>
  <si>
    <t>GSTIN Number - 33AOAPR4773D1Z2</t>
  </si>
  <si>
    <t>No.16, Krishna complex, Avinashi main road,</t>
  </si>
  <si>
    <t xml:space="preserve">Thennampalayam, Arasur PO, </t>
  </si>
  <si>
    <t>Coimbatore - 641 407.</t>
  </si>
  <si>
    <t>SAC Code</t>
  </si>
  <si>
    <t>Watertec India Private Limited - Unit - II</t>
  </si>
  <si>
    <t>111/1 B, Paduvampalli Village</t>
  </si>
  <si>
    <t>Sulur (T.K) Coimbatore - 641659</t>
  </si>
  <si>
    <t xml:space="preserve">1. Being the Contract Services for supply of manpower </t>
  </si>
  <si>
    <t>TOTAL AMOUNT :-</t>
  </si>
  <si>
    <t>VIKRAM KUMAR</t>
  </si>
  <si>
    <t>DINESHWAR ROY</t>
  </si>
  <si>
    <t>MANOJ ROY</t>
  </si>
  <si>
    <t>26/09/2026</t>
  </si>
  <si>
    <t>205/2026-27</t>
  </si>
  <si>
    <r>
      <t xml:space="preserve">   at your Factory permises from</t>
    </r>
    <r>
      <rPr>
        <b/>
        <sz val="13"/>
        <rFont val="Arial"/>
        <family val="2"/>
      </rPr>
      <t xml:space="preserve"> 26.08.2026 to 25.09.2026</t>
    </r>
  </si>
  <si>
    <t>WAGES BREAKUP FOR THE MONTH OF SEP - 2026</t>
  </si>
  <si>
    <r>
      <t xml:space="preserve">your Factory permises from </t>
    </r>
    <r>
      <rPr>
        <b/>
        <sz val="16"/>
        <color indexed="8"/>
        <rFont val="Arial"/>
        <family val="2"/>
      </rPr>
      <t>26.08.2026 TO 25.09.2026</t>
    </r>
  </si>
  <si>
    <t>WAGES STATEMENT FOR THE MONTH OF SEP 2026</t>
  </si>
  <si>
    <t>JOY MANPOWER SERVICE WAGES FOR THE MONTH OF SEP - 2026</t>
  </si>
  <si>
    <t>ROOM RENT FOR THE MONTH OF SEP - 2026  (WT - UNIT II)</t>
  </si>
  <si>
    <t>RABI MAHAKUD</t>
  </si>
  <si>
    <t>MOHANTY MAHAKUD</t>
  </si>
  <si>
    <t>MAHIPUL MANDAL</t>
  </si>
  <si>
    <t>UDAIRAM REANG</t>
  </si>
  <si>
    <t>(ADD) ROOM RENT (33*250)</t>
  </si>
  <si>
    <t>RUPEES : Fifteen Lakh Twenty Thousand Three Hundred And Ninety One only/-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</si>
</sst>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0.0;[Red]0.0"/>
    <numFmt numFmtId="166" formatCode="_(* #,##0_);_(* \(#,##0\);_(* &quot;-&quot;??_);_(@_)"/>
  </numFmts>
  <fonts count="8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color rgb="FF000000"/>
      <name val="Calibri"/>
      <family val="2"/>
    </font>
    <font>
      <b/>
      <sz val="16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sz val="11"/>
      <color rgb="FF000000"/>
      <name val="Calibri"/>
      <family val="2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</font>
    <font>
      <sz val="16"/>
      <name val="Arial"/>
      <family val="2"/>
    </font>
    <font>
      <b/>
      <sz val="18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8"/>
      <color rgb="FF000000"/>
      <name val="Calibri"/>
      <family val="2"/>
    </font>
    <font>
      <b/>
      <u/>
      <sz val="18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2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8"/>
      <name val="Arial"/>
      <family val="2"/>
    </font>
    <font>
      <u/>
      <sz val="20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</font>
    <font>
      <b/>
      <u/>
      <sz val="16"/>
      <color theme="1"/>
      <name val="Arial"/>
      <family val="2"/>
    </font>
    <font>
      <sz val="11"/>
      <color rgb="FF000000"/>
      <name val="Calibri"/>
      <family val="2"/>
    </font>
    <font>
      <b/>
      <u/>
      <sz val="14"/>
      <name val="Arial"/>
      <family val="2"/>
    </font>
    <font>
      <sz val="12"/>
      <name val="Arial"/>
      <family val="2"/>
    </font>
    <font>
      <b/>
      <u/>
      <sz val="16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20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b/>
      <u/>
      <sz val="14"/>
      <color theme="1"/>
      <name val="Arial"/>
      <family val="2"/>
    </font>
    <font>
      <b/>
      <sz val="16"/>
      <color indexed="8"/>
      <name val="Arial"/>
      <family val="2"/>
    </font>
    <font>
      <b/>
      <sz val="15"/>
      <color theme="1"/>
      <name val="Arial"/>
      <family val="2"/>
    </font>
    <font>
      <b/>
      <sz val="10"/>
      <color theme="1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0" tint="-0.34998626667073579"/>
      <name val="Arial"/>
      <family val="2"/>
    </font>
    <font>
      <b/>
      <u/>
      <sz val="2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Cambria"/>
      <family val="1"/>
    </font>
    <font>
      <sz val="18"/>
      <color theme="1"/>
      <name val="Calibri"/>
      <family val="2"/>
    </font>
    <font>
      <sz val="18"/>
      <name val="Calibri"/>
      <family val="2"/>
    </font>
    <font>
      <b/>
      <sz val="18"/>
      <color theme="1"/>
      <name val="Calibri"/>
      <family val="2"/>
    </font>
    <font>
      <sz val="12"/>
      <color theme="1"/>
      <name val="Cambria"/>
      <family val="1"/>
    </font>
    <font>
      <sz val="14"/>
      <color theme="1"/>
      <name val="Cambria"/>
      <family val="1"/>
    </font>
    <font>
      <b/>
      <u/>
      <sz val="18"/>
      <name val="Arial"/>
      <family val="2"/>
    </font>
    <font>
      <sz val="13"/>
      <name val="Arial"/>
      <family val="2"/>
    </font>
    <font>
      <sz val="11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10" fillId="0" borderId="1"/>
    <xf numFmtId="0" fontId="10" fillId="0" borderId="1"/>
    <xf numFmtId="0" fontId="10" fillId="0" borderId="1"/>
    <xf numFmtId="0" fontId="10" fillId="0" borderId="1"/>
    <xf numFmtId="0" fontId="8" fillId="0" borderId="1"/>
    <xf numFmtId="0" fontId="20" fillId="0" borderId="1"/>
    <xf numFmtId="0" fontId="44" fillId="0" borderId="1"/>
    <xf numFmtId="0" fontId="7" fillId="0" borderId="1"/>
    <xf numFmtId="0" fontId="20" fillId="0" borderId="1"/>
    <xf numFmtId="0" fontId="7" fillId="0" borderId="1"/>
    <xf numFmtId="0" fontId="20" fillId="0" borderId="1"/>
    <xf numFmtId="0" fontId="6" fillId="0" borderId="1"/>
    <xf numFmtId="0" fontId="10" fillId="0" borderId="1"/>
    <xf numFmtId="0" fontId="6" fillId="0" borderId="1"/>
    <xf numFmtId="0" fontId="6" fillId="0" borderId="1"/>
    <xf numFmtId="0" fontId="6" fillId="0" borderId="1"/>
    <xf numFmtId="0" fontId="5" fillId="0" borderId="1"/>
    <xf numFmtId="0" fontId="53" fillId="0" borderId="1"/>
    <xf numFmtId="0" fontId="53" fillId="0" borderId="1"/>
    <xf numFmtId="0" fontId="4" fillId="0" borderId="1"/>
    <xf numFmtId="0" fontId="2" fillId="0" borderId="1"/>
    <xf numFmtId="0" fontId="1" fillId="0" borderId="1"/>
    <xf numFmtId="164" fontId="1" fillId="0" borderId="1" applyFont="0" applyFill="0" applyBorder="0" applyAlignment="0" applyProtection="0"/>
  </cellStyleXfs>
  <cellXfs count="396">
    <xf numFmtId="0" fontId="0" fillId="0" borderId="0" xfId="0"/>
    <xf numFmtId="0" fontId="20" fillId="0" borderId="0" xfId="0" applyFont="1"/>
    <xf numFmtId="164" fontId="20" fillId="0" borderId="0" xfId="0" applyNumberFormat="1" applyFont="1"/>
    <xf numFmtId="0" fontId="25" fillId="0" borderId="2" xfId="0" applyFont="1" applyBorder="1" applyAlignment="1">
      <alignment horizontal="center" vertical="center" wrapText="1"/>
    </xf>
    <xf numFmtId="0" fontId="25" fillId="0" borderId="1" xfId="0" applyFont="1" applyBorder="1" applyAlignment="1">
      <alignment wrapText="1"/>
    </xf>
    <xf numFmtId="0" fontId="25" fillId="0" borderId="2" xfId="2" applyFont="1" applyBorder="1" applyAlignment="1">
      <alignment horizontal="center" vertical="center" wrapText="1"/>
    </xf>
    <xf numFmtId="164" fontId="0" fillId="0" borderId="0" xfId="0" applyNumberFormat="1"/>
    <xf numFmtId="0" fontId="25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vertical="center"/>
    </xf>
    <xf numFmtId="164" fontId="33" fillId="0" borderId="2" xfId="0" applyNumberFormat="1" applyFont="1" applyBorder="1" applyAlignment="1">
      <alignment horizontal="center" vertical="center"/>
    </xf>
    <xf numFmtId="165" fontId="34" fillId="0" borderId="2" xfId="0" applyNumberFormat="1" applyFont="1" applyBorder="1" applyAlignment="1">
      <alignment horizontal="center" vertical="center"/>
    </xf>
    <xf numFmtId="164" fontId="25" fillId="0" borderId="2" xfId="0" applyNumberFormat="1" applyFont="1" applyBorder="1" applyAlignment="1">
      <alignment horizontal="center" vertical="center"/>
    </xf>
    <xf numFmtId="164" fontId="34" fillId="0" borderId="2" xfId="0" applyNumberFormat="1" applyFont="1" applyBorder="1" applyAlignment="1">
      <alignment horizontal="center" vertical="center"/>
    </xf>
    <xf numFmtId="164" fontId="34" fillId="0" borderId="2" xfId="2" applyNumberFormat="1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0" xfId="0" applyFont="1" applyAlignment="1">
      <alignment vertical="center"/>
    </xf>
    <xf numFmtId="1" fontId="25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" fontId="25" fillId="0" borderId="1" xfId="0" applyNumberFormat="1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164" fontId="24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0" fontId="9" fillId="2" borderId="1" xfId="0" applyFont="1" applyFill="1" applyBorder="1"/>
    <xf numFmtId="0" fontId="25" fillId="2" borderId="2" xfId="2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/>
    </xf>
    <xf numFmtId="0" fontId="32" fillId="2" borderId="2" xfId="0" applyFont="1" applyFill="1" applyBorder="1"/>
    <xf numFmtId="165" fontId="31" fillId="2" borderId="2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64" fontId="31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wrapText="1"/>
    </xf>
    <xf numFmtId="0" fontId="9" fillId="2" borderId="1" xfId="2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164" fontId="22" fillId="2" borderId="1" xfId="0" applyNumberFormat="1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/>
    </xf>
    <xf numFmtId="1" fontId="9" fillId="2" borderId="1" xfId="0" applyNumberFormat="1" applyFont="1" applyFill="1" applyBorder="1" applyAlignment="1">
      <alignment horizontal="center"/>
    </xf>
    <xf numFmtId="1" fontId="11" fillId="2" borderId="1" xfId="2" applyNumberFormat="1" applyFont="1" applyFill="1" applyAlignment="1">
      <alignment horizontal="center"/>
    </xf>
    <xf numFmtId="1" fontId="9" fillId="2" borderId="1" xfId="0" applyNumberFormat="1" applyFont="1" applyFill="1" applyBorder="1"/>
    <xf numFmtId="0" fontId="9" fillId="2" borderId="1" xfId="0" applyFont="1" applyFill="1" applyBorder="1" applyAlignment="1">
      <alignment horizontal="center" vertical="center" wrapText="1"/>
    </xf>
    <xf numFmtId="2" fontId="16" fillId="2" borderId="3" xfId="2" applyNumberFormat="1" applyFont="1" applyFill="1" applyBorder="1" applyAlignment="1">
      <alignment horizontal="left" vertical="center"/>
    </xf>
    <xf numFmtId="2" fontId="23" fillId="2" borderId="4" xfId="2" applyNumberFormat="1" applyFont="1" applyFill="1" applyBorder="1" applyAlignment="1">
      <alignment horizontal="left" vertical="center"/>
    </xf>
    <xf numFmtId="1" fontId="13" fillId="2" borderId="2" xfId="2" applyNumberFormat="1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20" fillId="2" borderId="0" xfId="0" applyFont="1" applyFill="1" applyAlignment="1">
      <alignment horizontal="left"/>
    </xf>
    <xf numFmtId="0" fontId="13" fillId="2" borderId="2" xfId="2" applyFont="1" applyFill="1" applyBorder="1" applyAlignment="1">
      <alignment vertical="center"/>
    </xf>
    <xf numFmtId="0" fontId="0" fillId="2" borderId="0" xfId="0" applyFill="1"/>
    <xf numFmtId="0" fontId="20" fillId="2" borderId="0" xfId="0" applyFont="1" applyFill="1"/>
    <xf numFmtId="0" fontId="35" fillId="2" borderId="0" xfId="0" applyFont="1" applyFill="1"/>
    <xf numFmtId="0" fontId="0" fillId="2" borderId="1" xfId="0" applyFill="1" applyBorder="1"/>
    <xf numFmtId="2" fontId="13" fillId="2" borderId="9" xfId="2" applyNumberFormat="1" applyFont="1" applyFill="1" applyBorder="1" applyAlignment="1">
      <alignment horizontal="left" vertical="center"/>
    </xf>
    <xf numFmtId="2" fontId="36" fillId="2" borderId="3" xfId="2" applyNumberFormat="1" applyFont="1" applyFill="1" applyBorder="1" applyAlignment="1">
      <alignment horizontal="left" vertical="center"/>
    </xf>
    <xf numFmtId="164" fontId="13" fillId="2" borderId="2" xfId="2" applyNumberFormat="1" applyFont="1" applyFill="1" applyBorder="1" applyAlignment="1">
      <alignment vertical="center"/>
    </xf>
    <xf numFmtId="0" fontId="26" fillId="2" borderId="0" xfId="0" applyFont="1" applyFill="1"/>
    <xf numFmtId="0" fontId="40" fillId="2" borderId="2" xfId="0" applyFont="1" applyFill="1" applyBorder="1"/>
    <xf numFmtId="0" fontId="41" fillId="2" borderId="2" xfId="2" applyFont="1" applyFill="1" applyBorder="1" applyAlignment="1">
      <alignment horizontal="center" vertical="center" wrapText="1"/>
    </xf>
    <xf numFmtId="0" fontId="42" fillId="2" borderId="2" xfId="0" applyFont="1" applyFill="1" applyBorder="1"/>
    <xf numFmtId="0" fontId="39" fillId="2" borderId="2" xfId="0" applyFont="1" applyFill="1" applyBorder="1" applyAlignment="1">
      <alignment horizontal="center"/>
    </xf>
    <xf numFmtId="0" fontId="46" fillId="2" borderId="1" xfId="11" applyFont="1" applyFill="1" applyAlignment="1">
      <alignment vertical="center"/>
    </xf>
    <xf numFmtId="0" fontId="48" fillId="0" borderId="15" xfId="11" applyFont="1" applyBorder="1" applyAlignment="1">
      <alignment horizontal="center" vertical="center"/>
    </xf>
    <xf numFmtId="0" fontId="48" fillId="0" borderId="16" xfId="11" applyFont="1" applyBorder="1" applyAlignment="1">
      <alignment horizontal="center" vertical="center"/>
    </xf>
    <xf numFmtId="0" fontId="13" fillId="0" borderId="17" xfId="11" applyFont="1" applyBorder="1" applyAlignment="1">
      <alignment horizontal="center" vertical="center"/>
    </xf>
    <xf numFmtId="0" fontId="49" fillId="0" borderId="18" xfId="11" applyFont="1" applyBorder="1" applyAlignment="1">
      <alignment horizontal="center" vertical="center"/>
    </xf>
    <xf numFmtId="0" fontId="13" fillId="0" borderId="20" xfId="11" applyFont="1" applyBorder="1" applyAlignment="1">
      <alignment horizontal="center" vertical="center"/>
    </xf>
    <xf numFmtId="0" fontId="13" fillId="0" borderId="9" xfId="11" applyFont="1" applyBorder="1" applyAlignment="1">
      <alignment vertical="center"/>
    </xf>
    <xf numFmtId="0" fontId="13" fillId="0" borderId="3" xfId="11" applyFont="1" applyBorder="1" applyAlignment="1">
      <alignment vertical="center"/>
    </xf>
    <xf numFmtId="1" fontId="13" fillId="0" borderId="4" xfId="11" applyNumberFormat="1" applyFont="1" applyBorder="1" applyAlignment="1">
      <alignment vertical="center"/>
    </xf>
    <xf numFmtId="1" fontId="50" fillId="0" borderId="21" xfId="11" applyNumberFormat="1" applyFont="1" applyBorder="1" applyAlignment="1">
      <alignment horizontal="center" vertical="center"/>
    </xf>
    <xf numFmtId="1" fontId="50" fillId="0" borderId="16" xfId="11" applyNumberFormat="1" applyFont="1" applyBorder="1" applyAlignment="1">
      <alignment horizontal="center" vertical="center"/>
    </xf>
    <xf numFmtId="0" fontId="13" fillId="0" borderId="20" xfId="11" applyFont="1" applyBorder="1" applyAlignment="1">
      <alignment vertical="center"/>
    </xf>
    <xf numFmtId="0" fontId="48" fillId="0" borderId="26" xfId="11" applyFont="1" applyBorder="1" applyAlignment="1">
      <alignment horizontal="left" vertical="center"/>
    </xf>
    <xf numFmtId="0" fontId="48" fillId="0" borderId="8" xfId="11" applyFont="1" applyBorder="1" applyAlignment="1">
      <alignment horizontal="left" vertical="center"/>
    </xf>
    <xf numFmtId="0" fontId="48" fillId="0" borderId="27" xfId="11" applyFont="1" applyBorder="1" applyAlignment="1">
      <alignment horizontal="left" vertical="center"/>
    </xf>
    <xf numFmtId="0" fontId="52" fillId="0" borderId="26" xfId="11" applyFont="1" applyBorder="1" applyAlignment="1">
      <alignment horizontal="center" vertical="center"/>
    </xf>
    <xf numFmtId="0" fontId="13" fillId="0" borderId="1" xfId="11" applyFont="1" applyAlignment="1">
      <alignment horizontal="left" vertical="center"/>
    </xf>
    <xf numFmtId="1" fontId="13" fillId="0" borderId="1" xfId="11" applyNumberFormat="1" applyFont="1" applyAlignment="1">
      <alignment horizontal="center" vertical="center"/>
    </xf>
    <xf numFmtId="0" fontId="52" fillId="0" borderId="27" xfId="11" applyFont="1" applyBorder="1" applyAlignment="1">
      <alignment horizontal="center" vertical="center"/>
    </xf>
    <xf numFmtId="0" fontId="46" fillId="0" borderId="26" xfId="11" applyFont="1" applyBorder="1" applyAlignment="1">
      <alignment vertical="center"/>
    </xf>
    <xf numFmtId="0" fontId="46" fillId="0" borderId="27" xfId="11" applyFont="1" applyBorder="1" applyAlignment="1">
      <alignment horizontal="center" vertical="center"/>
    </xf>
    <xf numFmtId="0" fontId="46" fillId="0" borderId="22" xfId="11" applyFont="1" applyBorder="1" applyAlignment="1">
      <alignment vertical="center"/>
    </xf>
    <xf numFmtId="0" fontId="16" fillId="3" borderId="26" xfId="3" applyFont="1" applyFill="1" applyBorder="1" applyAlignment="1">
      <alignment horizontal="right" vertical="center" wrapText="1"/>
    </xf>
    <xf numFmtId="0" fontId="16" fillId="3" borderId="1" xfId="3" applyFont="1" applyFill="1" applyAlignment="1">
      <alignment horizontal="right" vertical="center" wrapText="1"/>
    </xf>
    <xf numFmtId="0" fontId="16" fillId="3" borderId="27" xfId="3" applyFont="1" applyFill="1" applyBorder="1" applyAlignment="1">
      <alignment horizontal="right" vertical="center" wrapText="1"/>
    </xf>
    <xf numFmtId="0" fontId="14" fillId="2" borderId="1" xfId="18" applyFont="1" applyFill="1"/>
    <xf numFmtId="0" fontId="15" fillId="0" borderId="15" xfId="18" applyFont="1" applyBorder="1" applyAlignment="1">
      <alignment horizontal="center"/>
    </xf>
    <xf numFmtId="0" fontId="15" fillId="0" borderId="16" xfId="18" applyFont="1" applyBorder="1" applyAlignment="1">
      <alignment horizontal="center" vertical="center"/>
    </xf>
    <xf numFmtId="0" fontId="14" fillId="2" borderId="1" xfId="18" applyFont="1" applyFill="1" applyAlignment="1">
      <alignment vertical="center"/>
    </xf>
    <xf numFmtId="0" fontId="18" fillId="0" borderId="17" xfId="18" applyFont="1" applyBorder="1" applyAlignment="1">
      <alignment horizontal="center"/>
    </xf>
    <xf numFmtId="0" fontId="18" fillId="0" borderId="19" xfId="18" applyFont="1" applyBorder="1" applyAlignment="1">
      <alignment horizontal="center"/>
    </xf>
    <xf numFmtId="1" fontId="19" fillId="0" borderId="21" xfId="18" applyNumberFormat="1" applyFont="1" applyBorder="1" applyAlignment="1">
      <alignment horizontal="center" vertical="center"/>
    </xf>
    <xf numFmtId="0" fontId="18" fillId="0" borderId="20" xfId="18" applyFont="1" applyBorder="1" applyAlignment="1">
      <alignment horizontal="center"/>
    </xf>
    <xf numFmtId="0" fontId="18" fillId="0" borderId="9" xfId="18" applyFont="1" applyBorder="1"/>
    <xf numFmtId="0" fontId="18" fillId="0" borderId="3" xfId="18" applyFont="1" applyBorder="1"/>
    <xf numFmtId="1" fontId="18" fillId="0" borderId="4" xfId="18" applyNumberFormat="1" applyFont="1" applyBorder="1"/>
    <xf numFmtId="1" fontId="19" fillId="0" borderId="16" xfId="18" applyNumberFormat="1" applyFont="1" applyBorder="1" applyAlignment="1">
      <alignment horizontal="center" vertical="center"/>
    </xf>
    <xf numFmtId="0" fontId="18" fillId="0" borderId="20" xfId="18" applyFont="1" applyBorder="1"/>
    <xf numFmtId="0" fontId="15" fillId="0" borderId="26" xfId="18" applyFont="1" applyBorder="1" applyAlignment="1">
      <alignment horizontal="left" vertical="center"/>
    </xf>
    <xf numFmtId="0" fontId="15" fillId="0" borderId="3" xfId="18" applyFont="1" applyBorder="1" applyAlignment="1">
      <alignment horizontal="left" vertical="center"/>
    </xf>
    <xf numFmtId="0" fontId="15" fillId="0" borderId="27" xfId="18" applyFont="1" applyBorder="1" applyAlignment="1">
      <alignment horizontal="left" vertical="center"/>
    </xf>
    <xf numFmtId="0" fontId="57" fillId="0" borderId="26" xfId="18" applyFont="1" applyBorder="1" applyAlignment="1">
      <alignment horizontal="center"/>
    </xf>
    <xf numFmtId="0" fontId="18" fillId="0" borderId="2" xfId="18" applyFont="1" applyBorder="1" applyAlignment="1">
      <alignment horizontal="left" vertical="center"/>
    </xf>
    <xf numFmtId="1" fontId="18" fillId="0" borderId="2" xfId="18" applyNumberFormat="1" applyFont="1" applyBorder="1" applyAlignment="1">
      <alignment horizontal="center" vertical="center"/>
    </xf>
    <xf numFmtId="0" fontId="57" fillId="0" borderId="27" xfId="18" applyFont="1" applyBorder="1" applyAlignment="1">
      <alignment horizontal="center" vertical="center"/>
    </xf>
    <xf numFmtId="0" fontId="14" fillId="0" borderId="26" xfId="18" applyFont="1" applyBorder="1"/>
    <xf numFmtId="0" fontId="14" fillId="0" borderId="27" xfId="18" applyFont="1" applyBorder="1" applyAlignment="1">
      <alignment horizontal="center" vertical="center"/>
    </xf>
    <xf numFmtId="0" fontId="14" fillId="0" borderId="22" xfId="18" applyFont="1" applyBorder="1"/>
    <xf numFmtId="0" fontId="9" fillId="0" borderId="1" xfId="19" applyFont="1"/>
    <xf numFmtId="0" fontId="25" fillId="0" borderId="1" xfId="19" applyFont="1" applyAlignment="1">
      <alignment horizontal="center" vertical="center" wrapText="1"/>
    </xf>
    <xf numFmtId="0" fontId="34" fillId="0" borderId="1" xfId="19" applyFont="1" applyAlignment="1">
      <alignment wrapText="1"/>
    </xf>
    <xf numFmtId="0" fontId="35" fillId="0" borderId="1" xfId="19" applyFont="1"/>
    <xf numFmtId="0" fontId="35" fillId="0" borderId="1" xfId="19" applyFont="1" applyAlignment="1">
      <alignment horizontal="center"/>
    </xf>
    <xf numFmtId="0" fontId="35" fillId="0" borderId="1" xfId="19" applyFont="1" applyAlignment="1">
      <alignment horizontal="left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1" fontId="21" fillId="0" borderId="2" xfId="0" applyNumberFormat="1" applyFont="1" applyBorder="1" applyAlignment="1">
      <alignment vertical="center"/>
    </xf>
    <xf numFmtId="0" fontId="61" fillId="0" borderId="1" xfId="20" applyFont="1"/>
    <xf numFmtId="0" fontId="4" fillId="0" borderId="1" xfId="20"/>
    <xf numFmtId="0" fontId="61" fillId="0" borderId="2" xfId="2" applyFont="1" applyBorder="1" applyAlignment="1">
      <alignment horizontal="center" vertical="center" wrapText="1"/>
    </xf>
    <xf numFmtId="0" fontId="61" fillId="0" borderId="2" xfId="20" applyFont="1" applyBorder="1" applyAlignment="1">
      <alignment horizontal="center" vertical="center" wrapText="1"/>
    </xf>
    <xf numFmtId="0" fontId="4" fillId="0" borderId="1" xfId="20" applyAlignment="1">
      <alignment wrapText="1"/>
    </xf>
    <xf numFmtId="0" fontId="61" fillId="0" borderId="1" xfId="20" applyFont="1" applyAlignment="1">
      <alignment wrapText="1"/>
    </xf>
    <xf numFmtId="0" fontId="4" fillId="0" borderId="2" xfId="2" applyFont="1" applyBorder="1" applyAlignment="1">
      <alignment horizontal="center" wrapText="1"/>
    </xf>
    <xf numFmtId="0" fontId="4" fillId="0" borderId="2" xfId="20" applyBorder="1"/>
    <xf numFmtId="0" fontId="4" fillId="0" borderId="2" xfId="20" applyBorder="1" applyAlignment="1">
      <alignment horizontal="center"/>
    </xf>
    <xf numFmtId="165" fontId="4" fillId="0" borderId="2" xfId="20" applyNumberFormat="1" applyBorder="1" applyAlignment="1">
      <alignment horizontal="center"/>
    </xf>
    <xf numFmtId="164" fontId="4" fillId="0" borderId="2" xfId="20" applyNumberFormat="1" applyBorder="1" applyAlignment="1">
      <alignment horizontal="center"/>
    </xf>
    <xf numFmtId="1" fontId="4" fillId="0" borderId="2" xfId="20" applyNumberFormat="1" applyBorder="1" applyAlignment="1">
      <alignment horizontal="center"/>
    </xf>
    <xf numFmtId="1" fontId="64" fillId="0" borderId="2" xfId="2" applyNumberFormat="1" applyFont="1" applyBorder="1" applyAlignment="1">
      <alignment horizontal="center"/>
    </xf>
    <xf numFmtId="164" fontId="61" fillId="0" borderId="2" xfId="20" applyNumberFormat="1" applyFont="1" applyBorder="1" applyAlignment="1">
      <alignment horizontal="center"/>
    </xf>
    <xf numFmtId="0" fontId="65" fillId="0" borderId="1" xfId="2" applyFont="1" applyAlignment="1">
      <alignment vertical="center"/>
    </xf>
    <xf numFmtId="165" fontId="61" fillId="0" borderId="2" xfId="20" applyNumberFormat="1" applyFont="1" applyBorder="1" applyAlignment="1">
      <alignment horizontal="center" vertical="center"/>
    </xf>
    <xf numFmtId="165" fontId="4" fillId="0" borderId="1" xfId="20" applyNumberFormat="1"/>
    <xf numFmtId="0" fontId="3" fillId="0" borderId="2" xfId="20" applyFont="1" applyBorder="1"/>
    <xf numFmtId="0" fontId="21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14" fillId="2" borderId="1" xfId="18" applyNumberFormat="1" applyFont="1" applyFill="1"/>
    <xf numFmtId="0" fontId="66" fillId="2" borderId="1" xfId="18" applyFont="1" applyFill="1"/>
    <xf numFmtId="0" fontId="68" fillId="0" borderId="1" xfId="21" applyFont="1"/>
    <xf numFmtId="0" fontId="68" fillId="0" borderId="2" xfId="2" applyFont="1" applyBorder="1" applyAlignment="1">
      <alignment horizontal="center" vertical="center" wrapText="1"/>
    </xf>
    <xf numFmtId="0" fontId="68" fillId="0" borderId="2" xfId="21" applyFont="1" applyBorder="1" applyAlignment="1">
      <alignment horizontal="center" vertical="center" wrapText="1"/>
    </xf>
    <xf numFmtId="0" fontId="68" fillId="0" borderId="1" xfId="21" applyFont="1" applyAlignment="1">
      <alignment wrapText="1"/>
    </xf>
    <xf numFmtId="0" fontId="70" fillId="0" borderId="2" xfId="2" applyFont="1" applyBorder="1" applyAlignment="1">
      <alignment horizontal="center" wrapText="1"/>
    </xf>
    <xf numFmtId="0" fontId="70" fillId="0" borderId="2" xfId="21" applyFont="1" applyBorder="1" applyAlignment="1">
      <alignment horizontal="center"/>
    </xf>
    <xf numFmtId="0" fontId="70" fillId="0" borderId="1" xfId="21" applyFont="1" applyAlignment="1">
      <alignment wrapText="1"/>
    </xf>
    <xf numFmtId="1" fontId="71" fillId="0" borderId="1" xfId="2" applyNumberFormat="1" applyFont="1" applyAlignment="1">
      <alignment vertical="center"/>
    </xf>
    <xf numFmtId="0" fontId="71" fillId="0" borderId="1" xfId="2" applyFont="1" applyAlignment="1">
      <alignment vertical="center"/>
    </xf>
    <xf numFmtId="165" fontId="68" fillId="0" borderId="2" xfId="21" applyNumberFormat="1" applyFont="1" applyBorder="1" applyAlignment="1">
      <alignment horizontal="center"/>
    </xf>
    <xf numFmtId="0" fontId="72" fillId="0" borderId="1" xfId="2" applyFont="1" applyAlignment="1">
      <alignment vertical="center"/>
    </xf>
    <xf numFmtId="0" fontId="70" fillId="0" borderId="1" xfId="21" applyFont="1"/>
    <xf numFmtId="0" fontId="2" fillId="0" borderId="1" xfId="21"/>
    <xf numFmtId="165" fontId="70" fillId="0" borderId="1" xfId="21" applyNumberFormat="1" applyFont="1"/>
    <xf numFmtId="164" fontId="70" fillId="0" borderId="1" xfId="21" applyNumberFormat="1" applyFont="1"/>
    <xf numFmtId="0" fontId="9" fillId="0" borderId="1" xfId="0" applyFont="1" applyBorder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" fontId="2" fillId="0" borderId="1" xfId="21" applyNumberFormat="1"/>
    <xf numFmtId="1" fontId="14" fillId="2" borderId="1" xfId="18" applyNumberFormat="1" applyFont="1" applyFill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2" xfId="15" applyFont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64" fontId="21" fillId="0" borderId="2" xfId="0" applyNumberFormat="1" applyFont="1" applyBorder="1"/>
    <xf numFmtId="0" fontId="21" fillId="0" borderId="1" xfId="0" applyFont="1" applyBorder="1" applyAlignment="1">
      <alignment vertical="center" wrapText="1"/>
    </xf>
    <xf numFmtId="1" fontId="21" fillId="0" borderId="1" xfId="0" applyNumberFormat="1" applyFont="1" applyBorder="1" applyAlignment="1">
      <alignment vertical="center" wrapText="1"/>
    </xf>
    <xf numFmtId="0" fontId="73" fillId="0" borderId="2" xfId="0" applyFont="1" applyBorder="1" applyAlignment="1">
      <alignment horizontal="center" vertical="center"/>
    </xf>
    <xf numFmtId="0" fontId="73" fillId="0" borderId="2" xfId="0" applyFont="1" applyBorder="1" applyAlignment="1">
      <alignment horizontal="left" vertical="center"/>
    </xf>
    <xf numFmtId="1" fontId="73" fillId="0" borderId="2" xfId="0" applyNumberFormat="1" applyFont="1" applyBorder="1" applyAlignment="1">
      <alignment vertical="center"/>
    </xf>
    <xf numFmtId="0" fontId="73" fillId="0" borderId="2" xfId="0" applyFont="1" applyBorder="1" applyAlignment="1">
      <alignment vertical="center"/>
    </xf>
    <xf numFmtId="0" fontId="73" fillId="0" borderId="2" xfId="15" applyFont="1" applyBorder="1" applyAlignment="1">
      <alignment horizontal="center" vertical="center"/>
    </xf>
    <xf numFmtId="164" fontId="73" fillId="0" borderId="2" xfId="0" applyNumberFormat="1" applyFont="1" applyBorder="1"/>
    <xf numFmtId="0" fontId="73" fillId="0" borderId="1" xfId="0" applyFont="1" applyBorder="1" applyAlignment="1">
      <alignment vertical="center" wrapText="1"/>
    </xf>
    <xf numFmtId="1" fontId="73" fillId="0" borderId="1" xfId="0" applyNumberFormat="1" applyFont="1" applyBorder="1" applyAlignment="1">
      <alignment vertical="center" wrapText="1"/>
    </xf>
    <xf numFmtId="0" fontId="74" fillId="0" borderId="2" xfId="0" applyFont="1" applyBorder="1" applyAlignment="1">
      <alignment horizontal="center"/>
    </xf>
    <xf numFmtId="0" fontId="75" fillId="0" borderId="2" xfId="21" applyFont="1" applyBorder="1" applyAlignment="1">
      <alignment horizontal="center"/>
    </xf>
    <xf numFmtId="0" fontId="75" fillId="0" borderId="2" xfId="2" applyFont="1" applyBorder="1" applyAlignment="1">
      <alignment horizontal="center" vertical="center" wrapText="1"/>
    </xf>
    <xf numFmtId="1" fontId="75" fillId="0" borderId="2" xfId="21" applyNumberFormat="1" applyFont="1" applyBorder="1" applyAlignment="1">
      <alignment horizontal="center"/>
    </xf>
    <xf numFmtId="1" fontId="76" fillId="0" borderId="2" xfId="2" applyNumberFormat="1" applyFont="1" applyBorder="1" applyAlignment="1">
      <alignment horizontal="center"/>
    </xf>
    <xf numFmtId="164" fontId="75" fillId="0" borderId="2" xfId="21" applyNumberFormat="1" applyFont="1" applyBorder="1" applyAlignment="1">
      <alignment horizontal="center"/>
    </xf>
    <xf numFmtId="165" fontId="77" fillId="0" borderId="2" xfId="21" applyNumberFormat="1" applyFont="1" applyBorder="1" applyAlignment="1">
      <alignment horizontal="center"/>
    </xf>
    <xf numFmtId="49" fontId="21" fillId="0" borderId="2" xfId="0" applyNumberFormat="1" applyFont="1" applyBorder="1" applyAlignment="1">
      <alignment horizontal="center" vertical="center"/>
    </xf>
    <xf numFmtId="49" fontId="73" fillId="0" borderId="2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60" fillId="0" borderId="1" xfId="0" applyFont="1" applyBorder="1" applyAlignment="1">
      <alignment horizontal="left" vertical="center"/>
    </xf>
    <xf numFmtId="0" fontId="60" fillId="0" borderId="0" xfId="0" applyFont="1" applyAlignment="1">
      <alignment horizontal="center" vertical="center"/>
    </xf>
    <xf numFmtId="0" fontId="0" fillId="0" borderId="35" xfId="0" applyBorder="1"/>
    <xf numFmtId="0" fontId="60" fillId="0" borderId="0" xfId="0" applyFont="1" applyAlignment="1">
      <alignment horizontal="left" vertical="center"/>
    </xf>
    <xf numFmtId="0" fontId="60" fillId="0" borderId="0" xfId="0" applyFont="1" applyAlignment="1">
      <alignment vertical="center"/>
    </xf>
    <xf numFmtId="0" fontId="38" fillId="0" borderId="33" xfId="1" applyFont="1" applyBorder="1" applyAlignment="1">
      <alignment horizontal="center" vertical="center"/>
    </xf>
    <xf numFmtId="0" fontId="38" fillId="0" borderId="1" xfId="1" applyFont="1" applyAlignment="1">
      <alignment horizontal="center" vertical="center"/>
    </xf>
    <xf numFmtId="0" fontId="38" fillId="0" borderId="1" xfId="1" applyFont="1" applyAlignment="1">
      <alignment horizontal="left" vertical="center"/>
    </xf>
    <xf numFmtId="0" fontId="38" fillId="0" borderId="34" xfId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5" fontId="60" fillId="0" borderId="0" xfId="0" applyNumberFormat="1" applyFont="1" applyAlignment="1">
      <alignment vertical="center"/>
    </xf>
    <xf numFmtId="0" fontId="39" fillId="0" borderId="2" xfId="0" applyFont="1" applyBorder="1"/>
    <xf numFmtId="0" fontId="78" fillId="0" borderId="2" xfId="0" applyFont="1" applyBorder="1" applyAlignment="1">
      <alignment horizontal="center"/>
    </xf>
    <xf numFmtId="0" fontId="79" fillId="0" borderId="2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7" xfId="0" applyBorder="1"/>
    <xf numFmtId="0" fontId="21" fillId="0" borderId="1" xfId="0" applyFont="1" applyBorder="1" applyAlignment="1">
      <alignment horizontal="center" vertical="center"/>
    </xf>
    <xf numFmtId="0" fontId="46" fillId="2" borderId="1" xfId="22" applyFont="1" applyFill="1"/>
    <xf numFmtId="0" fontId="46" fillId="2" borderId="1" xfId="22" applyFont="1" applyFill="1" applyAlignment="1">
      <alignment vertical="center"/>
    </xf>
    <xf numFmtId="0" fontId="52" fillId="2" borderId="12" xfId="22" applyFont="1" applyFill="1" applyBorder="1"/>
    <xf numFmtId="0" fontId="10" fillId="2" borderId="13" xfId="22" applyFont="1" applyFill="1" applyBorder="1"/>
    <xf numFmtId="0" fontId="10" fillId="2" borderId="14" xfId="22" applyFont="1" applyFill="1" applyBorder="1"/>
    <xf numFmtId="0" fontId="52" fillId="2" borderId="26" xfId="22" applyFont="1" applyFill="1" applyBorder="1"/>
    <xf numFmtId="0" fontId="52" fillId="2" borderId="27" xfId="22" applyFont="1" applyFill="1" applyBorder="1"/>
    <xf numFmtId="0" fontId="10" fillId="2" borderId="26" xfId="22" applyFont="1" applyFill="1" applyBorder="1"/>
    <xf numFmtId="0" fontId="10" fillId="2" borderId="27" xfId="22" applyFont="1" applyFill="1" applyBorder="1"/>
    <xf numFmtId="0" fontId="10" fillId="2" borderId="23" xfId="22" applyFont="1" applyFill="1" applyBorder="1"/>
    <xf numFmtId="0" fontId="10" fillId="2" borderId="24" xfId="22" applyFont="1" applyFill="1" applyBorder="1"/>
    <xf numFmtId="0" fontId="82" fillId="2" borderId="1" xfId="22" applyFont="1" applyFill="1"/>
    <xf numFmtId="0" fontId="48" fillId="2" borderId="38" xfId="22" applyFont="1" applyFill="1" applyBorder="1" applyAlignment="1">
      <alignment horizontal="center"/>
    </xf>
    <xf numFmtId="0" fontId="48" fillId="2" borderId="26" xfId="22" applyFont="1" applyFill="1" applyBorder="1" applyAlignment="1">
      <alignment horizontal="center"/>
    </xf>
    <xf numFmtId="0" fontId="48" fillId="2" borderId="29" xfId="22" applyFont="1" applyFill="1" applyBorder="1" applyAlignment="1">
      <alignment horizontal="center"/>
    </xf>
    <xf numFmtId="0" fontId="81" fillId="2" borderId="26" xfId="22" applyFont="1" applyFill="1" applyBorder="1"/>
    <xf numFmtId="1" fontId="48" fillId="2" borderId="29" xfId="22" applyNumberFormat="1" applyFont="1" applyFill="1" applyBorder="1" applyAlignment="1">
      <alignment horizontal="center"/>
    </xf>
    <xf numFmtId="166" fontId="11" fillId="2" borderId="29" xfId="23" applyNumberFormat="1" applyFont="1" applyFill="1" applyBorder="1" applyAlignment="1">
      <alignment horizontal="right"/>
    </xf>
    <xf numFmtId="2" fontId="46" fillId="2" borderId="1" xfId="22" applyNumberFormat="1" applyFont="1" applyFill="1"/>
    <xf numFmtId="0" fontId="83" fillId="2" borderId="26" xfId="22" applyFont="1" applyFill="1" applyBorder="1"/>
    <xf numFmtId="166" fontId="46" fillId="2" borderId="29" xfId="23" applyNumberFormat="1" applyFont="1" applyFill="1" applyBorder="1"/>
    <xf numFmtId="0" fontId="46" fillId="2" borderId="26" xfId="22" applyFont="1" applyFill="1" applyBorder="1"/>
    <xf numFmtId="166" fontId="11" fillId="2" borderId="29" xfId="23" applyNumberFormat="1" applyFont="1" applyFill="1" applyBorder="1"/>
    <xf numFmtId="166" fontId="11" fillId="2" borderId="39" xfId="23" applyNumberFormat="1" applyFont="1" applyFill="1" applyBorder="1" applyAlignment="1">
      <alignment horizontal="right"/>
    </xf>
    <xf numFmtId="0" fontId="46" fillId="2" borderId="27" xfId="22" applyFont="1" applyFill="1" applyBorder="1"/>
    <xf numFmtId="0" fontId="48" fillId="2" borderId="27" xfId="22" applyFont="1" applyFill="1" applyBorder="1"/>
    <xf numFmtId="0" fontId="46" fillId="2" borderId="22" xfId="22" applyFont="1" applyFill="1" applyBorder="1"/>
    <xf numFmtId="0" fontId="46" fillId="2" borderId="23" xfId="22" applyFont="1" applyFill="1" applyBorder="1"/>
    <xf numFmtId="0" fontId="48" fillId="2" borderId="23" xfId="22" applyFont="1" applyFill="1" applyBorder="1"/>
    <xf numFmtId="0" fontId="48" fillId="2" borderId="26" xfId="22" applyFont="1" applyFill="1" applyBorder="1"/>
    <xf numFmtId="0" fontId="48" fillId="2" borderId="22" xfId="22" applyFont="1" applyFill="1" applyBorder="1"/>
    <xf numFmtId="0" fontId="25" fillId="0" borderId="20" xfId="2" applyFont="1" applyBorder="1" applyAlignment="1">
      <alignment horizontal="center" vertical="center" wrapText="1"/>
    </xf>
    <xf numFmtId="0" fontId="25" fillId="0" borderId="21" xfId="2" applyFont="1" applyBorder="1" applyAlignment="1">
      <alignment vertical="center" wrapText="1"/>
    </xf>
    <xf numFmtId="0" fontId="58" fillId="0" borderId="20" xfId="19" applyFont="1" applyBorder="1" applyAlignment="1">
      <alignment horizontal="center"/>
    </xf>
    <xf numFmtId="0" fontId="59" fillId="0" borderId="21" xfId="19" applyFont="1" applyBorder="1"/>
    <xf numFmtId="0" fontId="35" fillId="0" borderId="26" xfId="19" applyFont="1" applyBorder="1" applyAlignment="1">
      <alignment horizontal="center"/>
    </xf>
    <xf numFmtId="0" fontId="33" fillId="0" borderId="21" xfId="19" applyFont="1" applyBorder="1"/>
    <xf numFmtId="0" fontId="35" fillId="0" borderId="27" xfId="19" applyFont="1" applyBorder="1"/>
    <xf numFmtId="0" fontId="35" fillId="0" borderId="22" xfId="19" applyFont="1" applyBorder="1" applyAlignment="1">
      <alignment horizontal="center"/>
    </xf>
    <xf numFmtId="0" fontId="35" fillId="0" borderId="23" xfId="19" applyFont="1" applyBorder="1" applyAlignment="1">
      <alignment horizontal="center"/>
    </xf>
    <xf numFmtId="0" fontId="35" fillId="0" borderId="23" xfId="19" applyFont="1" applyBorder="1" applyAlignment="1">
      <alignment horizontal="left"/>
    </xf>
    <xf numFmtId="0" fontId="35" fillId="0" borderId="23" xfId="19" applyFont="1" applyBorder="1"/>
    <xf numFmtId="0" fontId="35" fillId="0" borderId="24" xfId="19" applyFont="1" applyBorder="1"/>
    <xf numFmtId="0" fontId="52" fillId="2" borderId="1" xfId="22" applyFont="1" applyFill="1"/>
    <xf numFmtId="0" fontId="10" fillId="2" borderId="1" xfId="22" applyFont="1" applyFill="1"/>
    <xf numFmtId="0" fontId="48" fillId="2" borderId="1" xfId="22" applyFont="1" applyFill="1" applyAlignment="1">
      <alignment horizontal="center"/>
    </xf>
    <xf numFmtId="0" fontId="81" fillId="2" borderId="1" xfId="22" applyFont="1" applyFill="1"/>
    <xf numFmtId="0" fontId="83" fillId="2" borderId="1" xfId="22" applyFont="1" applyFill="1"/>
    <xf numFmtId="0" fontId="48" fillId="2" borderId="1" xfId="22" applyFont="1" applyFill="1"/>
    <xf numFmtId="0" fontId="17" fillId="2" borderId="22" xfId="18" applyFont="1" applyFill="1" applyBorder="1"/>
    <xf numFmtId="0" fontId="17" fillId="2" borderId="23" xfId="18" applyFont="1" applyFill="1" applyBorder="1"/>
    <xf numFmtId="0" fontId="17" fillId="2" borderId="24" xfId="18" applyFont="1" applyFill="1" applyBorder="1"/>
    <xf numFmtId="0" fontId="48" fillId="2" borderId="23" xfId="22" applyFont="1" applyFill="1" applyBorder="1" applyAlignment="1">
      <alignment horizontal="right"/>
    </xf>
    <xf numFmtId="0" fontId="48" fillId="2" borderId="24" xfId="22" applyFont="1" applyFill="1" applyBorder="1" applyAlignment="1">
      <alignment horizontal="right"/>
    </xf>
    <xf numFmtId="0" fontId="52" fillId="2" borderId="12" xfId="22" applyFont="1" applyFill="1" applyBorder="1" applyAlignment="1">
      <alignment horizontal="left" vertical="center"/>
    </xf>
    <xf numFmtId="0" fontId="52" fillId="2" borderId="14" xfId="22" applyFont="1" applyFill="1" applyBorder="1" applyAlignment="1">
      <alignment horizontal="left" vertical="center"/>
    </xf>
    <xf numFmtId="0" fontId="52" fillId="2" borderId="22" xfId="22" applyFont="1" applyFill="1" applyBorder="1" applyAlignment="1">
      <alignment horizontal="left" vertical="center"/>
    </xf>
    <xf numFmtId="0" fontId="52" fillId="2" borderId="24" xfId="22" applyFont="1" applyFill="1" applyBorder="1" applyAlignment="1">
      <alignment horizontal="left" vertical="center"/>
    </xf>
    <xf numFmtId="0" fontId="10" fillId="2" borderId="25" xfId="22" applyFont="1" applyFill="1" applyBorder="1" applyAlignment="1">
      <alignment horizontal="left" vertical="center"/>
    </xf>
    <xf numFmtId="0" fontId="10" fillId="2" borderId="28" xfId="22" applyFont="1" applyFill="1" applyBorder="1" applyAlignment="1">
      <alignment horizontal="left" vertical="center"/>
    </xf>
    <xf numFmtId="0" fontId="52" fillId="2" borderId="26" xfId="22" applyFont="1" applyFill="1" applyBorder="1" applyAlignment="1">
      <alignment horizontal="left" vertical="center"/>
    </xf>
    <xf numFmtId="0" fontId="52" fillId="2" borderId="27" xfId="22" applyFont="1" applyFill="1" applyBorder="1" applyAlignment="1">
      <alignment horizontal="left" vertical="center"/>
    </xf>
    <xf numFmtId="49" fontId="10" fillId="2" borderId="25" xfId="22" applyNumberFormat="1" applyFont="1" applyFill="1" applyBorder="1" applyAlignment="1">
      <alignment horizontal="left" vertical="center"/>
    </xf>
    <xf numFmtId="49" fontId="10" fillId="2" borderId="29" xfId="22" applyNumberFormat="1" applyFont="1" applyFill="1" applyBorder="1" applyAlignment="1">
      <alignment horizontal="left" vertical="center"/>
    </xf>
    <xf numFmtId="0" fontId="48" fillId="2" borderId="30" xfId="22" applyFont="1" applyFill="1" applyBorder="1" applyAlignment="1">
      <alignment horizontal="center"/>
    </xf>
    <xf numFmtId="0" fontId="48" fillId="2" borderId="31" xfId="22" applyFont="1" applyFill="1" applyBorder="1" applyAlignment="1">
      <alignment horizontal="center"/>
    </xf>
    <xf numFmtId="0" fontId="13" fillId="2" borderId="12" xfId="22" applyFont="1" applyFill="1" applyBorder="1" applyAlignment="1">
      <alignment horizontal="center" vertical="center"/>
    </xf>
    <xf numFmtId="0" fontId="13" fillId="2" borderId="13" xfId="22" applyFont="1" applyFill="1" applyBorder="1" applyAlignment="1">
      <alignment horizontal="center" vertical="center"/>
    </xf>
    <xf numFmtId="0" fontId="13" fillId="2" borderId="26" xfId="22" applyFont="1" applyFill="1" applyBorder="1" applyAlignment="1">
      <alignment horizontal="center" vertical="center"/>
    </xf>
    <xf numFmtId="0" fontId="13" fillId="2" borderId="1" xfId="22" applyFont="1" applyFill="1" applyAlignment="1">
      <alignment horizontal="center" vertical="center"/>
    </xf>
    <xf numFmtId="166" fontId="13" fillId="2" borderId="25" xfId="23" applyNumberFormat="1" applyFont="1" applyFill="1" applyBorder="1" applyAlignment="1">
      <alignment horizontal="right" vertical="center"/>
    </xf>
    <xf numFmtId="166" fontId="13" fillId="2" borderId="29" xfId="23" applyNumberFormat="1" applyFont="1" applyFill="1" applyBorder="1" applyAlignment="1">
      <alignment horizontal="right" vertical="center"/>
    </xf>
    <xf numFmtId="0" fontId="48" fillId="2" borderId="12" xfId="22" applyFont="1" applyFill="1" applyBorder="1" applyAlignment="1">
      <alignment horizontal="center"/>
    </xf>
    <xf numFmtId="0" fontId="48" fillId="2" borderId="13" xfId="22" applyFont="1" applyFill="1" applyBorder="1" applyAlignment="1">
      <alignment horizontal="center"/>
    </xf>
    <xf numFmtId="0" fontId="48" fillId="2" borderId="14" xfId="22" applyFont="1" applyFill="1" applyBorder="1" applyAlignment="1">
      <alignment horizontal="center"/>
    </xf>
    <xf numFmtId="0" fontId="48" fillId="2" borderId="26" xfId="22" applyFont="1" applyFill="1" applyBorder="1" applyAlignment="1">
      <alignment horizontal="center"/>
    </xf>
    <xf numFmtId="0" fontId="48" fillId="2" borderId="1" xfId="22" applyFont="1" applyFill="1" applyAlignment="1">
      <alignment horizontal="center"/>
    </xf>
    <xf numFmtId="0" fontId="48" fillId="2" borderId="27" xfId="22" applyFont="1" applyFill="1" applyBorder="1" applyAlignment="1">
      <alignment horizontal="center"/>
    </xf>
    <xf numFmtId="0" fontId="52" fillId="0" borderId="30" xfId="22" applyFont="1" applyBorder="1" applyAlignment="1">
      <alignment horizontal="center" vertical="center"/>
    </xf>
    <xf numFmtId="0" fontId="52" fillId="0" borderId="31" xfId="22" applyFont="1" applyBorder="1" applyAlignment="1">
      <alignment horizontal="center" vertical="center"/>
    </xf>
    <xf numFmtId="0" fontId="52" fillId="0" borderId="32" xfId="22" applyFont="1" applyBorder="1" applyAlignment="1">
      <alignment horizontal="center" vertical="center"/>
    </xf>
    <xf numFmtId="0" fontId="48" fillId="2" borderId="1" xfId="22" applyFont="1" applyFill="1" applyAlignment="1">
      <alignment horizontal="right"/>
    </xf>
    <xf numFmtId="0" fontId="48" fillId="2" borderId="27" xfId="22" applyFont="1" applyFill="1" applyBorder="1" applyAlignment="1">
      <alignment horizontal="right"/>
    </xf>
    <xf numFmtId="0" fontId="81" fillId="2" borderId="25" xfId="22" quotePrefix="1" applyFont="1" applyFill="1" applyBorder="1" applyAlignment="1">
      <alignment horizontal="center" vertical="center"/>
    </xf>
    <xf numFmtId="0" fontId="81" fillId="2" borderId="28" xfId="22" applyFont="1" applyFill="1" applyBorder="1" applyAlignment="1">
      <alignment horizontal="center" vertical="center"/>
    </xf>
    <xf numFmtId="0" fontId="80" fillId="2" borderId="30" xfId="22" applyFont="1" applyFill="1" applyBorder="1" applyAlignment="1">
      <alignment horizontal="center" vertical="center"/>
    </xf>
    <xf numFmtId="0" fontId="80" fillId="2" borderId="31" xfId="22" applyFont="1" applyFill="1" applyBorder="1" applyAlignment="1">
      <alignment horizontal="center" vertical="center"/>
    </xf>
    <xf numFmtId="0" fontId="80" fillId="2" borderId="32" xfId="22" applyFont="1" applyFill="1" applyBorder="1" applyAlignment="1">
      <alignment horizontal="center" vertical="center"/>
    </xf>
    <xf numFmtId="0" fontId="81" fillId="2" borderId="25" xfId="22" applyFont="1" applyFill="1" applyBorder="1" applyAlignment="1">
      <alignment horizontal="center" vertical="center"/>
    </xf>
    <xf numFmtId="14" fontId="81" fillId="2" borderId="25" xfId="22" quotePrefix="1" applyNumberFormat="1" applyFont="1" applyFill="1" applyBorder="1" applyAlignment="1">
      <alignment horizontal="center" vertical="center"/>
    </xf>
    <xf numFmtId="0" fontId="16" fillId="3" borderId="12" xfId="3" applyFont="1" applyFill="1" applyBorder="1" applyAlignment="1">
      <alignment horizontal="right" vertical="center" wrapText="1"/>
    </xf>
    <xf numFmtId="0" fontId="16" fillId="3" borderId="13" xfId="3" applyFont="1" applyFill="1" applyBorder="1" applyAlignment="1">
      <alignment horizontal="right" vertical="center" wrapText="1"/>
    </xf>
    <xf numFmtId="0" fontId="16" fillId="3" borderId="14" xfId="3" applyFont="1" applyFill="1" applyBorder="1" applyAlignment="1">
      <alignment horizontal="right" vertical="center" wrapText="1"/>
    </xf>
    <xf numFmtId="0" fontId="16" fillId="2" borderId="22" xfId="11" applyFont="1" applyFill="1" applyBorder="1" applyAlignment="1">
      <alignment horizontal="right" vertical="center"/>
    </xf>
    <xf numFmtId="0" fontId="16" fillId="2" borderId="23" xfId="11" applyFont="1" applyFill="1" applyBorder="1" applyAlignment="1">
      <alignment horizontal="right" vertical="center"/>
    </xf>
    <xf numFmtId="0" fontId="16" fillId="2" borderId="24" xfId="11" applyFont="1" applyFill="1" applyBorder="1" applyAlignment="1">
      <alignment horizontal="right" vertical="center"/>
    </xf>
    <xf numFmtId="0" fontId="13" fillId="0" borderId="9" xfId="11" applyFont="1" applyBorder="1" applyAlignment="1">
      <alignment horizontal="left" vertical="center"/>
    </xf>
    <xf numFmtId="0" fontId="13" fillId="0" borderId="3" xfId="11" applyFont="1" applyBorder="1" applyAlignment="1">
      <alignment horizontal="left" vertical="center"/>
    </xf>
    <xf numFmtId="0" fontId="13" fillId="0" borderId="4" xfId="11" applyFont="1" applyBorder="1" applyAlignment="1">
      <alignment horizontal="left" vertical="center"/>
    </xf>
    <xf numFmtId="0" fontId="50" fillId="0" borderId="9" xfId="11" applyFont="1" applyBorder="1" applyAlignment="1">
      <alignment horizontal="center" vertical="center"/>
    </xf>
    <xf numFmtId="0" fontId="50" fillId="0" borderId="3" xfId="11" applyFont="1" applyBorder="1" applyAlignment="1">
      <alignment horizontal="center" vertical="center"/>
    </xf>
    <xf numFmtId="0" fontId="50" fillId="0" borderId="4" xfId="11" applyFont="1" applyBorder="1" applyAlignment="1">
      <alignment horizontal="center" vertical="center"/>
    </xf>
    <xf numFmtId="0" fontId="51" fillId="0" borderId="15" xfId="11" applyFont="1" applyBorder="1" applyAlignment="1">
      <alignment horizontal="left" vertical="center" wrapText="1"/>
    </xf>
    <xf numFmtId="0" fontId="51" fillId="0" borderId="3" xfId="11" applyFont="1" applyBorder="1" applyAlignment="1">
      <alignment horizontal="left" vertical="center" wrapText="1"/>
    </xf>
    <xf numFmtId="0" fontId="51" fillId="0" borderId="16" xfId="11" applyFont="1" applyBorder="1" applyAlignment="1">
      <alignment horizontal="left" vertical="center" wrapText="1"/>
    </xf>
    <xf numFmtId="0" fontId="48" fillId="0" borderId="23" xfId="11" applyFont="1" applyBorder="1" applyAlignment="1">
      <alignment horizontal="right" vertical="center"/>
    </xf>
    <xf numFmtId="0" fontId="48" fillId="0" borderId="24" xfId="11" applyFont="1" applyBorder="1" applyAlignment="1">
      <alignment horizontal="right" vertical="center"/>
    </xf>
    <xf numFmtId="0" fontId="13" fillId="0" borderId="9" xfId="11" applyFont="1" applyBorder="1" applyAlignment="1">
      <alignment horizontal="center" vertical="center"/>
    </xf>
    <xf numFmtId="0" fontId="13" fillId="0" borderId="3" xfId="11" applyFont="1" applyBorder="1" applyAlignment="1">
      <alignment horizontal="center" vertical="center"/>
    </xf>
    <xf numFmtId="0" fontId="13" fillId="0" borderId="4" xfId="11" applyFont="1" applyBorder="1" applyAlignment="1">
      <alignment horizontal="center" vertical="center"/>
    </xf>
    <xf numFmtId="0" fontId="45" fillId="2" borderId="1" xfId="11" applyFont="1" applyFill="1" applyAlignment="1">
      <alignment horizontal="left" vertical="center"/>
    </xf>
    <xf numFmtId="0" fontId="47" fillId="2" borderId="12" xfId="11" applyFont="1" applyFill="1" applyBorder="1" applyAlignment="1">
      <alignment horizontal="center" vertical="center"/>
    </xf>
    <xf numFmtId="0" fontId="47" fillId="2" borderId="13" xfId="11" applyFont="1" applyFill="1" applyBorder="1" applyAlignment="1">
      <alignment horizontal="center" vertical="center"/>
    </xf>
    <xf numFmtId="0" fontId="47" fillId="2" borderId="14" xfId="11" applyFont="1" applyFill="1" applyBorder="1" applyAlignment="1">
      <alignment horizontal="center" vertical="center"/>
    </xf>
    <xf numFmtId="0" fontId="48" fillId="0" borderId="9" xfId="11" applyFont="1" applyBorder="1" applyAlignment="1">
      <alignment horizontal="center" vertical="center"/>
    </xf>
    <xf numFmtId="0" fontId="48" fillId="0" borderId="3" xfId="11" applyFont="1" applyBorder="1" applyAlignment="1">
      <alignment horizontal="center" vertical="center"/>
    </xf>
    <xf numFmtId="0" fontId="48" fillId="0" borderId="4" xfId="11" applyFont="1" applyBorder="1" applyAlignment="1">
      <alignment horizontal="center" vertical="center"/>
    </xf>
    <xf numFmtId="0" fontId="13" fillId="0" borderId="10" xfId="11" applyFont="1" applyBorder="1" applyAlignment="1">
      <alignment horizontal="left" vertical="center"/>
    </xf>
    <xf numFmtId="0" fontId="13" fillId="0" borderId="8" xfId="11" applyFont="1" applyBorder="1" applyAlignment="1">
      <alignment horizontal="left" vertical="center"/>
    </xf>
    <xf numFmtId="0" fontId="13" fillId="0" borderId="5" xfId="11" applyFont="1" applyBorder="1" applyAlignment="1">
      <alignment horizontal="left" vertical="center"/>
    </xf>
    <xf numFmtId="0" fontId="62" fillId="0" borderId="1" xfId="1" applyFont="1" applyAlignment="1">
      <alignment horizontal="center"/>
    </xf>
    <xf numFmtId="0" fontId="63" fillId="0" borderId="6" xfId="2" applyFont="1" applyBorder="1" applyAlignment="1">
      <alignment horizontal="center"/>
    </xf>
    <xf numFmtId="0" fontId="18" fillId="0" borderId="9" xfId="18" applyFont="1" applyBorder="1" applyAlignment="1">
      <alignment horizontal="center"/>
    </xf>
    <xf numFmtId="0" fontId="18" fillId="0" borderId="3" xfId="18" applyFont="1" applyBorder="1" applyAlignment="1">
      <alignment horizontal="center"/>
    </xf>
    <xf numFmtId="0" fontId="18" fillId="0" borderId="4" xfId="18" applyFont="1" applyBorder="1" applyAlignment="1">
      <alignment horizontal="center"/>
    </xf>
    <xf numFmtId="0" fontId="18" fillId="0" borderId="9" xfId="18" applyFont="1" applyBorder="1" applyAlignment="1">
      <alignment horizontal="left"/>
    </xf>
    <xf numFmtId="0" fontId="18" fillId="0" borderId="3" xfId="18" applyFont="1" applyBorder="1" applyAlignment="1">
      <alignment horizontal="left"/>
    </xf>
    <xf numFmtId="0" fontId="18" fillId="0" borderId="4" xfId="18" applyFont="1" applyBorder="1" applyAlignment="1">
      <alignment horizontal="left"/>
    </xf>
    <xf numFmtId="0" fontId="19" fillId="0" borderId="9" xfId="18" applyFont="1" applyBorder="1" applyAlignment="1">
      <alignment horizontal="center"/>
    </xf>
    <xf numFmtId="0" fontId="19" fillId="0" borderId="3" xfId="18" applyFont="1" applyBorder="1" applyAlignment="1">
      <alignment horizontal="center"/>
    </xf>
    <xf numFmtId="0" fontId="19" fillId="0" borderId="4" xfId="18" applyFont="1" applyBorder="1" applyAlignment="1">
      <alignment horizontal="center"/>
    </xf>
    <xf numFmtId="0" fontId="56" fillId="0" borderId="15" xfId="18" applyFont="1" applyBorder="1" applyAlignment="1">
      <alignment horizontal="left" vertical="center" wrapText="1"/>
    </xf>
    <xf numFmtId="0" fontId="56" fillId="0" borderId="3" xfId="18" applyFont="1" applyBorder="1" applyAlignment="1">
      <alignment horizontal="left" vertical="center" wrapText="1"/>
    </xf>
    <xf numFmtId="0" fontId="56" fillId="0" borderId="16" xfId="18" applyFont="1" applyBorder="1" applyAlignment="1">
      <alignment horizontal="left" vertical="center" wrapText="1"/>
    </xf>
    <xf numFmtId="0" fontId="15" fillId="0" borderId="23" xfId="18" applyFont="1" applyBorder="1" applyAlignment="1">
      <alignment horizontal="right"/>
    </xf>
    <xf numFmtId="0" fontId="15" fillId="0" borderId="24" xfId="18" applyFont="1" applyBorder="1" applyAlignment="1">
      <alignment horizontal="right"/>
    </xf>
    <xf numFmtId="0" fontId="54" fillId="2" borderId="1" xfId="18" applyFont="1" applyFill="1" applyAlignment="1">
      <alignment horizontal="center" vertical="center"/>
    </xf>
    <xf numFmtId="0" fontId="43" fillId="2" borderId="12" xfId="18" applyFont="1" applyFill="1" applyBorder="1" applyAlignment="1">
      <alignment horizontal="center" vertical="center"/>
    </xf>
    <xf numFmtId="0" fontId="43" fillId="2" borderId="13" xfId="18" applyFont="1" applyFill="1" applyBorder="1" applyAlignment="1">
      <alignment horizontal="center" vertical="center"/>
    </xf>
    <xf numFmtId="0" fontId="43" fillId="2" borderId="14" xfId="18" applyFont="1" applyFill="1" applyBorder="1" applyAlignment="1">
      <alignment horizontal="center" vertical="center"/>
    </xf>
    <xf numFmtId="0" fontId="15" fillId="0" borderId="9" xfId="18" applyFont="1" applyBorder="1" applyAlignment="1">
      <alignment horizontal="center"/>
    </xf>
    <xf numFmtId="0" fontId="15" fillId="0" borderId="3" xfId="18" applyFont="1" applyBorder="1" applyAlignment="1">
      <alignment horizontal="center"/>
    </xf>
    <xf numFmtId="0" fontId="15" fillId="0" borderId="4" xfId="18" applyFont="1" applyBorder="1" applyAlignment="1">
      <alignment horizontal="center"/>
    </xf>
    <xf numFmtId="0" fontId="18" fillId="0" borderId="10" xfId="18" applyFont="1" applyBorder="1" applyAlignment="1">
      <alignment horizontal="left"/>
    </xf>
    <xf numFmtId="0" fontId="18" fillId="0" borderId="8" xfId="18" applyFont="1" applyBorder="1" applyAlignment="1">
      <alignment horizontal="left"/>
    </xf>
    <xf numFmtId="0" fontId="18" fillId="0" borderId="5" xfId="18" applyFont="1" applyBorder="1" applyAlignment="1">
      <alignment horizontal="left"/>
    </xf>
    <xf numFmtId="0" fontId="18" fillId="0" borderId="11" xfId="18" applyFont="1" applyBorder="1" applyAlignment="1">
      <alignment horizontal="left"/>
    </xf>
    <xf numFmtId="0" fontId="18" fillId="0" borderId="6" xfId="18" applyFont="1" applyBorder="1" applyAlignment="1">
      <alignment horizontal="left"/>
    </xf>
    <xf numFmtId="0" fontId="18" fillId="0" borderId="7" xfId="18" applyFont="1" applyBorder="1" applyAlignment="1">
      <alignment horizontal="left"/>
    </xf>
    <xf numFmtId="1" fontId="19" fillId="0" borderId="18" xfId="18" applyNumberFormat="1" applyFont="1" applyBorder="1" applyAlignment="1">
      <alignment horizontal="center" vertical="center"/>
    </xf>
    <xf numFmtId="1" fontId="19" fillId="0" borderId="36" xfId="18" applyNumberFormat="1" applyFont="1" applyBorder="1" applyAlignment="1">
      <alignment horizontal="center" vertical="center"/>
    </xf>
    <xf numFmtId="0" fontId="38" fillId="0" borderId="10" xfId="1" applyFont="1" applyBorder="1" applyAlignment="1">
      <alignment horizontal="center" vertical="center"/>
    </xf>
    <xf numFmtId="0" fontId="38" fillId="0" borderId="8" xfId="1" applyFont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30" fillId="0" borderId="9" xfId="2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4" xfId="2" applyFont="1" applyBorder="1" applyAlignment="1">
      <alignment horizontal="center" vertical="center"/>
    </xf>
    <xf numFmtId="0" fontId="67" fillId="0" borderId="1" xfId="1" applyFont="1" applyAlignment="1">
      <alignment horizontal="center"/>
    </xf>
    <xf numFmtId="0" fontId="69" fillId="0" borderId="6" xfId="2" applyFont="1" applyBorder="1" applyAlignment="1">
      <alignment horizontal="center"/>
    </xf>
    <xf numFmtId="0" fontId="29" fillId="0" borderId="40" xfId="1" applyFont="1" applyBorder="1" applyAlignment="1">
      <alignment horizontal="center"/>
    </xf>
    <xf numFmtId="0" fontId="29" fillId="0" borderId="41" xfId="1" applyFont="1" applyBorder="1" applyAlignment="1">
      <alignment horizontal="center"/>
    </xf>
    <xf numFmtId="0" fontId="29" fillId="0" borderId="42" xfId="1" applyFont="1" applyBorder="1" applyAlignment="1">
      <alignment horizontal="center"/>
    </xf>
    <xf numFmtId="0" fontId="28" fillId="0" borderId="20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 wrapText="1"/>
    </xf>
    <xf numFmtId="0" fontId="28" fillId="0" borderId="21" xfId="2" applyFont="1" applyBorder="1" applyAlignment="1">
      <alignment horizontal="center" vertical="center" wrapText="1"/>
    </xf>
    <xf numFmtId="0" fontId="27" fillId="0" borderId="9" xfId="1" applyFont="1" applyBorder="1" applyAlignment="1">
      <alignment horizontal="center" vertical="top"/>
    </xf>
    <xf numFmtId="0" fontId="27" fillId="0" borderId="3" xfId="1" applyFont="1" applyBorder="1" applyAlignment="1">
      <alignment horizontal="center" vertical="top"/>
    </xf>
    <xf numFmtId="0" fontId="27" fillId="0" borderId="4" xfId="1" applyFont="1" applyBorder="1" applyAlignment="1">
      <alignment horizontal="center" vertical="top"/>
    </xf>
    <xf numFmtId="0" fontId="28" fillId="0" borderId="9" xfId="2" applyFont="1" applyBorder="1" applyAlignment="1">
      <alignment horizontal="center"/>
    </xf>
    <xf numFmtId="0" fontId="28" fillId="0" borderId="3" xfId="2" applyFont="1" applyBorder="1" applyAlignment="1">
      <alignment horizontal="center"/>
    </xf>
    <xf numFmtId="0" fontId="28" fillId="0" borderId="4" xfId="2" applyFont="1" applyBorder="1" applyAlignment="1">
      <alignment horizontal="center"/>
    </xf>
    <xf numFmtId="2" fontId="16" fillId="2" borderId="9" xfId="2" applyNumberFormat="1" applyFont="1" applyFill="1" applyBorder="1" applyAlignment="1">
      <alignment horizontal="left" vertical="center"/>
    </xf>
    <xf numFmtId="2" fontId="16" fillId="2" borderId="3" xfId="2" applyNumberFormat="1" applyFont="1" applyFill="1" applyBorder="1" applyAlignment="1">
      <alignment horizontal="left" vertical="center"/>
    </xf>
    <xf numFmtId="0" fontId="29" fillId="2" borderId="10" xfId="1" applyFont="1" applyFill="1" applyBorder="1" applyAlignment="1">
      <alignment horizontal="center" vertical="center"/>
    </xf>
    <xf numFmtId="0" fontId="29" fillId="2" borderId="8" xfId="1" applyFont="1" applyFill="1" applyBorder="1" applyAlignment="1">
      <alignment horizontal="center" vertical="center"/>
    </xf>
    <xf numFmtId="0" fontId="37" fillId="2" borderId="8" xfId="1" applyFont="1" applyFill="1" applyBorder="1" applyAlignment="1">
      <alignment horizontal="center" vertical="center"/>
    </xf>
    <xf numFmtId="0" fontId="29" fillId="2" borderId="5" xfId="1" applyFont="1" applyFill="1" applyBorder="1" applyAlignment="1">
      <alignment horizontal="center" vertical="center"/>
    </xf>
    <xf numFmtId="0" fontId="30" fillId="2" borderId="11" xfId="2" applyFont="1" applyFill="1" applyBorder="1" applyAlignment="1">
      <alignment horizontal="center" vertical="center"/>
    </xf>
    <xf numFmtId="0" fontId="30" fillId="2" borderId="6" xfId="2" applyFont="1" applyFill="1" applyBorder="1" applyAlignment="1">
      <alignment horizontal="center" vertical="center"/>
    </xf>
    <xf numFmtId="0" fontId="38" fillId="2" borderId="6" xfId="2" applyFont="1" applyFill="1" applyBorder="1" applyAlignment="1">
      <alignment horizontal="center" vertical="center"/>
    </xf>
    <xf numFmtId="0" fontId="30" fillId="2" borderId="7" xfId="2" applyFont="1" applyFill="1" applyBorder="1" applyAlignment="1">
      <alignment horizontal="center" vertical="center"/>
    </xf>
  </cellXfs>
  <cellStyles count="24">
    <cellStyle name="Comma 2" xfId="23" xr:uid="{00000000-0005-0000-0000-000000000000}"/>
    <cellStyle name="Normal" xfId="0" builtinId="0"/>
    <cellStyle name="Normal 10" xfId="17" xr:uid="{00000000-0005-0000-0000-000002000000}"/>
    <cellStyle name="Normal 11" xfId="18" xr:uid="{00000000-0005-0000-0000-000003000000}"/>
    <cellStyle name="Normal 12" xfId="19" xr:uid="{00000000-0005-0000-0000-000004000000}"/>
    <cellStyle name="Normal 13" xfId="20" xr:uid="{00000000-0005-0000-0000-000005000000}"/>
    <cellStyle name="Normal 14" xfId="21" xr:uid="{00000000-0005-0000-0000-000006000000}"/>
    <cellStyle name="Normal 2" xfId="2" xr:uid="{00000000-0005-0000-0000-000007000000}"/>
    <cellStyle name="Normal 2 2" xfId="4" xr:uid="{00000000-0005-0000-0000-000008000000}"/>
    <cellStyle name="Normal 2 3" xfId="15" xr:uid="{00000000-0005-0000-0000-000009000000}"/>
    <cellStyle name="Normal 3" xfId="1" xr:uid="{00000000-0005-0000-0000-00000A000000}"/>
    <cellStyle name="Normal 3 2" xfId="16" xr:uid="{00000000-0005-0000-0000-00000B000000}"/>
    <cellStyle name="Normal 4" xfId="5" xr:uid="{00000000-0005-0000-0000-00000C000000}"/>
    <cellStyle name="Normal 4 2" xfId="10" xr:uid="{00000000-0005-0000-0000-00000D000000}"/>
    <cellStyle name="Normal 4 3" xfId="14" xr:uid="{00000000-0005-0000-0000-00000E000000}"/>
    <cellStyle name="Normal 5" xfId="6" xr:uid="{00000000-0005-0000-0000-00000F000000}"/>
    <cellStyle name="Normal 5 2" xfId="13" xr:uid="{00000000-0005-0000-0000-000010000000}"/>
    <cellStyle name="Normal 5 3" xfId="22" xr:uid="{00000000-0005-0000-0000-000011000000}"/>
    <cellStyle name="Normal 6" xfId="7" xr:uid="{00000000-0005-0000-0000-000012000000}"/>
    <cellStyle name="Normal 6 2" xfId="11" xr:uid="{00000000-0005-0000-0000-000013000000}"/>
    <cellStyle name="Normal 7" xfId="8" xr:uid="{00000000-0005-0000-0000-000014000000}"/>
    <cellStyle name="Normal 7 2" xfId="3" xr:uid="{00000000-0005-0000-0000-000015000000}"/>
    <cellStyle name="Normal 8" xfId="9" xr:uid="{00000000-0005-0000-0000-000016000000}"/>
    <cellStyle name="Normal 9" xfId="12" xr:uid="{00000000-0005-0000-0000-000017000000}"/>
  </cellStyles>
  <dxfs count="8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52289</xdr:colOff>
      <xdr:row>30</xdr:row>
      <xdr:rowOff>196851</xdr:rowOff>
    </xdr:from>
    <xdr:to>
      <xdr:col>9</xdr:col>
      <xdr:colOff>36567</xdr:colOff>
      <xdr:row>35</xdr:row>
      <xdr:rowOff>111312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78" t="24217" r="6151" b="21075"/>
        <a:stretch>
          <a:fillRect/>
        </a:stretch>
      </xdr:blipFill>
      <xdr:spPr>
        <a:xfrm>
          <a:off x="4086407" y="7488145"/>
          <a:ext cx="2569101" cy="900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3669366</xdr:colOff>
      <xdr:row>19</xdr:row>
      <xdr:rowOff>90716</xdr:rowOff>
    </xdr:from>
    <xdr:to>
      <xdr:col>6</xdr:col>
      <xdr:colOff>90690</xdr:colOff>
      <xdr:row>23</xdr:row>
      <xdr:rowOff>37671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7" t="22269" r="4933" b="14380"/>
        <a:stretch>
          <a:fillRect/>
        </a:stretch>
      </xdr:blipFill>
      <xdr:spPr>
        <a:xfrm>
          <a:off x="4667223" y="7030359"/>
          <a:ext cx="4467681" cy="15798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653143</xdr:colOff>
      <xdr:row>71</xdr:row>
      <xdr:rowOff>131536</xdr:rowOff>
    </xdr:from>
    <xdr:to>
      <xdr:col>28</xdr:col>
      <xdr:colOff>682791</xdr:colOff>
      <xdr:row>79</xdr:row>
      <xdr:rowOff>163285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7" t="22269" r="4933" b="14380"/>
        <a:stretch>
          <a:fillRect/>
        </a:stretch>
      </xdr:blipFill>
      <xdr:spPr>
        <a:xfrm>
          <a:off x="14577786" y="37451393"/>
          <a:ext cx="5118719" cy="148317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217713</xdr:colOff>
      <xdr:row>5</xdr:row>
      <xdr:rowOff>291421</xdr:rowOff>
    </xdr:from>
    <xdr:to>
      <xdr:col>23</xdr:col>
      <xdr:colOff>689955</xdr:colOff>
      <xdr:row>12</xdr:row>
      <xdr:rowOff>163031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2D7B3-3EC9-49D2-8E2F-858BD4DD8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7" t="22269" r="4933" b="14380"/>
        <a:stretch>
          <a:fillRect/>
        </a:stretch>
      </xdr:blipFill>
      <xdr:spPr>
        <a:xfrm>
          <a:off x="15965713" y="2695350"/>
          <a:ext cx="4300385" cy="14046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1277761</xdr:colOff>
      <xdr:row>37</xdr:row>
      <xdr:rowOff>63501</xdr:rowOff>
    </xdr:from>
    <xdr:to>
      <xdr:col>4</xdr:col>
      <xdr:colOff>634999</xdr:colOff>
      <xdr:row>44</xdr:row>
      <xdr:rowOff>36493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67" t="22269" r="4933" b="14380"/>
        <a:stretch>
          <a:fillRect/>
        </a:stretch>
      </xdr:blipFill>
      <xdr:spPr>
        <a:xfrm>
          <a:off x="2766483" y="13447890"/>
          <a:ext cx="3061405" cy="1348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2"/>
  <sheetViews>
    <sheetView zoomScale="86" zoomScaleNormal="86" zoomScaleSheetLayoutView="70" workbookViewId="0">
      <selection activeCell="K9" sqref="K9"/>
    </sheetView>
  </sheetViews>
  <sheetFormatPr defaultRowHeight="15" x14ac:dyDescent="0.25"/>
  <cols>
    <col min="1" max="1" width="6.42578125" style="69" customWidth="1"/>
    <col min="2" max="2" width="7.85546875" style="69" customWidth="1"/>
    <col min="3" max="3" width="59.85546875" style="69" bestFit="1" customWidth="1"/>
    <col min="4" max="4" width="6.140625" style="69" bestFit="1" customWidth="1"/>
    <col min="5" max="5" width="29.140625" style="69" customWidth="1"/>
    <col min="6" max="6" width="23.85546875" style="69" customWidth="1"/>
    <col min="7" max="15" width="9.140625" style="69"/>
    <col min="16" max="16" width="9.140625" style="69" customWidth="1"/>
    <col min="17" max="254" width="9.140625" style="69"/>
    <col min="255" max="255" width="7.85546875" style="69" customWidth="1"/>
    <col min="256" max="256" width="60.5703125" style="69" customWidth="1"/>
    <col min="257" max="257" width="8.85546875" style="69" customWidth="1"/>
    <col min="258" max="258" width="18.140625" style="69" customWidth="1"/>
    <col min="259" max="259" width="9.140625" style="69"/>
    <col min="260" max="260" width="12.140625" style="69" bestFit="1" customWidth="1"/>
    <col min="261" max="510" width="9.140625" style="69"/>
    <col min="511" max="511" width="7.85546875" style="69" customWidth="1"/>
    <col min="512" max="512" width="60.5703125" style="69" customWidth="1"/>
    <col min="513" max="513" width="8.85546875" style="69" customWidth="1"/>
    <col min="514" max="514" width="18.140625" style="69" customWidth="1"/>
    <col min="515" max="515" width="9.140625" style="69"/>
    <col min="516" max="516" width="12.140625" style="69" bestFit="1" customWidth="1"/>
    <col min="517" max="766" width="9.140625" style="69"/>
    <col min="767" max="767" width="7.85546875" style="69" customWidth="1"/>
    <col min="768" max="768" width="60.5703125" style="69" customWidth="1"/>
    <col min="769" max="769" width="8.85546875" style="69" customWidth="1"/>
    <col min="770" max="770" width="18.140625" style="69" customWidth="1"/>
    <col min="771" max="771" width="9.140625" style="69"/>
    <col min="772" max="772" width="12.140625" style="69" bestFit="1" customWidth="1"/>
    <col min="773" max="1022" width="9.140625" style="69"/>
    <col min="1023" max="1023" width="7.85546875" style="69" customWidth="1"/>
    <col min="1024" max="1024" width="60.5703125" style="69" customWidth="1"/>
    <col min="1025" max="1025" width="8.85546875" style="69" customWidth="1"/>
    <col min="1026" max="1026" width="18.140625" style="69" customWidth="1"/>
    <col min="1027" max="1027" width="9.140625" style="69"/>
    <col min="1028" max="1028" width="12.140625" style="69" bestFit="1" customWidth="1"/>
    <col min="1029" max="1278" width="9.140625" style="69"/>
    <col min="1279" max="1279" width="7.85546875" style="69" customWidth="1"/>
    <col min="1280" max="1280" width="60.5703125" style="69" customWidth="1"/>
    <col min="1281" max="1281" width="8.85546875" style="69" customWidth="1"/>
    <col min="1282" max="1282" width="18.140625" style="69" customWidth="1"/>
    <col min="1283" max="1283" width="9.140625" style="69"/>
    <col min="1284" max="1284" width="12.140625" style="69" bestFit="1" customWidth="1"/>
    <col min="1285" max="1534" width="9.140625" style="69"/>
    <col min="1535" max="1535" width="7.85546875" style="69" customWidth="1"/>
    <col min="1536" max="1536" width="60.5703125" style="69" customWidth="1"/>
    <col min="1537" max="1537" width="8.85546875" style="69" customWidth="1"/>
    <col min="1538" max="1538" width="18.140625" style="69" customWidth="1"/>
    <col min="1539" max="1539" width="9.140625" style="69"/>
    <col min="1540" max="1540" width="12.140625" style="69" bestFit="1" customWidth="1"/>
    <col min="1541" max="1790" width="9.140625" style="69"/>
    <col min="1791" max="1791" width="7.85546875" style="69" customWidth="1"/>
    <col min="1792" max="1792" width="60.5703125" style="69" customWidth="1"/>
    <col min="1793" max="1793" width="8.85546875" style="69" customWidth="1"/>
    <col min="1794" max="1794" width="18.140625" style="69" customWidth="1"/>
    <col min="1795" max="1795" width="9.140625" style="69"/>
    <col min="1796" max="1796" width="12.140625" style="69" bestFit="1" customWidth="1"/>
    <col min="1797" max="2046" width="9.140625" style="69"/>
    <col min="2047" max="2047" width="7.85546875" style="69" customWidth="1"/>
    <col min="2048" max="2048" width="60.5703125" style="69" customWidth="1"/>
    <col min="2049" max="2049" width="8.85546875" style="69" customWidth="1"/>
    <col min="2050" max="2050" width="18.140625" style="69" customWidth="1"/>
    <col min="2051" max="2051" width="9.140625" style="69"/>
    <col min="2052" max="2052" width="12.140625" style="69" bestFit="1" customWidth="1"/>
    <col min="2053" max="2302" width="9.140625" style="69"/>
    <col min="2303" max="2303" width="7.85546875" style="69" customWidth="1"/>
    <col min="2304" max="2304" width="60.5703125" style="69" customWidth="1"/>
    <col min="2305" max="2305" width="8.85546875" style="69" customWidth="1"/>
    <col min="2306" max="2306" width="18.140625" style="69" customWidth="1"/>
    <col min="2307" max="2307" width="9.140625" style="69"/>
    <col min="2308" max="2308" width="12.140625" style="69" bestFit="1" customWidth="1"/>
    <col min="2309" max="2558" width="9.140625" style="69"/>
    <col min="2559" max="2559" width="7.85546875" style="69" customWidth="1"/>
    <col min="2560" max="2560" width="60.5703125" style="69" customWidth="1"/>
    <col min="2561" max="2561" width="8.85546875" style="69" customWidth="1"/>
    <col min="2562" max="2562" width="18.140625" style="69" customWidth="1"/>
    <col min="2563" max="2563" width="9.140625" style="69"/>
    <col min="2564" max="2564" width="12.140625" style="69" bestFit="1" customWidth="1"/>
    <col min="2565" max="2814" width="9.140625" style="69"/>
    <col min="2815" max="2815" width="7.85546875" style="69" customWidth="1"/>
    <col min="2816" max="2816" width="60.5703125" style="69" customWidth="1"/>
    <col min="2817" max="2817" width="8.85546875" style="69" customWidth="1"/>
    <col min="2818" max="2818" width="18.140625" style="69" customWidth="1"/>
    <col min="2819" max="2819" width="9.140625" style="69"/>
    <col min="2820" max="2820" width="12.140625" style="69" bestFit="1" customWidth="1"/>
    <col min="2821" max="3070" width="9.140625" style="69"/>
    <col min="3071" max="3071" width="7.85546875" style="69" customWidth="1"/>
    <col min="3072" max="3072" width="60.5703125" style="69" customWidth="1"/>
    <col min="3073" max="3073" width="8.85546875" style="69" customWidth="1"/>
    <col min="3074" max="3074" width="18.140625" style="69" customWidth="1"/>
    <col min="3075" max="3075" width="9.140625" style="69"/>
    <col min="3076" max="3076" width="12.140625" style="69" bestFit="1" customWidth="1"/>
    <col min="3077" max="3326" width="9.140625" style="69"/>
    <col min="3327" max="3327" width="7.85546875" style="69" customWidth="1"/>
    <col min="3328" max="3328" width="60.5703125" style="69" customWidth="1"/>
    <col min="3329" max="3329" width="8.85546875" style="69" customWidth="1"/>
    <col min="3330" max="3330" width="18.140625" style="69" customWidth="1"/>
    <col min="3331" max="3331" width="9.140625" style="69"/>
    <col min="3332" max="3332" width="12.140625" style="69" bestFit="1" customWidth="1"/>
    <col min="3333" max="3582" width="9.140625" style="69"/>
    <col min="3583" max="3583" width="7.85546875" style="69" customWidth="1"/>
    <col min="3584" max="3584" width="60.5703125" style="69" customWidth="1"/>
    <col min="3585" max="3585" width="8.85546875" style="69" customWidth="1"/>
    <col min="3586" max="3586" width="18.140625" style="69" customWidth="1"/>
    <col min="3587" max="3587" width="9.140625" style="69"/>
    <col min="3588" max="3588" width="12.140625" style="69" bestFit="1" customWidth="1"/>
    <col min="3589" max="3838" width="9.140625" style="69"/>
    <col min="3839" max="3839" width="7.85546875" style="69" customWidth="1"/>
    <col min="3840" max="3840" width="60.5703125" style="69" customWidth="1"/>
    <col min="3841" max="3841" width="8.85546875" style="69" customWidth="1"/>
    <col min="3842" max="3842" width="18.140625" style="69" customWidth="1"/>
    <col min="3843" max="3843" width="9.140625" style="69"/>
    <col min="3844" max="3844" width="12.140625" style="69" bestFit="1" customWidth="1"/>
    <col min="3845" max="4094" width="9.140625" style="69"/>
    <col min="4095" max="4095" width="7.85546875" style="69" customWidth="1"/>
    <col min="4096" max="4096" width="60.5703125" style="69" customWidth="1"/>
    <col min="4097" max="4097" width="8.85546875" style="69" customWidth="1"/>
    <col min="4098" max="4098" width="18.140625" style="69" customWidth="1"/>
    <col min="4099" max="4099" width="9.140625" style="69"/>
    <col min="4100" max="4100" width="12.140625" style="69" bestFit="1" customWidth="1"/>
    <col min="4101" max="4350" width="9.140625" style="69"/>
    <col min="4351" max="4351" width="7.85546875" style="69" customWidth="1"/>
    <col min="4352" max="4352" width="60.5703125" style="69" customWidth="1"/>
    <col min="4353" max="4353" width="8.85546875" style="69" customWidth="1"/>
    <col min="4354" max="4354" width="18.140625" style="69" customWidth="1"/>
    <col min="4355" max="4355" width="9.140625" style="69"/>
    <col min="4356" max="4356" width="12.140625" style="69" bestFit="1" customWidth="1"/>
    <col min="4357" max="4606" width="9.140625" style="69"/>
    <col min="4607" max="4607" width="7.85546875" style="69" customWidth="1"/>
    <col min="4608" max="4608" width="60.5703125" style="69" customWidth="1"/>
    <col min="4609" max="4609" width="8.85546875" style="69" customWidth="1"/>
    <col min="4610" max="4610" width="18.140625" style="69" customWidth="1"/>
    <col min="4611" max="4611" width="9.140625" style="69"/>
    <col min="4612" max="4612" width="12.140625" style="69" bestFit="1" customWidth="1"/>
    <col min="4613" max="4862" width="9.140625" style="69"/>
    <col min="4863" max="4863" width="7.85546875" style="69" customWidth="1"/>
    <col min="4864" max="4864" width="60.5703125" style="69" customWidth="1"/>
    <col min="4865" max="4865" width="8.85546875" style="69" customWidth="1"/>
    <col min="4866" max="4866" width="18.140625" style="69" customWidth="1"/>
    <col min="4867" max="4867" width="9.140625" style="69"/>
    <col min="4868" max="4868" width="12.140625" style="69" bestFit="1" customWidth="1"/>
    <col min="4869" max="5118" width="9.140625" style="69"/>
    <col min="5119" max="5119" width="7.85546875" style="69" customWidth="1"/>
    <col min="5120" max="5120" width="60.5703125" style="69" customWidth="1"/>
    <col min="5121" max="5121" width="8.85546875" style="69" customWidth="1"/>
    <col min="5122" max="5122" width="18.140625" style="69" customWidth="1"/>
    <col min="5123" max="5123" width="9.140625" style="69"/>
    <col min="5124" max="5124" width="12.140625" style="69" bestFit="1" customWidth="1"/>
    <col min="5125" max="5374" width="9.140625" style="69"/>
    <col min="5375" max="5375" width="7.85546875" style="69" customWidth="1"/>
    <col min="5376" max="5376" width="60.5703125" style="69" customWidth="1"/>
    <col min="5377" max="5377" width="8.85546875" style="69" customWidth="1"/>
    <col min="5378" max="5378" width="18.140625" style="69" customWidth="1"/>
    <col min="5379" max="5379" width="9.140625" style="69"/>
    <col min="5380" max="5380" width="12.140625" style="69" bestFit="1" customWidth="1"/>
    <col min="5381" max="5630" width="9.140625" style="69"/>
    <col min="5631" max="5631" width="7.85546875" style="69" customWidth="1"/>
    <col min="5632" max="5632" width="60.5703125" style="69" customWidth="1"/>
    <col min="5633" max="5633" width="8.85546875" style="69" customWidth="1"/>
    <col min="5634" max="5634" width="18.140625" style="69" customWidth="1"/>
    <col min="5635" max="5635" width="9.140625" style="69"/>
    <col min="5636" max="5636" width="12.140625" style="69" bestFit="1" customWidth="1"/>
    <col min="5637" max="5886" width="9.140625" style="69"/>
    <col min="5887" max="5887" width="7.85546875" style="69" customWidth="1"/>
    <col min="5888" max="5888" width="60.5703125" style="69" customWidth="1"/>
    <col min="5889" max="5889" width="8.85546875" style="69" customWidth="1"/>
    <col min="5890" max="5890" width="18.140625" style="69" customWidth="1"/>
    <col min="5891" max="5891" width="9.140625" style="69"/>
    <col min="5892" max="5892" width="12.140625" style="69" bestFit="1" customWidth="1"/>
    <col min="5893" max="6142" width="9.140625" style="69"/>
    <col min="6143" max="6143" width="7.85546875" style="69" customWidth="1"/>
    <col min="6144" max="6144" width="60.5703125" style="69" customWidth="1"/>
    <col min="6145" max="6145" width="8.85546875" style="69" customWidth="1"/>
    <col min="6146" max="6146" width="18.140625" style="69" customWidth="1"/>
    <col min="6147" max="6147" width="9.140625" style="69"/>
    <col min="6148" max="6148" width="12.140625" style="69" bestFit="1" customWidth="1"/>
    <col min="6149" max="6398" width="9.140625" style="69"/>
    <col min="6399" max="6399" width="7.85546875" style="69" customWidth="1"/>
    <col min="6400" max="6400" width="60.5703125" style="69" customWidth="1"/>
    <col min="6401" max="6401" width="8.85546875" style="69" customWidth="1"/>
    <col min="6402" max="6402" width="18.140625" style="69" customWidth="1"/>
    <col min="6403" max="6403" width="9.140625" style="69"/>
    <col min="6404" max="6404" width="12.140625" style="69" bestFit="1" customWidth="1"/>
    <col min="6405" max="6654" width="9.140625" style="69"/>
    <col min="6655" max="6655" width="7.85546875" style="69" customWidth="1"/>
    <col min="6656" max="6656" width="60.5703125" style="69" customWidth="1"/>
    <col min="6657" max="6657" width="8.85546875" style="69" customWidth="1"/>
    <col min="6658" max="6658" width="18.140625" style="69" customWidth="1"/>
    <col min="6659" max="6659" width="9.140625" style="69"/>
    <col min="6660" max="6660" width="12.140625" style="69" bestFit="1" customWidth="1"/>
    <col min="6661" max="6910" width="9.140625" style="69"/>
    <col min="6911" max="6911" width="7.85546875" style="69" customWidth="1"/>
    <col min="6912" max="6912" width="60.5703125" style="69" customWidth="1"/>
    <col min="6913" max="6913" width="8.85546875" style="69" customWidth="1"/>
    <col min="6914" max="6914" width="18.140625" style="69" customWidth="1"/>
    <col min="6915" max="6915" width="9.140625" style="69"/>
    <col min="6916" max="6916" width="12.140625" style="69" bestFit="1" customWidth="1"/>
    <col min="6917" max="7166" width="9.140625" style="69"/>
    <col min="7167" max="7167" width="7.85546875" style="69" customWidth="1"/>
    <col min="7168" max="7168" width="60.5703125" style="69" customWidth="1"/>
    <col min="7169" max="7169" width="8.85546875" style="69" customWidth="1"/>
    <col min="7170" max="7170" width="18.140625" style="69" customWidth="1"/>
    <col min="7171" max="7171" width="9.140625" style="69"/>
    <col min="7172" max="7172" width="12.140625" style="69" bestFit="1" customWidth="1"/>
    <col min="7173" max="7422" width="9.140625" style="69"/>
    <col min="7423" max="7423" width="7.85546875" style="69" customWidth="1"/>
    <col min="7424" max="7424" width="60.5703125" style="69" customWidth="1"/>
    <col min="7425" max="7425" width="8.85546875" style="69" customWidth="1"/>
    <col min="7426" max="7426" width="18.140625" style="69" customWidth="1"/>
    <col min="7427" max="7427" width="9.140625" style="69"/>
    <col min="7428" max="7428" width="12.140625" style="69" bestFit="1" customWidth="1"/>
    <col min="7429" max="7678" width="9.140625" style="69"/>
    <col min="7679" max="7679" width="7.85546875" style="69" customWidth="1"/>
    <col min="7680" max="7680" width="60.5703125" style="69" customWidth="1"/>
    <col min="7681" max="7681" width="8.85546875" style="69" customWidth="1"/>
    <col min="7682" max="7682" width="18.140625" style="69" customWidth="1"/>
    <col min="7683" max="7683" width="9.140625" style="69"/>
    <col min="7684" max="7684" width="12.140625" style="69" bestFit="1" customWidth="1"/>
    <col min="7685" max="7934" width="9.140625" style="69"/>
    <col min="7935" max="7935" width="7.85546875" style="69" customWidth="1"/>
    <col min="7936" max="7936" width="60.5703125" style="69" customWidth="1"/>
    <col min="7937" max="7937" width="8.85546875" style="69" customWidth="1"/>
    <col min="7938" max="7938" width="18.140625" style="69" customWidth="1"/>
    <col min="7939" max="7939" width="9.140625" style="69"/>
    <col min="7940" max="7940" width="12.140625" style="69" bestFit="1" customWidth="1"/>
    <col min="7941" max="8190" width="9.140625" style="69"/>
    <col min="8191" max="8191" width="7.85546875" style="69" customWidth="1"/>
    <col min="8192" max="8192" width="60.5703125" style="69" customWidth="1"/>
    <col min="8193" max="8193" width="8.85546875" style="69" customWidth="1"/>
    <col min="8194" max="8194" width="18.140625" style="69" customWidth="1"/>
    <col min="8195" max="8195" width="9.140625" style="69"/>
    <col min="8196" max="8196" width="12.140625" style="69" bestFit="1" customWidth="1"/>
    <col min="8197" max="8446" width="9.140625" style="69"/>
    <col min="8447" max="8447" width="7.85546875" style="69" customWidth="1"/>
    <col min="8448" max="8448" width="60.5703125" style="69" customWidth="1"/>
    <col min="8449" max="8449" width="8.85546875" style="69" customWidth="1"/>
    <col min="8450" max="8450" width="18.140625" style="69" customWidth="1"/>
    <col min="8451" max="8451" width="9.140625" style="69"/>
    <col min="8452" max="8452" width="12.140625" style="69" bestFit="1" customWidth="1"/>
    <col min="8453" max="8702" width="9.140625" style="69"/>
    <col min="8703" max="8703" width="7.85546875" style="69" customWidth="1"/>
    <col min="8704" max="8704" width="60.5703125" style="69" customWidth="1"/>
    <col min="8705" max="8705" width="8.85546875" style="69" customWidth="1"/>
    <col min="8706" max="8706" width="18.140625" style="69" customWidth="1"/>
    <col min="8707" max="8707" width="9.140625" style="69"/>
    <col min="8708" max="8708" width="12.140625" style="69" bestFit="1" customWidth="1"/>
    <col min="8709" max="8958" width="9.140625" style="69"/>
    <col min="8959" max="8959" width="7.85546875" style="69" customWidth="1"/>
    <col min="8960" max="8960" width="60.5703125" style="69" customWidth="1"/>
    <col min="8961" max="8961" width="8.85546875" style="69" customWidth="1"/>
    <col min="8962" max="8962" width="18.140625" style="69" customWidth="1"/>
    <col min="8963" max="8963" width="9.140625" style="69"/>
    <col min="8964" max="8964" width="12.140625" style="69" bestFit="1" customWidth="1"/>
    <col min="8965" max="9214" width="9.140625" style="69"/>
    <col min="9215" max="9215" width="7.85546875" style="69" customWidth="1"/>
    <col min="9216" max="9216" width="60.5703125" style="69" customWidth="1"/>
    <col min="9217" max="9217" width="8.85546875" style="69" customWidth="1"/>
    <col min="9218" max="9218" width="18.140625" style="69" customWidth="1"/>
    <col min="9219" max="9219" width="9.140625" style="69"/>
    <col min="9220" max="9220" width="12.140625" style="69" bestFit="1" customWidth="1"/>
    <col min="9221" max="9470" width="9.140625" style="69"/>
    <col min="9471" max="9471" width="7.85546875" style="69" customWidth="1"/>
    <col min="9472" max="9472" width="60.5703125" style="69" customWidth="1"/>
    <col min="9473" max="9473" width="8.85546875" style="69" customWidth="1"/>
    <col min="9474" max="9474" width="18.140625" style="69" customWidth="1"/>
    <col min="9475" max="9475" width="9.140625" style="69"/>
    <col min="9476" max="9476" width="12.140625" style="69" bestFit="1" customWidth="1"/>
    <col min="9477" max="9726" width="9.140625" style="69"/>
    <col min="9727" max="9727" width="7.85546875" style="69" customWidth="1"/>
    <col min="9728" max="9728" width="60.5703125" style="69" customWidth="1"/>
    <col min="9729" max="9729" width="8.85546875" style="69" customWidth="1"/>
    <col min="9730" max="9730" width="18.140625" style="69" customWidth="1"/>
    <col min="9731" max="9731" width="9.140625" style="69"/>
    <col min="9732" max="9732" width="12.140625" style="69" bestFit="1" customWidth="1"/>
    <col min="9733" max="9982" width="9.140625" style="69"/>
    <col min="9983" max="9983" width="7.85546875" style="69" customWidth="1"/>
    <col min="9984" max="9984" width="60.5703125" style="69" customWidth="1"/>
    <col min="9985" max="9985" width="8.85546875" style="69" customWidth="1"/>
    <col min="9986" max="9986" width="18.140625" style="69" customWidth="1"/>
    <col min="9987" max="9987" width="9.140625" style="69"/>
    <col min="9988" max="9988" width="12.140625" style="69" bestFit="1" customWidth="1"/>
    <col min="9989" max="10238" width="9.140625" style="69"/>
    <col min="10239" max="10239" width="7.85546875" style="69" customWidth="1"/>
    <col min="10240" max="10240" width="60.5703125" style="69" customWidth="1"/>
    <col min="10241" max="10241" width="8.85546875" style="69" customWidth="1"/>
    <col min="10242" max="10242" width="18.140625" style="69" customWidth="1"/>
    <col min="10243" max="10243" width="9.140625" style="69"/>
    <col min="10244" max="10244" width="12.140625" style="69" bestFit="1" customWidth="1"/>
    <col min="10245" max="10494" width="9.140625" style="69"/>
    <col min="10495" max="10495" width="7.85546875" style="69" customWidth="1"/>
    <col min="10496" max="10496" width="60.5703125" style="69" customWidth="1"/>
    <col min="10497" max="10497" width="8.85546875" style="69" customWidth="1"/>
    <col min="10498" max="10498" width="18.140625" style="69" customWidth="1"/>
    <col min="10499" max="10499" width="9.140625" style="69"/>
    <col min="10500" max="10500" width="12.140625" style="69" bestFit="1" customWidth="1"/>
    <col min="10501" max="10750" width="9.140625" style="69"/>
    <col min="10751" max="10751" width="7.85546875" style="69" customWidth="1"/>
    <col min="10752" max="10752" width="60.5703125" style="69" customWidth="1"/>
    <col min="10753" max="10753" width="8.85546875" style="69" customWidth="1"/>
    <col min="10754" max="10754" width="18.140625" style="69" customWidth="1"/>
    <col min="10755" max="10755" width="9.140625" style="69"/>
    <col min="10756" max="10756" width="12.140625" style="69" bestFit="1" customWidth="1"/>
    <col min="10757" max="11006" width="9.140625" style="69"/>
    <col min="11007" max="11007" width="7.85546875" style="69" customWidth="1"/>
    <col min="11008" max="11008" width="60.5703125" style="69" customWidth="1"/>
    <col min="11009" max="11009" width="8.85546875" style="69" customWidth="1"/>
    <col min="11010" max="11010" width="18.140625" style="69" customWidth="1"/>
    <col min="11011" max="11011" width="9.140625" style="69"/>
    <col min="11012" max="11012" width="12.140625" style="69" bestFit="1" customWidth="1"/>
    <col min="11013" max="11262" width="9.140625" style="69"/>
    <col min="11263" max="11263" width="7.85546875" style="69" customWidth="1"/>
    <col min="11264" max="11264" width="60.5703125" style="69" customWidth="1"/>
    <col min="11265" max="11265" width="8.85546875" style="69" customWidth="1"/>
    <col min="11266" max="11266" width="18.140625" style="69" customWidth="1"/>
    <col min="11267" max="11267" width="9.140625" style="69"/>
    <col min="11268" max="11268" width="12.140625" style="69" bestFit="1" customWidth="1"/>
    <col min="11269" max="11518" width="9.140625" style="69"/>
    <col min="11519" max="11519" width="7.85546875" style="69" customWidth="1"/>
    <col min="11520" max="11520" width="60.5703125" style="69" customWidth="1"/>
    <col min="11521" max="11521" width="8.85546875" style="69" customWidth="1"/>
    <col min="11522" max="11522" width="18.140625" style="69" customWidth="1"/>
    <col min="11523" max="11523" width="9.140625" style="69"/>
    <col min="11524" max="11524" width="12.140625" style="69" bestFit="1" customWidth="1"/>
    <col min="11525" max="11774" width="9.140625" style="69"/>
    <col min="11775" max="11775" width="7.85546875" style="69" customWidth="1"/>
    <col min="11776" max="11776" width="60.5703125" style="69" customWidth="1"/>
    <col min="11777" max="11777" width="8.85546875" style="69" customWidth="1"/>
    <col min="11778" max="11778" width="18.140625" style="69" customWidth="1"/>
    <col min="11779" max="11779" width="9.140625" style="69"/>
    <col min="11780" max="11780" width="12.140625" style="69" bestFit="1" customWidth="1"/>
    <col min="11781" max="12030" width="9.140625" style="69"/>
    <col min="12031" max="12031" width="7.85546875" style="69" customWidth="1"/>
    <col min="12032" max="12032" width="60.5703125" style="69" customWidth="1"/>
    <col min="12033" max="12033" width="8.85546875" style="69" customWidth="1"/>
    <col min="12034" max="12034" width="18.140625" style="69" customWidth="1"/>
    <col min="12035" max="12035" width="9.140625" style="69"/>
    <col min="12036" max="12036" width="12.140625" style="69" bestFit="1" customWidth="1"/>
    <col min="12037" max="12286" width="9.140625" style="69"/>
    <col min="12287" max="12287" width="7.85546875" style="69" customWidth="1"/>
    <col min="12288" max="12288" width="60.5703125" style="69" customWidth="1"/>
    <col min="12289" max="12289" width="8.85546875" style="69" customWidth="1"/>
    <col min="12290" max="12290" width="18.140625" style="69" customWidth="1"/>
    <col min="12291" max="12291" width="9.140625" style="69"/>
    <col min="12292" max="12292" width="12.140625" style="69" bestFit="1" customWidth="1"/>
    <col min="12293" max="12542" width="9.140625" style="69"/>
    <col min="12543" max="12543" width="7.85546875" style="69" customWidth="1"/>
    <col min="12544" max="12544" width="60.5703125" style="69" customWidth="1"/>
    <col min="12545" max="12545" width="8.85546875" style="69" customWidth="1"/>
    <col min="12546" max="12546" width="18.140625" style="69" customWidth="1"/>
    <col min="12547" max="12547" width="9.140625" style="69"/>
    <col min="12548" max="12548" width="12.140625" style="69" bestFit="1" customWidth="1"/>
    <col min="12549" max="12798" width="9.140625" style="69"/>
    <col min="12799" max="12799" width="7.85546875" style="69" customWidth="1"/>
    <col min="12800" max="12800" width="60.5703125" style="69" customWidth="1"/>
    <col min="12801" max="12801" width="8.85546875" style="69" customWidth="1"/>
    <col min="12802" max="12802" width="18.140625" style="69" customWidth="1"/>
    <col min="12803" max="12803" width="9.140625" style="69"/>
    <col min="12804" max="12804" width="12.140625" style="69" bestFit="1" customWidth="1"/>
    <col min="12805" max="13054" width="9.140625" style="69"/>
    <col min="13055" max="13055" width="7.85546875" style="69" customWidth="1"/>
    <col min="13056" max="13056" width="60.5703125" style="69" customWidth="1"/>
    <col min="13057" max="13057" width="8.85546875" style="69" customWidth="1"/>
    <col min="13058" max="13058" width="18.140625" style="69" customWidth="1"/>
    <col min="13059" max="13059" width="9.140625" style="69"/>
    <col min="13060" max="13060" width="12.140625" style="69" bestFit="1" customWidth="1"/>
    <col min="13061" max="13310" width="9.140625" style="69"/>
    <col min="13311" max="13311" width="7.85546875" style="69" customWidth="1"/>
    <col min="13312" max="13312" width="60.5703125" style="69" customWidth="1"/>
    <col min="13313" max="13313" width="8.85546875" style="69" customWidth="1"/>
    <col min="13314" max="13314" width="18.140625" style="69" customWidth="1"/>
    <col min="13315" max="13315" width="9.140625" style="69"/>
    <col min="13316" max="13316" width="12.140625" style="69" bestFit="1" customWidth="1"/>
    <col min="13317" max="13566" width="9.140625" style="69"/>
    <col min="13567" max="13567" width="7.85546875" style="69" customWidth="1"/>
    <col min="13568" max="13568" width="60.5703125" style="69" customWidth="1"/>
    <col min="13569" max="13569" width="8.85546875" style="69" customWidth="1"/>
    <col min="13570" max="13570" width="18.140625" style="69" customWidth="1"/>
    <col min="13571" max="13571" width="9.140625" style="69"/>
    <col min="13572" max="13572" width="12.140625" style="69" bestFit="1" customWidth="1"/>
    <col min="13573" max="13822" width="9.140625" style="69"/>
    <col min="13823" max="13823" width="7.85546875" style="69" customWidth="1"/>
    <col min="13824" max="13824" width="60.5703125" style="69" customWidth="1"/>
    <col min="13825" max="13825" width="8.85546875" style="69" customWidth="1"/>
    <col min="13826" max="13826" width="18.140625" style="69" customWidth="1"/>
    <col min="13827" max="13827" width="9.140625" style="69"/>
    <col min="13828" max="13828" width="12.140625" style="69" bestFit="1" customWidth="1"/>
    <col min="13829" max="14078" width="9.140625" style="69"/>
    <col min="14079" max="14079" width="7.85546875" style="69" customWidth="1"/>
    <col min="14080" max="14080" width="60.5703125" style="69" customWidth="1"/>
    <col min="14081" max="14081" width="8.85546875" style="69" customWidth="1"/>
    <col min="14082" max="14082" width="18.140625" style="69" customWidth="1"/>
    <col min="14083" max="14083" width="9.140625" style="69"/>
    <col min="14084" max="14084" width="12.140625" style="69" bestFit="1" customWidth="1"/>
    <col min="14085" max="14334" width="9.140625" style="69"/>
    <col min="14335" max="14335" width="7.85546875" style="69" customWidth="1"/>
    <col min="14336" max="14336" width="60.5703125" style="69" customWidth="1"/>
    <col min="14337" max="14337" width="8.85546875" style="69" customWidth="1"/>
    <col min="14338" max="14338" width="18.140625" style="69" customWidth="1"/>
    <col min="14339" max="14339" width="9.140625" style="69"/>
    <col min="14340" max="14340" width="12.140625" style="69" bestFit="1" customWidth="1"/>
    <col min="14341" max="14590" width="9.140625" style="69"/>
    <col min="14591" max="14591" width="7.85546875" style="69" customWidth="1"/>
    <col min="14592" max="14592" width="60.5703125" style="69" customWidth="1"/>
    <col min="14593" max="14593" width="8.85546875" style="69" customWidth="1"/>
    <col min="14594" max="14594" width="18.140625" style="69" customWidth="1"/>
    <col min="14595" max="14595" width="9.140625" style="69"/>
    <col min="14596" max="14596" width="12.140625" style="69" bestFit="1" customWidth="1"/>
    <col min="14597" max="14846" width="9.140625" style="69"/>
    <col min="14847" max="14847" width="7.85546875" style="69" customWidth="1"/>
    <col min="14848" max="14848" width="60.5703125" style="69" customWidth="1"/>
    <col min="14849" max="14849" width="8.85546875" style="69" customWidth="1"/>
    <col min="14850" max="14850" width="18.140625" style="69" customWidth="1"/>
    <col min="14851" max="14851" width="9.140625" style="69"/>
    <col min="14852" max="14852" width="12.140625" style="69" bestFit="1" customWidth="1"/>
    <col min="14853" max="15102" width="9.140625" style="69"/>
    <col min="15103" max="15103" width="7.85546875" style="69" customWidth="1"/>
    <col min="15104" max="15104" width="60.5703125" style="69" customWidth="1"/>
    <col min="15105" max="15105" width="8.85546875" style="69" customWidth="1"/>
    <col min="15106" max="15106" width="18.140625" style="69" customWidth="1"/>
    <col min="15107" max="15107" width="9.140625" style="69"/>
    <col min="15108" max="15108" width="12.140625" style="69" bestFit="1" customWidth="1"/>
    <col min="15109" max="15358" width="9.140625" style="69"/>
    <col min="15359" max="15359" width="7.85546875" style="69" customWidth="1"/>
    <col min="15360" max="15360" width="60.5703125" style="69" customWidth="1"/>
    <col min="15361" max="15361" width="8.85546875" style="69" customWidth="1"/>
    <col min="15362" max="15362" width="18.140625" style="69" customWidth="1"/>
    <col min="15363" max="15363" width="9.140625" style="69"/>
    <col min="15364" max="15364" width="12.140625" style="69" bestFit="1" customWidth="1"/>
    <col min="15365" max="15614" width="9.140625" style="69"/>
    <col min="15615" max="15615" width="7.85546875" style="69" customWidth="1"/>
    <col min="15616" max="15616" width="60.5703125" style="69" customWidth="1"/>
    <col min="15617" max="15617" width="8.85546875" style="69" customWidth="1"/>
    <col min="15618" max="15618" width="18.140625" style="69" customWidth="1"/>
    <col min="15619" max="15619" width="9.140625" style="69"/>
    <col min="15620" max="15620" width="12.140625" style="69" bestFit="1" customWidth="1"/>
    <col min="15621" max="15870" width="9.140625" style="69"/>
    <col min="15871" max="15871" width="7.85546875" style="69" customWidth="1"/>
    <col min="15872" max="15872" width="60.5703125" style="69" customWidth="1"/>
    <col min="15873" max="15873" width="8.85546875" style="69" customWidth="1"/>
    <col min="15874" max="15874" width="18.140625" style="69" customWidth="1"/>
    <col min="15875" max="15875" width="9.140625" style="69"/>
    <col min="15876" max="15876" width="12.140625" style="69" bestFit="1" customWidth="1"/>
    <col min="15877" max="16126" width="9.140625" style="69"/>
    <col min="16127" max="16127" width="7.85546875" style="69" customWidth="1"/>
    <col min="16128" max="16128" width="60.5703125" style="69" customWidth="1"/>
    <col min="16129" max="16129" width="8.85546875" style="69" customWidth="1"/>
    <col min="16130" max="16130" width="18.140625" style="69" customWidth="1"/>
    <col min="16131" max="16131" width="9.140625" style="69"/>
    <col min="16132" max="16132" width="12.140625" style="69" bestFit="1" customWidth="1"/>
    <col min="16133" max="16384" width="9.140625" style="69"/>
  </cols>
  <sheetData>
    <row r="1" spans="2:6" ht="18.75" thickBot="1" x14ac:dyDescent="0.3">
      <c r="B1" s="325"/>
      <c r="C1" s="325"/>
      <c r="D1" s="325"/>
      <c r="E1" s="325"/>
      <c r="F1" s="325"/>
    </row>
    <row r="2" spans="2:6" ht="30.75" customHeight="1" x14ac:dyDescent="0.25">
      <c r="B2" s="326" t="s">
        <v>158</v>
      </c>
      <c r="C2" s="327"/>
      <c r="D2" s="327"/>
      <c r="E2" s="327"/>
      <c r="F2" s="328"/>
    </row>
    <row r="3" spans="2:6" ht="24.75" customHeight="1" x14ac:dyDescent="0.25">
      <c r="B3" s="70" t="s">
        <v>33</v>
      </c>
      <c r="C3" s="329" t="s">
        <v>34</v>
      </c>
      <c r="D3" s="330"/>
      <c r="E3" s="331"/>
      <c r="F3" s="71" t="s">
        <v>9</v>
      </c>
    </row>
    <row r="4" spans="2:6" ht="29.25" customHeight="1" x14ac:dyDescent="0.25">
      <c r="B4" s="72">
        <v>1</v>
      </c>
      <c r="C4" s="332" t="s">
        <v>155</v>
      </c>
      <c r="D4" s="333"/>
      <c r="E4" s="334"/>
      <c r="F4" s="73"/>
    </row>
    <row r="5" spans="2:6" ht="30" customHeight="1" x14ac:dyDescent="0.25">
      <c r="B5" s="74"/>
      <c r="C5" s="75" t="s">
        <v>152</v>
      </c>
      <c r="D5" s="76"/>
      <c r="E5" s="77" t="e">
        <f>#REF!</f>
        <v>#REF!</v>
      </c>
      <c r="F5" s="78" t="e">
        <f>ROUND(E5*13%,0)</f>
        <v>#REF!</v>
      </c>
    </row>
    <row r="6" spans="2:6" ht="30" customHeight="1" x14ac:dyDescent="0.25">
      <c r="B6" s="74"/>
      <c r="C6" s="75" t="s">
        <v>153</v>
      </c>
      <c r="D6" s="76"/>
      <c r="E6" s="77" t="e">
        <f>#REF!</f>
        <v>#REF!</v>
      </c>
      <c r="F6" s="78" t="e">
        <f>ROUND(E6*1%,0)</f>
        <v>#REF!</v>
      </c>
    </row>
    <row r="7" spans="2:6" ht="33" customHeight="1" x14ac:dyDescent="0.25">
      <c r="B7" s="74"/>
      <c r="C7" s="75" t="s">
        <v>26</v>
      </c>
      <c r="D7" s="76"/>
      <c r="E7" s="77" t="e">
        <f>(#REF!-#REF!)+(#REF!-#REF!)</f>
        <v>#REF!</v>
      </c>
      <c r="F7" s="78" t="e">
        <f>ROUND(E7*3.25%,0)</f>
        <v>#REF!</v>
      </c>
    </row>
    <row r="8" spans="2:6" ht="34.5" customHeight="1" x14ac:dyDescent="0.25">
      <c r="B8" s="74">
        <v>2</v>
      </c>
      <c r="C8" s="311"/>
      <c r="D8" s="312"/>
      <c r="E8" s="313"/>
      <c r="F8" s="78"/>
    </row>
    <row r="9" spans="2:6" ht="34.5" customHeight="1" x14ac:dyDescent="0.25">
      <c r="B9" s="74"/>
      <c r="C9" s="322" t="s">
        <v>56</v>
      </c>
      <c r="D9" s="323"/>
      <c r="E9" s="324"/>
      <c r="F9" s="78" t="e">
        <f>+F7+F5+F6</f>
        <v>#REF!</v>
      </c>
    </row>
    <row r="10" spans="2:6" ht="33.75" customHeight="1" x14ac:dyDescent="0.25">
      <c r="B10" s="74">
        <v>3</v>
      </c>
      <c r="C10" s="311" t="s">
        <v>35</v>
      </c>
      <c r="D10" s="312"/>
      <c r="E10" s="313"/>
      <c r="F10" s="79" t="e">
        <f>ROUND(F9*9%,0)</f>
        <v>#REF!</v>
      </c>
    </row>
    <row r="11" spans="2:6" ht="32.25" customHeight="1" x14ac:dyDescent="0.25">
      <c r="B11" s="74">
        <v>4</v>
      </c>
      <c r="C11" s="311" t="s">
        <v>36</v>
      </c>
      <c r="D11" s="312"/>
      <c r="E11" s="313"/>
      <c r="F11" s="79" t="e">
        <f>ROUND(F9*9%,0)</f>
        <v>#REF!</v>
      </c>
    </row>
    <row r="12" spans="2:6" ht="37.5" customHeight="1" x14ac:dyDescent="0.25">
      <c r="B12" s="80"/>
      <c r="C12" s="314" t="s">
        <v>10</v>
      </c>
      <c r="D12" s="315"/>
      <c r="E12" s="316"/>
      <c r="F12" s="79" t="e">
        <f>F9+F10+F11</f>
        <v>#REF!</v>
      </c>
    </row>
    <row r="13" spans="2:6" ht="42" customHeight="1" x14ac:dyDescent="0.25">
      <c r="B13" s="317" t="s">
        <v>157</v>
      </c>
      <c r="C13" s="318"/>
      <c r="D13" s="318"/>
      <c r="E13" s="318"/>
      <c r="F13" s="319"/>
    </row>
    <row r="14" spans="2:6" ht="15" customHeight="1" x14ac:dyDescent="0.25">
      <c r="B14" s="81"/>
      <c r="C14" s="82"/>
      <c r="D14" s="82"/>
      <c r="E14" s="82"/>
      <c r="F14" s="83"/>
    </row>
    <row r="15" spans="2:6" ht="23.25" customHeight="1" x14ac:dyDescent="0.25">
      <c r="B15" s="84"/>
      <c r="C15" s="85"/>
      <c r="D15" s="85"/>
      <c r="E15" s="86"/>
      <c r="F15" s="87"/>
    </row>
    <row r="16" spans="2:6" ht="27" customHeight="1" x14ac:dyDescent="0.25">
      <c r="B16" s="88"/>
      <c r="C16" s="85"/>
      <c r="D16" s="85"/>
      <c r="E16" s="86"/>
      <c r="F16" s="89"/>
    </row>
    <row r="17" spans="2:6" ht="27" customHeight="1" x14ac:dyDescent="0.25">
      <c r="B17" s="88"/>
      <c r="C17" s="85"/>
      <c r="D17" s="85"/>
      <c r="E17" s="86"/>
      <c r="F17" s="89"/>
    </row>
    <row r="18" spans="2:6" ht="16.5" thickBot="1" x14ac:dyDescent="0.3">
      <c r="B18" s="90"/>
      <c r="C18" s="320"/>
      <c r="D18" s="320"/>
      <c r="E18" s="320"/>
      <c r="F18" s="321"/>
    </row>
    <row r="19" spans="2:6" ht="23.25" x14ac:dyDescent="0.25">
      <c r="B19" s="305" t="s">
        <v>37</v>
      </c>
      <c r="C19" s="306"/>
      <c r="D19" s="306"/>
      <c r="E19" s="306"/>
      <c r="F19" s="307"/>
    </row>
    <row r="20" spans="2:6" ht="23.25" x14ac:dyDescent="0.25">
      <c r="B20" s="91"/>
      <c r="C20" s="92"/>
      <c r="D20" s="92"/>
      <c r="E20" s="92"/>
      <c r="F20" s="93"/>
    </row>
    <row r="21" spans="2:6" ht="23.25" x14ac:dyDescent="0.25">
      <c r="B21" s="91"/>
      <c r="C21" s="92"/>
      <c r="D21" s="92"/>
      <c r="E21" s="92"/>
      <c r="F21" s="93"/>
    </row>
    <row r="22" spans="2:6" ht="60" customHeight="1" thickBot="1" x14ac:dyDescent="0.3">
      <c r="B22" s="308" t="s">
        <v>38</v>
      </c>
      <c r="C22" s="309"/>
      <c r="D22" s="309"/>
      <c r="E22" s="309"/>
      <c r="F22" s="310"/>
    </row>
  </sheetData>
  <mergeCells count="13">
    <mergeCell ref="C9:E9"/>
    <mergeCell ref="B1:F1"/>
    <mergeCell ref="B2:F2"/>
    <mergeCell ref="C3:E3"/>
    <mergeCell ref="C4:E4"/>
    <mergeCell ref="C8:E8"/>
    <mergeCell ref="B19:F19"/>
    <mergeCell ref="B22:F22"/>
    <mergeCell ref="C10:E10"/>
    <mergeCell ref="C11:E11"/>
    <mergeCell ref="C12:E12"/>
    <mergeCell ref="B13:F13"/>
    <mergeCell ref="C18:F18"/>
  </mergeCells>
  <pageMargins left="0" right="0" top="0.74803149606299202" bottom="0.74803149606299202" header="0.31496062992126" footer="0.31496062992126"/>
  <pageSetup paperSize="9" scale="6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H22"/>
  <sheetViews>
    <sheetView zoomScale="86" zoomScaleNormal="86" zoomScaleSheetLayoutView="70" workbookViewId="0">
      <selection activeCell="E5" sqref="E5"/>
    </sheetView>
  </sheetViews>
  <sheetFormatPr defaultRowHeight="15" x14ac:dyDescent="0.25"/>
  <cols>
    <col min="1" max="1" width="6.42578125" style="69" customWidth="1"/>
    <col min="2" max="2" width="7.85546875" style="69" customWidth="1"/>
    <col min="3" max="3" width="59.85546875" style="69" bestFit="1" customWidth="1"/>
    <col min="4" max="4" width="6.140625" style="69" bestFit="1" customWidth="1"/>
    <col min="5" max="5" width="29.140625" style="69" customWidth="1"/>
    <col min="6" max="6" width="23.85546875" style="69" customWidth="1"/>
    <col min="7" max="15" width="9.140625" style="69"/>
    <col min="16" max="16" width="9.140625" style="69" customWidth="1"/>
    <col min="17" max="254" width="9.140625" style="69"/>
    <col min="255" max="255" width="7.85546875" style="69" customWidth="1"/>
    <col min="256" max="256" width="60.5703125" style="69" customWidth="1"/>
    <col min="257" max="257" width="8.85546875" style="69" customWidth="1"/>
    <col min="258" max="258" width="18.140625" style="69" customWidth="1"/>
    <col min="259" max="259" width="9.140625" style="69"/>
    <col min="260" max="260" width="12.140625" style="69" bestFit="1" customWidth="1"/>
    <col min="261" max="510" width="9.140625" style="69"/>
    <col min="511" max="511" width="7.85546875" style="69" customWidth="1"/>
    <col min="512" max="512" width="60.5703125" style="69" customWidth="1"/>
    <col min="513" max="513" width="8.85546875" style="69" customWidth="1"/>
    <col min="514" max="514" width="18.140625" style="69" customWidth="1"/>
    <col min="515" max="515" width="9.140625" style="69"/>
    <col min="516" max="516" width="12.140625" style="69" bestFit="1" customWidth="1"/>
    <col min="517" max="766" width="9.140625" style="69"/>
    <col min="767" max="767" width="7.85546875" style="69" customWidth="1"/>
    <col min="768" max="768" width="60.5703125" style="69" customWidth="1"/>
    <col min="769" max="769" width="8.85546875" style="69" customWidth="1"/>
    <col min="770" max="770" width="18.140625" style="69" customWidth="1"/>
    <col min="771" max="771" width="9.140625" style="69"/>
    <col min="772" max="772" width="12.140625" style="69" bestFit="1" customWidth="1"/>
    <col min="773" max="1022" width="9.140625" style="69"/>
    <col min="1023" max="1023" width="7.85546875" style="69" customWidth="1"/>
    <col min="1024" max="1024" width="60.5703125" style="69" customWidth="1"/>
    <col min="1025" max="1025" width="8.85546875" style="69" customWidth="1"/>
    <col min="1026" max="1026" width="18.140625" style="69" customWidth="1"/>
    <col min="1027" max="1027" width="9.140625" style="69"/>
    <col min="1028" max="1028" width="12.140625" style="69" bestFit="1" customWidth="1"/>
    <col min="1029" max="1278" width="9.140625" style="69"/>
    <col min="1279" max="1279" width="7.85546875" style="69" customWidth="1"/>
    <col min="1280" max="1280" width="60.5703125" style="69" customWidth="1"/>
    <col min="1281" max="1281" width="8.85546875" style="69" customWidth="1"/>
    <col min="1282" max="1282" width="18.140625" style="69" customWidth="1"/>
    <col min="1283" max="1283" width="9.140625" style="69"/>
    <col min="1284" max="1284" width="12.140625" style="69" bestFit="1" customWidth="1"/>
    <col min="1285" max="1534" width="9.140625" style="69"/>
    <col min="1535" max="1535" width="7.85546875" style="69" customWidth="1"/>
    <col min="1536" max="1536" width="60.5703125" style="69" customWidth="1"/>
    <col min="1537" max="1537" width="8.85546875" style="69" customWidth="1"/>
    <col min="1538" max="1538" width="18.140625" style="69" customWidth="1"/>
    <col min="1539" max="1539" width="9.140625" style="69"/>
    <col min="1540" max="1540" width="12.140625" style="69" bestFit="1" customWidth="1"/>
    <col min="1541" max="1790" width="9.140625" style="69"/>
    <col min="1791" max="1791" width="7.85546875" style="69" customWidth="1"/>
    <col min="1792" max="1792" width="60.5703125" style="69" customWidth="1"/>
    <col min="1793" max="1793" width="8.85546875" style="69" customWidth="1"/>
    <col min="1794" max="1794" width="18.140625" style="69" customWidth="1"/>
    <col min="1795" max="1795" width="9.140625" style="69"/>
    <col min="1796" max="1796" width="12.140625" style="69" bestFit="1" customWidth="1"/>
    <col min="1797" max="2046" width="9.140625" style="69"/>
    <col min="2047" max="2047" width="7.85546875" style="69" customWidth="1"/>
    <col min="2048" max="2048" width="60.5703125" style="69" customWidth="1"/>
    <col min="2049" max="2049" width="8.85546875" style="69" customWidth="1"/>
    <col min="2050" max="2050" width="18.140625" style="69" customWidth="1"/>
    <col min="2051" max="2051" width="9.140625" style="69"/>
    <col min="2052" max="2052" width="12.140625" style="69" bestFit="1" customWidth="1"/>
    <col min="2053" max="2302" width="9.140625" style="69"/>
    <col min="2303" max="2303" width="7.85546875" style="69" customWidth="1"/>
    <col min="2304" max="2304" width="60.5703125" style="69" customWidth="1"/>
    <col min="2305" max="2305" width="8.85546875" style="69" customWidth="1"/>
    <col min="2306" max="2306" width="18.140625" style="69" customWidth="1"/>
    <col min="2307" max="2307" width="9.140625" style="69"/>
    <col min="2308" max="2308" width="12.140625" style="69" bestFit="1" customWidth="1"/>
    <col min="2309" max="2558" width="9.140625" style="69"/>
    <col min="2559" max="2559" width="7.85546875" style="69" customWidth="1"/>
    <col min="2560" max="2560" width="60.5703125" style="69" customWidth="1"/>
    <col min="2561" max="2561" width="8.85546875" style="69" customWidth="1"/>
    <col min="2562" max="2562" width="18.140625" style="69" customWidth="1"/>
    <col min="2563" max="2563" width="9.140625" style="69"/>
    <col min="2564" max="2564" width="12.140625" style="69" bestFit="1" customWidth="1"/>
    <col min="2565" max="2814" width="9.140625" style="69"/>
    <col min="2815" max="2815" width="7.85546875" style="69" customWidth="1"/>
    <col min="2816" max="2816" width="60.5703125" style="69" customWidth="1"/>
    <col min="2817" max="2817" width="8.85546875" style="69" customWidth="1"/>
    <col min="2818" max="2818" width="18.140625" style="69" customWidth="1"/>
    <col min="2819" max="2819" width="9.140625" style="69"/>
    <col min="2820" max="2820" width="12.140625" style="69" bestFit="1" customWidth="1"/>
    <col min="2821" max="3070" width="9.140625" style="69"/>
    <col min="3071" max="3071" width="7.85546875" style="69" customWidth="1"/>
    <col min="3072" max="3072" width="60.5703125" style="69" customWidth="1"/>
    <col min="3073" max="3073" width="8.85546875" style="69" customWidth="1"/>
    <col min="3074" max="3074" width="18.140625" style="69" customWidth="1"/>
    <col min="3075" max="3075" width="9.140625" style="69"/>
    <col min="3076" max="3076" width="12.140625" style="69" bestFit="1" customWidth="1"/>
    <col min="3077" max="3326" width="9.140625" style="69"/>
    <col min="3327" max="3327" width="7.85546875" style="69" customWidth="1"/>
    <col min="3328" max="3328" width="60.5703125" style="69" customWidth="1"/>
    <col min="3329" max="3329" width="8.85546875" style="69" customWidth="1"/>
    <col min="3330" max="3330" width="18.140625" style="69" customWidth="1"/>
    <col min="3331" max="3331" width="9.140625" style="69"/>
    <col min="3332" max="3332" width="12.140625" style="69" bestFit="1" customWidth="1"/>
    <col min="3333" max="3582" width="9.140625" style="69"/>
    <col min="3583" max="3583" width="7.85546875" style="69" customWidth="1"/>
    <col min="3584" max="3584" width="60.5703125" style="69" customWidth="1"/>
    <col min="3585" max="3585" width="8.85546875" style="69" customWidth="1"/>
    <col min="3586" max="3586" width="18.140625" style="69" customWidth="1"/>
    <col min="3587" max="3587" width="9.140625" style="69"/>
    <col min="3588" max="3588" width="12.140625" style="69" bestFit="1" customWidth="1"/>
    <col min="3589" max="3838" width="9.140625" style="69"/>
    <col min="3839" max="3839" width="7.85546875" style="69" customWidth="1"/>
    <col min="3840" max="3840" width="60.5703125" style="69" customWidth="1"/>
    <col min="3841" max="3841" width="8.85546875" style="69" customWidth="1"/>
    <col min="3842" max="3842" width="18.140625" style="69" customWidth="1"/>
    <col min="3843" max="3843" width="9.140625" style="69"/>
    <col min="3844" max="3844" width="12.140625" style="69" bestFit="1" customWidth="1"/>
    <col min="3845" max="4094" width="9.140625" style="69"/>
    <col min="4095" max="4095" width="7.85546875" style="69" customWidth="1"/>
    <col min="4096" max="4096" width="60.5703125" style="69" customWidth="1"/>
    <col min="4097" max="4097" width="8.85546875" style="69" customWidth="1"/>
    <col min="4098" max="4098" width="18.140625" style="69" customWidth="1"/>
    <col min="4099" max="4099" width="9.140625" style="69"/>
    <col min="4100" max="4100" width="12.140625" style="69" bestFit="1" customWidth="1"/>
    <col min="4101" max="4350" width="9.140625" style="69"/>
    <col min="4351" max="4351" width="7.85546875" style="69" customWidth="1"/>
    <col min="4352" max="4352" width="60.5703125" style="69" customWidth="1"/>
    <col min="4353" max="4353" width="8.85546875" style="69" customWidth="1"/>
    <col min="4354" max="4354" width="18.140625" style="69" customWidth="1"/>
    <col min="4355" max="4355" width="9.140625" style="69"/>
    <col min="4356" max="4356" width="12.140625" style="69" bestFit="1" customWidth="1"/>
    <col min="4357" max="4606" width="9.140625" style="69"/>
    <col min="4607" max="4607" width="7.85546875" style="69" customWidth="1"/>
    <col min="4608" max="4608" width="60.5703125" style="69" customWidth="1"/>
    <col min="4609" max="4609" width="8.85546875" style="69" customWidth="1"/>
    <col min="4610" max="4610" width="18.140625" style="69" customWidth="1"/>
    <col min="4611" max="4611" width="9.140625" style="69"/>
    <col min="4612" max="4612" width="12.140625" style="69" bestFit="1" customWidth="1"/>
    <col min="4613" max="4862" width="9.140625" style="69"/>
    <col min="4863" max="4863" width="7.85546875" style="69" customWidth="1"/>
    <col min="4864" max="4864" width="60.5703125" style="69" customWidth="1"/>
    <col min="4865" max="4865" width="8.85546875" style="69" customWidth="1"/>
    <col min="4866" max="4866" width="18.140625" style="69" customWidth="1"/>
    <col min="4867" max="4867" width="9.140625" style="69"/>
    <col min="4868" max="4868" width="12.140625" style="69" bestFit="1" customWidth="1"/>
    <col min="4869" max="5118" width="9.140625" style="69"/>
    <col min="5119" max="5119" width="7.85546875" style="69" customWidth="1"/>
    <col min="5120" max="5120" width="60.5703125" style="69" customWidth="1"/>
    <col min="5121" max="5121" width="8.85546875" style="69" customWidth="1"/>
    <col min="5122" max="5122" width="18.140625" style="69" customWidth="1"/>
    <col min="5123" max="5123" width="9.140625" style="69"/>
    <col min="5124" max="5124" width="12.140625" style="69" bestFit="1" customWidth="1"/>
    <col min="5125" max="5374" width="9.140625" style="69"/>
    <col min="5375" max="5375" width="7.85546875" style="69" customWidth="1"/>
    <col min="5376" max="5376" width="60.5703125" style="69" customWidth="1"/>
    <col min="5377" max="5377" width="8.85546875" style="69" customWidth="1"/>
    <col min="5378" max="5378" width="18.140625" style="69" customWidth="1"/>
    <col min="5379" max="5379" width="9.140625" style="69"/>
    <col min="5380" max="5380" width="12.140625" style="69" bestFit="1" customWidth="1"/>
    <col min="5381" max="5630" width="9.140625" style="69"/>
    <col min="5631" max="5631" width="7.85546875" style="69" customWidth="1"/>
    <col min="5632" max="5632" width="60.5703125" style="69" customWidth="1"/>
    <col min="5633" max="5633" width="8.85546875" style="69" customWidth="1"/>
    <col min="5634" max="5634" width="18.140625" style="69" customWidth="1"/>
    <col min="5635" max="5635" width="9.140625" style="69"/>
    <col min="5636" max="5636" width="12.140625" style="69" bestFit="1" customWidth="1"/>
    <col min="5637" max="5886" width="9.140625" style="69"/>
    <col min="5887" max="5887" width="7.85546875" style="69" customWidth="1"/>
    <col min="5888" max="5888" width="60.5703125" style="69" customWidth="1"/>
    <col min="5889" max="5889" width="8.85546875" style="69" customWidth="1"/>
    <col min="5890" max="5890" width="18.140625" style="69" customWidth="1"/>
    <col min="5891" max="5891" width="9.140625" style="69"/>
    <col min="5892" max="5892" width="12.140625" style="69" bestFit="1" customWidth="1"/>
    <col min="5893" max="6142" width="9.140625" style="69"/>
    <col min="6143" max="6143" width="7.85546875" style="69" customWidth="1"/>
    <col min="6144" max="6144" width="60.5703125" style="69" customWidth="1"/>
    <col min="6145" max="6145" width="8.85546875" style="69" customWidth="1"/>
    <col min="6146" max="6146" width="18.140625" style="69" customWidth="1"/>
    <col min="6147" max="6147" width="9.140625" style="69"/>
    <col min="6148" max="6148" width="12.140625" style="69" bestFit="1" customWidth="1"/>
    <col min="6149" max="6398" width="9.140625" style="69"/>
    <col min="6399" max="6399" width="7.85546875" style="69" customWidth="1"/>
    <col min="6400" max="6400" width="60.5703125" style="69" customWidth="1"/>
    <col min="6401" max="6401" width="8.85546875" style="69" customWidth="1"/>
    <col min="6402" max="6402" width="18.140625" style="69" customWidth="1"/>
    <col min="6403" max="6403" width="9.140625" style="69"/>
    <col min="6404" max="6404" width="12.140625" style="69" bestFit="1" customWidth="1"/>
    <col min="6405" max="6654" width="9.140625" style="69"/>
    <col min="6655" max="6655" width="7.85546875" style="69" customWidth="1"/>
    <col min="6656" max="6656" width="60.5703125" style="69" customWidth="1"/>
    <col min="6657" max="6657" width="8.85546875" style="69" customWidth="1"/>
    <col min="6658" max="6658" width="18.140625" style="69" customWidth="1"/>
    <col min="6659" max="6659" width="9.140625" style="69"/>
    <col min="6660" max="6660" width="12.140625" style="69" bestFit="1" customWidth="1"/>
    <col min="6661" max="6910" width="9.140625" style="69"/>
    <col min="6911" max="6911" width="7.85546875" style="69" customWidth="1"/>
    <col min="6912" max="6912" width="60.5703125" style="69" customWidth="1"/>
    <col min="6913" max="6913" width="8.85546875" style="69" customWidth="1"/>
    <col min="6914" max="6914" width="18.140625" style="69" customWidth="1"/>
    <col min="6915" max="6915" width="9.140625" style="69"/>
    <col min="6916" max="6916" width="12.140625" style="69" bestFit="1" customWidth="1"/>
    <col min="6917" max="7166" width="9.140625" style="69"/>
    <col min="7167" max="7167" width="7.85546875" style="69" customWidth="1"/>
    <col min="7168" max="7168" width="60.5703125" style="69" customWidth="1"/>
    <col min="7169" max="7169" width="8.85546875" style="69" customWidth="1"/>
    <col min="7170" max="7170" width="18.140625" style="69" customWidth="1"/>
    <col min="7171" max="7171" width="9.140625" style="69"/>
    <col min="7172" max="7172" width="12.140625" style="69" bestFit="1" customWidth="1"/>
    <col min="7173" max="7422" width="9.140625" style="69"/>
    <col min="7423" max="7423" width="7.85546875" style="69" customWidth="1"/>
    <col min="7424" max="7424" width="60.5703125" style="69" customWidth="1"/>
    <col min="7425" max="7425" width="8.85546875" style="69" customWidth="1"/>
    <col min="7426" max="7426" width="18.140625" style="69" customWidth="1"/>
    <col min="7427" max="7427" width="9.140625" style="69"/>
    <col min="7428" max="7428" width="12.140625" style="69" bestFit="1" customWidth="1"/>
    <col min="7429" max="7678" width="9.140625" style="69"/>
    <col min="7679" max="7679" width="7.85546875" style="69" customWidth="1"/>
    <col min="7680" max="7680" width="60.5703125" style="69" customWidth="1"/>
    <col min="7681" max="7681" width="8.85546875" style="69" customWidth="1"/>
    <col min="7682" max="7682" width="18.140625" style="69" customWidth="1"/>
    <col min="7683" max="7683" width="9.140625" style="69"/>
    <col min="7684" max="7684" width="12.140625" style="69" bestFit="1" customWidth="1"/>
    <col min="7685" max="7934" width="9.140625" style="69"/>
    <col min="7935" max="7935" width="7.85546875" style="69" customWidth="1"/>
    <col min="7936" max="7936" width="60.5703125" style="69" customWidth="1"/>
    <col min="7937" max="7937" width="8.85546875" style="69" customWidth="1"/>
    <col min="7938" max="7938" width="18.140625" style="69" customWidth="1"/>
    <col min="7939" max="7939" width="9.140625" style="69"/>
    <col min="7940" max="7940" width="12.140625" style="69" bestFit="1" customWidth="1"/>
    <col min="7941" max="8190" width="9.140625" style="69"/>
    <col min="8191" max="8191" width="7.85546875" style="69" customWidth="1"/>
    <col min="8192" max="8192" width="60.5703125" style="69" customWidth="1"/>
    <col min="8193" max="8193" width="8.85546875" style="69" customWidth="1"/>
    <col min="8194" max="8194" width="18.140625" style="69" customWidth="1"/>
    <col min="8195" max="8195" width="9.140625" style="69"/>
    <col min="8196" max="8196" width="12.140625" style="69" bestFit="1" customWidth="1"/>
    <col min="8197" max="8446" width="9.140625" style="69"/>
    <col min="8447" max="8447" width="7.85546875" style="69" customWidth="1"/>
    <col min="8448" max="8448" width="60.5703125" style="69" customWidth="1"/>
    <col min="8449" max="8449" width="8.85546875" style="69" customWidth="1"/>
    <col min="8450" max="8450" width="18.140625" style="69" customWidth="1"/>
    <col min="8451" max="8451" width="9.140625" style="69"/>
    <col min="8452" max="8452" width="12.140625" style="69" bestFit="1" customWidth="1"/>
    <col min="8453" max="8702" width="9.140625" style="69"/>
    <col min="8703" max="8703" width="7.85546875" style="69" customWidth="1"/>
    <col min="8704" max="8704" width="60.5703125" style="69" customWidth="1"/>
    <col min="8705" max="8705" width="8.85546875" style="69" customWidth="1"/>
    <col min="8706" max="8706" width="18.140625" style="69" customWidth="1"/>
    <col min="8707" max="8707" width="9.140625" style="69"/>
    <col min="8708" max="8708" width="12.140625" style="69" bestFit="1" customWidth="1"/>
    <col min="8709" max="8958" width="9.140625" style="69"/>
    <col min="8959" max="8959" width="7.85546875" style="69" customWidth="1"/>
    <col min="8960" max="8960" width="60.5703125" style="69" customWidth="1"/>
    <col min="8961" max="8961" width="8.85546875" style="69" customWidth="1"/>
    <col min="8962" max="8962" width="18.140625" style="69" customWidth="1"/>
    <col min="8963" max="8963" width="9.140625" style="69"/>
    <col min="8964" max="8964" width="12.140625" style="69" bestFit="1" customWidth="1"/>
    <col min="8965" max="9214" width="9.140625" style="69"/>
    <col min="9215" max="9215" width="7.85546875" style="69" customWidth="1"/>
    <col min="9216" max="9216" width="60.5703125" style="69" customWidth="1"/>
    <col min="9217" max="9217" width="8.85546875" style="69" customWidth="1"/>
    <col min="9218" max="9218" width="18.140625" style="69" customWidth="1"/>
    <col min="9219" max="9219" width="9.140625" style="69"/>
    <col min="9220" max="9220" width="12.140625" style="69" bestFit="1" customWidth="1"/>
    <col min="9221" max="9470" width="9.140625" style="69"/>
    <col min="9471" max="9471" width="7.85546875" style="69" customWidth="1"/>
    <col min="9472" max="9472" width="60.5703125" style="69" customWidth="1"/>
    <col min="9473" max="9473" width="8.85546875" style="69" customWidth="1"/>
    <col min="9474" max="9474" width="18.140625" style="69" customWidth="1"/>
    <col min="9475" max="9475" width="9.140625" style="69"/>
    <col min="9476" max="9476" width="12.140625" style="69" bestFit="1" customWidth="1"/>
    <col min="9477" max="9726" width="9.140625" style="69"/>
    <col min="9727" max="9727" width="7.85546875" style="69" customWidth="1"/>
    <col min="9728" max="9728" width="60.5703125" style="69" customWidth="1"/>
    <col min="9729" max="9729" width="8.85546875" style="69" customWidth="1"/>
    <col min="9730" max="9730" width="18.140625" style="69" customWidth="1"/>
    <col min="9731" max="9731" width="9.140625" style="69"/>
    <col min="9732" max="9732" width="12.140625" style="69" bestFit="1" customWidth="1"/>
    <col min="9733" max="9982" width="9.140625" style="69"/>
    <col min="9983" max="9983" width="7.85546875" style="69" customWidth="1"/>
    <col min="9984" max="9984" width="60.5703125" style="69" customWidth="1"/>
    <col min="9985" max="9985" width="8.85546875" style="69" customWidth="1"/>
    <col min="9986" max="9986" width="18.140625" style="69" customWidth="1"/>
    <col min="9987" max="9987" width="9.140625" style="69"/>
    <col min="9988" max="9988" width="12.140625" style="69" bestFit="1" customWidth="1"/>
    <col min="9989" max="10238" width="9.140625" style="69"/>
    <col min="10239" max="10239" width="7.85546875" style="69" customWidth="1"/>
    <col min="10240" max="10240" width="60.5703125" style="69" customWidth="1"/>
    <col min="10241" max="10241" width="8.85546875" style="69" customWidth="1"/>
    <col min="10242" max="10242" width="18.140625" style="69" customWidth="1"/>
    <col min="10243" max="10243" width="9.140625" style="69"/>
    <col min="10244" max="10244" width="12.140625" style="69" bestFit="1" customWidth="1"/>
    <col min="10245" max="10494" width="9.140625" style="69"/>
    <col min="10495" max="10495" width="7.85546875" style="69" customWidth="1"/>
    <col min="10496" max="10496" width="60.5703125" style="69" customWidth="1"/>
    <col min="10497" max="10497" width="8.85546875" style="69" customWidth="1"/>
    <col min="10498" max="10498" width="18.140625" style="69" customWidth="1"/>
    <col min="10499" max="10499" width="9.140625" style="69"/>
    <col min="10500" max="10500" width="12.140625" style="69" bestFit="1" customWidth="1"/>
    <col min="10501" max="10750" width="9.140625" style="69"/>
    <col min="10751" max="10751" width="7.85546875" style="69" customWidth="1"/>
    <col min="10752" max="10752" width="60.5703125" style="69" customWidth="1"/>
    <col min="10753" max="10753" width="8.85546875" style="69" customWidth="1"/>
    <col min="10754" max="10754" width="18.140625" style="69" customWidth="1"/>
    <col min="10755" max="10755" width="9.140625" style="69"/>
    <col min="10756" max="10756" width="12.140625" style="69" bestFit="1" customWidth="1"/>
    <col min="10757" max="11006" width="9.140625" style="69"/>
    <col min="11007" max="11007" width="7.85546875" style="69" customWidth="1"/>
    <col min="11008" max="11008" width="60.5703125" style="69" customWidth="1"/>
    <col min="11009" max="11009" width="8.85546875" style="69" customWidth="1"/>
    <col min="11010" max="11010" width="18.140625" style="69" customWidth="1"/>
    <col min="11011" max="11011" width="9.140625" style="69"/>
    <col min="11012" max="11012" width="12.140625" style="69" bestFit="1" customWidth="1"/>
    <col min="11013" max="11262" width="9.140625" style="69"/>
    <col min="11263" max="11263" width="7.85546875" style="69" customWidth="1"/>
    <col min="11264" max="11264" width="60.5703125" style="69" customWidth="1"/>
    <col min="11265" max="11265" width="8.85546875" style="69" customWidth="1"/>
    <col min="11266" max="11266" width="18.140625" style="69" customWidth="1"/>
    <col min="11267" max="11267" width="9.140625" style="69"/>
    <col min="11268" max="11268" width="12.140625" style="69" bestFit="1" customWidth="1"/>
    <col min="11269" max="11518" width="9.140625" style="69"/>
    <col min="11519" max="11519" width="7.85546875" style="69" customWidth="1"/>
    <col min="11520" max="11520" width="60.5703125" style="69" customWidth="1"/>
    <col min="11521" max="11521" width="8.85546875" style="69" customWidth="1"/>
    <col min="11522" max="11522" width="18.140625" style="69" customWidth="1"/>
    <col min="11523" max="11523" width="9.140625" style="69"/>
    <col min="11524" max="11524" width="12.140625" style="69" bestFit="1" customWidth="1"/>
    <col min="11525" max="11774" width="9.140625" style="69"/>
    <col min="11775" max="11775" width="7.85546875" style="69" customWidth="1"/>
    <col min="11776" max="11776" width="60.5703125" style="69" customWidth="1"/>
    <col min="11777" max="11777" width="8.85546875" style="69" customWidth="1"/>
    <col min="11778" max="11778" width="18.140625" style="69" customWidth="1"/>
    <col min="11779" max="11779" width="9.140625" style="69"/>
    <col min="11780" max="11780" width="12.140625" style="69" bestFit="1" customWidth="1"/>
    <col min="11781" max="12030" width="9.140625" style="69"/>
    <col min="12031" max="12031" width="7.85546875" style="69" customWidth="1"/>
    <col min="12032" max="12032" width="60.5703125" style="69" customWidth="1"/>
    <col min="12033" max="12033" width="8.85546875" style="69" customWidth="1"/>
    <col min="12034" max="12034" width="18.140625" style="69" customWidth="1"/>
    <col min="12035" max="12035" width="9.140625" style="69"/>
    <col min="12036" max="12036" width="12.140625" style="69" bestFit="1" customWidth="1"/>
    <col min="12037" max="12286" width="9.140625" style="69"/>
    <col min="12287" max="12287" width="7.85546875" style="69" customWidth="1"/>
    <col min="12288" max="12288" width="60.5703125" style="69" customWidth="1"/>
    <col min="12289" max="12289" width="8.85546875" style="69" customWidth="1"/>
    <col min="12290" max="12290" width="18.140625" style="69" customWidth="1"/>
    <col min="12291" max="12291" width="9.140625" style="69"/>
    <col min="12292" max="12292" width="12.140625" style="69" bestFit="1" customWidth="1"/>
    <col min="12293" max="12542" width="9.140625" style="69"/>
    <col min="12543" max="12543" width="7.85546875" style="69" customWidth="1"/>
    <col min="12544" max="12544" width="60.5703125" style="69" customWidth="1"/>
    <col min="12545" max="12545" width="8.85546875" style="69" customWidth="1"/>
    <col min="12546" max="12546" width="18.140625" style="69" customWidth="1"/>
    <col min="12547" max="12547" width="9.140625" style="69"/>
    <col min="12548" max="12548" width="12.140625" style="69" bestFit="1" customWidth="1"/>
    <col min="12549" max="12798" width="9.140625" style="69"/>
    <col min="12799" max="12799" width="7.85546875" style="69" customWidth="1"/>
    <col min="12800" max="12800" width="60.5703125" style="69" customWidth="1"/>
    <col min="12801" max="12801" width="8.85546875" style="69" customWidth="1"/>
    <col min="12802" max="12802" width="18.140625" style="69" customWidth="1"/>
    <col min="12803" max="12803" width="9.140625" style="69"/>
    <col min="12804" max="12804" width="12.140625" style="69" bestFit="1" customWidth="1"/>
    <col min="12805" max="13054" width="9.140625" style="69"/>
    <col min="13055" max="13055" width="7.85546875" style="69" customWidth="1"/>
    <col min="13056" max="13056" width="60.5703125" style="69" customWidth="1"/>
    <col min="13057" max="13057" width="8.85546875" style="69" customWidth="1"/>
    <col min="13058" max="13058" width="18.140625" style="69" customWidth="1"/>
    <col min="13059" max="13059" width="9.140625" style="69"/>
    <col min="13060" max="13060" width="12.140625" style="69" bestFit="1" customWidth="1"/>
    <col min="13061" max="13310" width="9.140625" style="69"/>
    <col min="13311" max="13311" width="7.85546875" style="69" customWidth="1"/>
    <col min="13312" max="13312" width="60.5703125" style="69" customWidth="1"/>
    <col min="13313" max="13313" width="8.85546875" style="69" customWidth="1"/>
    <col min="13314" max="13314" width="18.140625" style="69" customWidth="1"/>
    <col min="13315" max="13315" width="9.140625" style="69"/>
    <col min="13316" max="13316" width="12.140625" style="69" bestFit="1" customWidth="1"/>
    <col min="13317" max="13566" width="9.140625" style="69"/>
    <col min="13567" max="13567" width="7.85546875" style="69" customWidth="1"/>
    <col min="13568" max="13568" width="60.5703125" style="69" customWidth="1"/>
    <col min="13569" max="13569" width="8.85546875" style="69" customWidth="1"/>
    <col min="13570" max="13570" width="18.140625" style="69" customWidth="1"/>
    <col min="13571" max="13571" width="9.140625" style="69"/>
    <col min="13572" max="13572" width="12.140625" style="69" bestFit="1" customWidth="1"/>
    <col min="13573" max="13822" width="9.140625" style="69"/>
    <col min="13823" max="13823" width="7.85546875" style="69" customWidth="1"/>
    <col min="13824" max="13824" width="60.5703125" style="69" customWidth="1"/>
    <col min="13825" max="13825" width="8.85546875" style="69" customWidth="1"/>
    <col min="13826" max="13826" width="18.140625" style="69" customWidth="1"/>
    <col min="13827" max="13827" width="9.140625" style="69"/>
    <col min="13828" max="13828" width="12.140625" style="69" bestFit="1" customWidth="1"/>
    <col min="13829" max="14078" width="9.140625" style="69"/>
    <col min="14079" max="14079" width="7.85546875" style="69" customWidth="1"/>
    <col min="14080" max="14080" width="60.5703125" style="69" customWidth="1"/>
    <col min="14081" max="14081" width="8.85546875" style="69" customWidth="1"/>
    <col min="14082" max="14082" width="18.140625" style="69" customWidth="1"/>
    <col min="14083" max="14083" width="9.140625" style="69"/>
    <col min="14084" max="14084" width="12.140625" style="69" bestFit="1" customWidth="1"/>
    <col min="14085" max="14334" width="9.140625" style="69"/>
    <col min="14335" max="14335" width="7.85546875" style="69" customWidth="1"/>
    <col min="14336" max="14336" width="60.5703125" style="69" customWidth="1"/>
    <col min="14337" max="14337" width="8.85546875" style="69" customWidth="1"/>
    <col min="14338" max="14338" width="18.140625" style="69" customWidth="1"/>
    <col min="14339" max="14339" width="9.140625" style="69"/>
    <col min="14340" max="14340" width="12.140625" style="69" bestFit="1" customWidth="1"/>
    <col min="14341" max="14590" width="9.140625" style="69"/>
    <col min="14591" max="14591" width="7.85546875" style="69" customWidth="1"/>
    <col min="14592" max="14592" width="60.5703125" style="69" customWidth="1"/>
    <col min="14593" max="14593" width="8.85546875" style="69" customWidth="1"/>
    <col min="14594" max="14594" width="18.140625" style="69" customWidth="1"/>
    <col min="14595" max="14595" width="9.140625" style="69"/>
    <col min="14596" max="14596" width="12.140625" style="69" bestFit="1" customWidth="1"/>
    <col min="14597" max="14846" width="9.140625" style="69"/>
    <col min="14847" max="14847" width="7.85546875" style="69" customWidth="1"/>
    <col min="14848" max="14848" width="60.5703125" style="69" customWidth="1"/>
    <col min="14849" max="14849" width="8.85546875" style="69" customWidth="1"/>
    <col min="14850" max="14850" width="18.140625" style="69" customWidth="1"/>
    <col min="14851" max="14851" width="9.140625" style="69"/>
    <col min="14852" max="14852" width="12.140625" style="69" bestFit="1" customWidth="1"/>
    <col min="14853" max="15102" width="9.140625" style="69"/>
    <col min="15103" max="15103" width="7.85546875" style="69" customWidth="1"/>
    <col min="15104" max="15104" width="60.5703125" style="69" customWidth="1"/>
    <col min="15105" max="15105" width="8.85546875" style="69" customWidth="1"/>
    <col min="15106" max="15106" width="18.140625" style="69" customWidth="1"/>
    <col min="15107" max="15107" width="9.140625" style="69"/>
    <col min="15108" max="15108" width="12.140625" style="69" bestFit="1" customWidth="1"/>
    <col min="15109" max="15358" width="9.140625" style="69"/>
    <col min="15359" max="15359" width="7.85546875" style="69" customWidth="1"/>
    <col min="15360" max="15360" width="60.5703125" style="69" customWidth="1"/>
    <col min="15361" max="15361" width="8.85546875" style="69" customWidth="1"/>
    <col min="15362" max="15362" width="18.140625" style="69" customWidth="1"/>
    <col min="15363" max="15363" width="9.140625" style="69"/>
    <col min="15364" max="15364" width="12.140625" style="69" bestFit="1" customWidth="1"/>
    <col min="15365" max="15614" width="9.140625" style="69"/>
    <col min="15615" max="15615" width="7.85546875" style="69" customWidth="1"/>
    <col min="15616" max="15616" width="60.5703125" style="69" customWidth="1"/>
    <col min="15617" max="15617" width="8.85546875" style="69" customWidth="1"/>
    <col min="15618" max="15618" width="18.140625" style="69" customWidth="1"/>
    <col min="15619" max="15619" width="9.140625" style="69"/>
    <col min="15620" max="15620" width="12.140625" style="69" bestFit="1" customWidth="1"/>
    <col min="15621" max="15870" width="9.140625" style="69"/>
    <col min="15871" max="15871" width="7.85546875" style="69" customWidth="1"/>
    <col min="15872" max="15872" width="60.5703125" style="69" customWidth="1"/>
    <col min="15873" max="15873" width="8.85546875" style="69" customWidth="1"/>
    <col min="15874" max="15874" width="18.140625" style="69" customWidth="1"/>
    <col min="15875" max="15875" width="9.140625" style="69"/>
    <col min="15876" max="15876" width="12.140625" style="69" bestFit="1" customWidth="1"/>
    <col min="15877" max="16126" width="9.140625" style="69"/>
    <col min="16127" max="16127" width="7.85546875" style="69" customWidth="1"/>
    <col min="16128" max="16128" width="60.5703125" style="69" customWidth="1"/>
    <col min="16129" max="16129" width="8.85546875" style="69" customWidth="1"/>
    <col min="16130" max="16130" width="18.140625" style="69" customWidth="1"/>
    <col min="16131" max="16131" width="9.140625" style="69"/>
    <col min="16132" max="16132" width="12.140625" style="69" bestFit="1" customWidth="1"/>
    <col min="16133" max="16384" width="9.140625" style="69"/>
  </cols>
  <sheetData>
    <row r="1" spans="2:8" ht="18.75" thickBot="1" x14ac:dyDescent="0.3">
      <c r="B1" s="325"/>
      <c r="C1" s="325"/>
      <c r="D1" s="325"/>
      <c r="E1" s="325"/>
      <c r="F1" s="325"/>
    </row>
    <row r="2" spans="2:8" ht="30.75" customHeight="1" x14ac:dyDescent="0.25">
      <c r="B2" s="326" t="s">
        <v>158</v>
      </c>
      <c r="C2" s="327"/>
      <c r="D2" s="327"/>
      <c r="E2" s="327"/>
      <c r="F2" s="328"/>
    </row>
    <row r="3" spans="2:8" ht="24.75" customHeight="1" x14ac:dyDescent="0.25">
      <c r="B3" s="70" t="s">
        <v>33</v>
      </c>
      <c r="C3" s="329" t="s">
        <v>34</v>
      </c>
      <c r="D3" s="330"/>
      <c r="E3" s="331"/>
      <c r="F3" s="71" t="s">
        <v>9</v>
      </c>
    </row>
    <row r="4" spans="2:8" ht="29.25" customHeight="1" x14ac:dyDescent="0.25">
      <c r="B4" s="72">
        <v>1</v>
      </c>
      <c r="C4" s="332" t="s">
        <v>155</v>
      </c>
      <c r="D4" s="333"/>
      <c r="E4" s="334"/>
      <c r="F4" s="73"/>
    </row>
    <row r="5" spans="2:8" ht="30" customHeight="1" x14ac:dyDescent="0.25">
      <c r="B5" s="74"/>
      <c r="C5" s="75" t="s">
        <v>152</v>
      </c>
      <c r="D5" s="76"/>
      <c r="E5" s="77" t="e">
        <f>+#REF!+#REF!</f>
        <v>#REF!</v>
      </c>
      <c r="F5" s="78" t="e">
        <f>ROUND(E5*13%,0)</f>
        <v>#REF!</v>
      </c>
      <c r="H5" s="69" t="e">
        <f>+#REF!+#REF!</f>
        <v>#REF!</v>
      </c>
    </row>
    <row r="6" spans="2:8" ht="30" customHeight="1" x14ac:dyDescent="0.25">
      <c r="B6" s="74"/>
      <c r="C6" s="75" t="s">
        <v>153</v>
      </c>
      <c r="D6" s="76"/>
      <c r="E6" s="77" t="e">
        <f>+#REF!+#REF!</f>
        <v>#REF!</v>
      </c>
      <c r="F6" s="78" t="e">
        <f>ROUND(E6*1%,0)</f>
        <v>#REF!</v>
      </c>
      <c r="H6" s="69" t="e">
        <f>+#REF!+#REF!</f>
        <v>#REF!</v>
      </c>
    </row>
    <row r="7" spans="2:8" ht="33" customHeight="1" x14ac:dyDescent="0.25">
      <c r="B7" s="74"/>
      <c r="C7" s="75" t="s">
        <v>26</v>
      </c>
      <c r="D7" s="76"/>
      <c r="E7" s="77" t="e">
        <f>+#REF!+#REF!-#REF!+#REF!-#REF!+#REF!</f>
        <v>#REF!</v>
      </c>
      <c r="F7" s="78" t="e">
        <f>ROUND(E7*3.25%,0)</f>
        <v>#REF!</v>
      </c>
      <c r="H7" s="69" t="e">
        <f>+#REF!-#REF!+#REF!+#REF!+#REF!-#REF!</f>
        <v>#REF!</v>
      </c>
    </row>
    <row r="8" spans="2:8" ht="34.5" customHeight="1" x14ac:dyDescent="0.25">
      <c r="B8" s="74">
        <v>2</v>
      </c>
      <c r="C8" s="311"/>
      <c r="D8" s="312"/>
      <c r="E8" s="313"/>
      <c r="F8" s="78"/>
    </row>
    <row r="9" spans="2:8" ht="34.5" customHeight="1" x14ac:dyDescent="0.25">
      <c r="B9" s="74"/>
      <c r="C9" s="322" t="s">
        <v>56</v>
      </c>
      <c r="D9" s="323"/>
      <c r="E9" s="324"/>
      <c r="F9" s="78" t="e">
        <f>+F7+F5+F6</f>
        <v>#REF!</v>
      </c>
    </row>
    <row r="10" spans="2:8" ht="33.75" customHeight="1" x14ac:dyDescent="0.25">
      <c r="B10" s="74">
        <v>3</v>
      </c>
      <c r="C10" s="311" t="s">
        <v>35</v>
      </c>
      <c r="D10" s="312"/>
      <c r="E10" s="313"/>
      <c r="F10" s="79" t="e">
        <f>ROUND(F9*9%,0)</f>
        <v>#REF!</v>
      </c>
    </row>
    <row r="11" spans="2:8" ht="32.25" customHeight="1" x14ac:dyDescent="0.25">
      <c r="B11" s="74">
        <v>4</v>
      </c>
      <c r="C11" s="311" t="s">
        <v>36</v>
      </c>
      <c r="D11" s="312"/>
      <c r="E11" s="313"/>
      <c r="F11" s="79" t="e">
        <f>ROUND(F9*9%,0)</f>
        <v>#REF!</v>
      </c>
    </row>
    <row r="12" spans="2:8" ht="37.5" customHeight="1" x14ac:dyDescent="0.25">
      <c r="B12" s="80"/>
      <c r="C12" s="314" t="s">
        <v>10</v>
      </c>
      <c r="D12" s="315"/>
      <c r="E12" s="316"/>
      <c r="F12" s="79" t="e">
        <f>F9+F10+F11</f>
        <v>#REF!</v>
      </c>
    </row>
    <row r="13" spans="2:8" ht="42" customHeight="1" x14ac:dyDescent="0.25">
      <c r="B13" s="317" t="s">
        <v>159</v>
      </c>
      <c r="C13" s="318"/>
      <c r="D13" s="318"/>
      <c r="E13" s="318"/>
      <c r="F13" s="319"/>
    </row>
    <row r="14" spans="2:8" ht="15" customHeight="1" x14ac:dyDescent="0.25">
      <c r="B14" s="81"/>
      <c r="C14" s="82"/>
      <c r="D14" s="82"/>
      <c r="E14" s="82"/>
      <c r="F14" s="83"/>
    </row>
    <row r="15" spans="2:8" ht="23.25" customHeight="1" x14ac:dyDescent="0.25">
      <c r="B15" s="84"/>
      <c r="C15" s="85"/>
      <c r="D15" s="85"/>
      <c r="E15" s="86"/>
      <c r="F15" s="87"/>
    </row>
    <row r="16" spans="2:8" ht="27" customHeight="1" x14ac:dyDescent="0.25">
      <c r="B16" s="88"/>
      <c r="C16" s="85"/>
      <c r="D16" s="85"/>
      <c r="E16" s="86"/>
      <c r="F16" s="89"/>
    </row>
    <row r="17" spans="2:6" ht="27" customHeight="1" x14ac:dyDescent="0.25">
      <c r="B17" s="88"/>
      <c r="C17" s="85"/>
      <c r="D17" s="85"/>
      <c r="E17" s="86"/>
      <c r="F17" s="89"/>
    </row>
    <row r="18" spans="2:6" ht="16.5" thickBot="1" x14ac:dyDescent="0.3">
      <c r="B18" s="90"/>
      <c r="C18" s="320"/>
      <c r="D18" s="320"/>
      <c r="E18" s="320"/>
      <c r="F18" s="321"/>
    </row>
    <row r="19" spans="2:6" ht="23.25" x14ac:dyDescent="0.25">
      <c r="B19" s="305" t="s">
        <v>37</v>
      </c>
      <c r="C19" s="306"/>
      <c r="D19" s="306"/>
      <c r="E19" s="306"/>
      <c r="F19" s="307"/>
    </row>
    <row r="20" spans="2:6" ht="23.25" x14ac:dyDescent="0.25">
      <c r="B20" s="91"/>
      <c r="C20" s="92"/>
      <c r="D20" s="92"/>
      <c r="E20" s="92"/>
      <c r="F20" s="93"/>
    </row>
    <row r="21" spans="2:6" ht="23.25" x14ac:dyDescent="0.25">
      <c r="B21" s="91"/>
      <c r="C21" s="92"/>
      <c r="D21" s="92"/>
      <c r="E21" s="92"/>
      <c r="F21" s="93"/>
    </row>
    <row r="22" spans="2:6" ht="60" customHeight="1" thickBot="1" x14ac:dyDescent="0.3">
      <c r="B22" s="308" t="s">
        <v>38</v>
      </c>
      <c r="C22" s="309"/>
      <c r="D22" s="309"/>
      <c r="E22" s="309"/>
      <c r="F22" s="310"/>
    </row>
  </sheetData>
  <mergeCells count="13">
    <mergeCell ref="B22:F22"/>
    <mergeCell ref="C10:E10"/>
    <mergeCell ref="C11:E11"/>
    <mergeCell ref="C12:E12"/>
    <mergeCell ref="B13:F13"/>
    <mergeCell ref="C18:F18"/>
    <mergeCell ref="B19:F19"/>
    <mergeCell ref="C9:E9"/>
    <mergeCell ref="B1:F1"/>
    <mergeCell ref="B2:F2"/>
    <mergeCell ref="C3:E3"/>
    <mergeCell ref="C4:E4"/>
    <mergeCell ref="C8:E8"/>
  </mergeCells>
  <pageMargins left="0" right="0" top="0.74803149606299202" bottom="0.74803149606299202" header="0.31496062992126" footer="0.31496062992126"/>
  <pageSetup paperSize="9" scale="60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" sqref="F3"/>
    </sheetView>
  </sheetViews>
  <sheetFormatPr defaultColWidth="9.140625" defaultRowHeight="15" x14ac:dyDescent="0.25"/>
  <cols>
    <col min="1" max="1" width="5.5703125" style="127" customWidth="1"/>
    <col min="2" max="2" width="9.140625" style="127" customWidth="1"/>
    <col min="3" max="3" width="19.42578125" style="127" customWidth="1"/>
    <col min="4" max="4" width="11.85546875" style="127" customWidth="1"/>
    <col min="5" max="20" width="9.140625" style="127" customWidth="1"/>
    <col min="21" max="16384" width="9.140625" style="127"/>
  </cols>
  <sheetData>
    <row r="1" spans="1:23" s="126" customFormat="1" ht="20.25" customHeight="1" x14ac:dyDescent="0.25">
      <c r="A1" s="335" t="s">
        <v>172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V1" s="127"/>
    </row>
    <row r="2" spans="1:23" s="126" customFormat="1" ht="20.25" customHeight="1" x14ac:dyDescent="0.25">
      <c r="A2" s="336" t="s">
        <v>187</v>
      </c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V2" s="127"/>
    </row>
    <row r="3" spans="1:23" s="131" customFormat="1" ht="45" customHeight="1" x14ac:dyDescent="0.25">
      <c r="A3" s="128" t="s">
        <v>13</v>
      </c>
      <c r="B3" s="128" t="s">
        <v>31</v>
      </c>
      <c r="C3" s="128" t="s">
        <v>4</v>
      </c>
      <c r="D3" s="128" t="s">
        <v>5</v>
      </c>
      <c r="E3" s="128" t="s">
        <v>59</v>
      </c>
      <c r="F3" s="128" t="s">
        <v>173</v>
      </c>
      <c r="G3" s="128" t="s">
        <v>15</v>
      </c>
      <c r="H3" s="128" t="s">
        <v>16</v>
      </c>
      <c r="I3" s="128" t="s">
        <v>17</v>
      </c>
      <c r="J3" s="128" t="s">
        <v>11</v>
      </c>
      <c r="K3" s="128" t="s">
        <v>174</v>
      </c>
      <c r="L3" s="128" t="s">
        <v>175</v>
      </c>
      <c r="M3" s="128" t="s">
        <v>145</v>
      </c>
      <c r="N3" s="128" t="s">
        <v>176</v>
      </c>
      <c r="O3" s="128" t="s">
        <v>20</v>
      </c>
      <c r="P3" s="128" t="s">
        <v>7</v>
      </c>
      <c r="Q3" s="128" t="s">
        <v>8</v>
      </c>
      <c r="R3" s="128" t="s">
        <v>21</v>
      </c>
      <c r="S3" s="128" t="s">
        <v>22</v>
      </c>
      <c r="T3" s="128" t="s">
        <v>177</v>
      </c>
      <c r="U3" s="129" t="s">
        <v>23</v>
      </c>
      <c r="V3" s="129" t="s">
        <v>60</v>
      </c>
      <c r="W3" s="130"/>
    </row>
    <row r="4" spans="1:23" s="140" customFormat="1" ht="31.5" customHeight="1" x14ac:dyDescent="0.25">
      <c r="A4" s="132">
        <v>1</v>
      </c>
      <c r="B4" s="133"/>
      <c r="C4" s="143" t="s">
        <v>185</v>
      </c>
      <c r="D4" s="133" t="s">
        <v>2</v>
      </c>
      <c r="E4" s="134">
        <v>410</v>
      </c>
      <c r="F4" s="135"/>
      <c r="G4" s="136">
        <f t="shared" ref="G4:G5" si="0">ROUND((E4*(F4))*70%,0)</f>
        <v>0</v>
      </c>
      <c r="H4" s="134">
        <f t="shared" ref="H4:H5" si="1">ROUND((E4*(F4))*30%,0)</f>
        <v>0</v>
      </c>
      <c r="I4" s="135">
        <v>0</v>
      </c>
      <c r="J4" s="137">
        <f t="shared" ref="J4:J5" si="2">ROUND(+E4/8*I4,0)</f>
        <v>0</v>
      </c>
      <c r="K4" s="136">
        <v>0</v>
      </c>
      <c r="L4" s="136">
        <v>0</v>
      </c>
      <c r="M4" s="136">
        <v>0</v>
      </c>
      <c r="N4" s="134"/>
      <c r="O4" s="137">
        <f t="shared" ref="O4:O5" si="3">ROUND(G4+H4+J4+K4+L4+M4+N4,0)</f>
        <v>0</v>
      </c>
      <c r="P4" s="136"/>
      <c r="Q4" s="134"/>
      <c r="R4" s="137"/>
      <c r="S4" s="138"/>
      <c r="T4" s="134"/>
      <c r="U4" s="136">
        <f t="shared" ref="U4:U5" si="4">ROUND(O4-P4-Q4-R4-S4-T4,0)</f>
        <v>0</v>
      </c>
      <c r="V4" s="139"/>
    </row>
    <row r="5" spans="1:23" s="140" customFormat="1" ht="31.5" customHeight="1" x14ac:dyDescent="0.25">
      <c r="A5" s="132">
        <f t="shared" ref="A5" si="5">A4+1</f>
        <v>2</v>
      </c>
      <c r="B5" s="133"/>
      <c r="C5" s="143" t="s">
        <v>186</v>
      </c>
      <c r="D5" s="133" t="s">
        <v>2</v>
      </c>
      <c r="E5" s="134">
        <v>410</v>
      </c>
      <c r="F5" s="135"/>
      <c r="G5" s="136">
        <f t="shared" si="0"/>
        <v>0</v>
      </c>
      <c r="H5" s="134">
        <f t="shared" si="1"/>
        <v>0</v>
      </c>
      <c r="I5" s="135">
        <v>0</v>
      </c>
      <c r="J5" s="137">
        <f t="shared" si="2"/>
        <v>0</v>
      </c>
      <c r="K5" s="136">
        <v>0</v>
      </c>
      <c r="L5" s="136">
        <v>0</v>
      </c>
      <c r="M5" s="136">
        <v>0</v>
      </c>
      <c r="N5" s="134"/>
      <c r="O5" s="137">
        <f t="shared" si="3"/>
        <v>0</v>
      </c>
      <c r="P5" s="136"/>
      <c r="Q5" s="134"/>
      <c r="R5" s="137"/>
      <c r="S5" s="138"/>
      <c r="T5" s="134"/>
      <c r="U5" s="136">
        <f t="shared" si="4"/>
        <v>0</v>
      </c>
      <c r="V5" s="139"/>
    </row>
    <row r="6" spans="1:23" ht="27.6" customHeight="1" x14ac:dyDescent="0.25">
      <c r="F6" s="141">
        <f t="shared" ref="F6:U6" si="6">SUM(F4:F5)</f>
        <v>0</v>
      </c>
      <c r="G6" s="141">
        <f t="shared" si="6"/>
        <v>0</v>
      </c>
      <c r="H6" s="141">
        <f t="shared" si="6"/>
        <v>0</v>
      </c>
      <c r="I6" s="141">
        <f t="shared" si="6"/>
        <v>0</v>
      </c>
      <c r="J6" s="141">
        <f t="shared" si="6"/>
        <v>0</v>
      </c>
      <c r="K6" s="141">
        <f t="shared" si="6"/>
        <v>0</v>
      </c>
      <c r="L6" s="141">
        <f t="shared" si="6"/>
        <v>0</v>
      </c>
      <c r="M6" s="141">
        <f t="shared" si="6"/>
        <v>0</v>
      </c>
      <c r="N6" s="141">
        <f t="shared" si="6"/>
        <v>0</v>
      </c>
      <c r="O6" s="141">
        <f t="shared" si="6"/>
        <v>0</v>
      </c>
      <c r="P6" s="141">
        <f t="shared" si="6"/>
        <v>0</v>
      </c>
      <c r="Q6" s="141">
        <f t="shared" si="6"/>
        <v>0</v>
      </c>
      <c r="R6" s="141">
        <f t="shared" si="6"/>
        <v>0</v>
      </c>
      <c r="S6" s="141">
        <f t="shared" si="6"/>
        <v>0</v>
      </c>
      <c r="T6" s="141">
        <f t="shared" si="6"/>
        <v>0</v>
      </c>
      <c r="U6" s="141">
        <f t="shared" si="6"/>
        <v>0</v>
      </c>
    </row>
    <row r="7" spans="1:23" x14ac:dyDescent="0.25">
      <c r="F7" s="142"/>
      <c r="I7" s="142"/>
      <c r="K7" s="142"/>
      <c r="L7" s="142"/>
      <c r="M7" s="142"/>
      <c r="N7" s="142"/>
    </row>
    <row r="8" spans="1:23" x14ac:dyDescent="0.25">
      <c r="I8" s="142"/>
    </row>
  </sheetData>
  <mergeCells count="2">
    <mergeCell ref="A1:T1"/>
    <mergeCell ref="A2:T2"/>
  </mergeCells>
  <conditionalFormatting sqref="B4">
    <cfRule type="duplicateValues" dxfId="88" priority="5"/>
  </conditionalFormatting>
  <conditionalFormatting sqref="B4:B5">
    <cfRule type="duplicateValues" dxfId="87" priority="6"/>
  </conditionalFormatting>
  <conditionalFormatting sqref="B5">
    <cfRule type="duplicateValues" dxfId="86" priority="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K35"/>
  <sheetViews>
    <sheetView tabSelected="1" view="pageBreakPreview" zoomScale="85" zoomScaleNormal="85" zoomScaleSheetLayoutView="85" workbookViewId="0">
      <selection activeCell="B4" sqref="B4:I4"/>
    </sheetView>
  </sheetViews>
  <sheetFormatPr defaultRowHeight="15" x14ac:dyDescent="0.2"/>
  <cols>
    <col min="1" max="1" width="5.140625" style="215" customWidth="1"/>
    <col min="2" max="7" width="8.7109375" style="215"/>
    <col min="8" max="8" width="19.140625" style="215" customWidth="1"/>
    <col min="9" max="9" width="17.85546875" style="215" customWidth="1"/>
    <col min="10" max="10" width="8.7109375" style="215"/>
    <col min="11" max="11" width="12.140625" style="215" bestFit="1" customWidth="1"/>
    <col min="12" max="237" width="8.7109375" style="215"/>
    <col min="238" max="238" width="7.5703125" style="215" customWidth="1"/>
    <col min="239" max="239" width="18.42578125" style="215" customWidth="1"/>
    <col min="240" max="240" width="10.85546875" style="215" bestFit="1" customWidth="1"/>
    <col min="241" max="493" width="8.7109375" style="215"/>
    <col min="494" max="494" width="7.5703125" style="215" customWidth="1"/>
    <col min="495" max="495" width="18.42578125" style="215" customWidth="1"/>
    <col min="496" max="496" width="10.85546875" style="215" bestFit="1" customWidth="1"/>
    <col min="497" max="749" width="8.7109375" style="215"/>
    <col min="750" max="750" width="7.5703125" style="215" customWidth="1"/>
    <col min="751" max="751" width="18.42578125" style="215" customWidth="1"/>
    <col min="752" max="752" width="10.85546875" style="215" bestFit="1" customWidth="1"/>
    <col min="753" max="1005" width="8.7109375" style="215"/>
    <col min="1006" max="1006" width="7.5703125" style="215" customWidth="1"/>
    <col min="1007" max="1007" width="18.42578125" style="215" customWidth="1"/>
    <col min="1008" max="1008" width="10.85546875" style="215" bestFit="1" customWidth="1"/>
    <col min="1009" max="1261" width="8.7109375" style="215"/>
    <col min="1262" max="1262" width="7.5703125" style="215" customWidth="1"/>
    <col min="1263" max="1263" width="18.42578125" style="215" customWidth="1"/>
    <col min="1264" max="1264" width="10.85546875" style="215" bestFit="1" customWidth="1"/>
    <col min="1265" max="1517" width="8.7109375" style="215"/>
    <col min="1518" max="1518" width="7.5703125" style="215" customWidth="1"/>
    <col min="1519" max="1519" width="18.42578125" style="215" customWidth="1"/>
    <col min="1520" max="1520" width="10.85546875" style="215" bestFit="1" customWidth="1"/>
    <col min="1521" max="1773" width="8.7109375" style="215"/>
    <col min="1774" max="1774" width="7.5703125" style="215" customWidth="1"/>
    <col min="1775" max="1775" width="18.42578125" style="215" customWidth="1"/>
    <col min="1776" max="1776" width="10.85546875" style="215" bestFit="1" customWidth="1"/>
    <col min="1777" max="2029" width="8.7109375" style="215"/>
    <col min="2030" max="2030" width="7.5703125" style="215" customWidth="1"/>
    <col min="2031" max="2031" width="18.42578125" style="215" customWidth="1"/>
    <col min="2032" max="2032" width="10.85546875" style="215" bestFit="1" customWidth="1"/>
    <col min="2033" max="2285" width="8.7109375" style="215"/>
    <col min="2286" max="2286" width="7.5703125" style="215" customWidth="1"/>
    <col min="2287" max="2287" width="18.42578125" style="215" customWidth="1"/>
    <col min="2288" max="2288" width="10.85546875" style="215" bestFit="1" customWidth="1"/>
    <col min="2289" max="2541" width="8.7109375" style="215"/>
    <col min="2542" max="2542" width="7.5703125" style="215" customWidth="1"/>
    <col min="2543" max="2543" width="18.42578125" style="215" customWidth="1"/>
    <col min="2544" max="2544" width="10.85546875" style="215" bestFit="1" customWidth="1"/>
    <col min="2545" max="2797" width="8.7109375" style="215"/>
    <col min="2798" max="2798" width="7.5703125" style="215" customWidth="1"/>
    <col min="2799" max="2799" width="18.42578125" style="215" customWidth="1"/>
    <col min="2800" max="2800" width="10.85546875" style="215" bestFit="1" customWidth="1"/>
    <col min="2801" max="3053" width="8.7109375" style="215"/>
    <col min="3054" max="3054" width="7.5703125" style="215" customWidth="1"/>
    <col min="3055" max="3055" width="18.42578125" style="215" customWidth="1"/>
    <col min="3056" max="3056" width="10.85546875" style="215" bestFit="1" customWidth="1"/>
    <col min="3057" max="3309" width="8.7109375" style="215"/>
    <col min="3310" max="3310" width="7.5703125" style="215" customWidth="1"/>
    <col min="3311" max="3311" width="18.42578125" style="215" customWidth="1"/>
    <col min="3312" max="3312" width="10.85546875" style="215" bestFit="1" customWidth="1"/>
    <col min="3313" max="3565" width="8.7109375" style="215"/>
    <col min="3566" max="3566" width="7.5703125" style="215" customWidth="1"/>
    <col min="3567" max="3567" width="18.42578125" style="215" customWidth="1"/>
    <col min="3568" max="3568" width="10.85546875" style="215" bestFit="1" customWidth="1"/>
    <col min="3569" max="3821" width="8.7109375" style="215"/>
    <col min="3822" max="3822" width="7.5703125" style="215" customWidth="1"/>
    <col min="3823" max="3823" width="18.42578125" style="215" customWidth="1"/>
    <col min="3824" max="3824" width="10.85546875" style="215" bestFit="1" customWidth="1"/>
    <col min="3825" max="4077" width="8.7109375" style="215"/>
    <col min="4078" max="4078" width="7.5703125" style="215" customWidth="1"/>
    <col min="4079" max="4079" width="18.42578125" style="215" customWidth="1"/>
    <col min="4080" max="4080" width="10.85546875" style="215" bestFit="1" customWidth="1"/>
    <col min="4081" max="4333" width="8.7109375" style="215"/>
    <col min="4334" max="4334" width="7.5703125" style="215" customWidth="1"/>
    <col min="4335" max="4335" width="18.42578125" style="215" customWidth="1"/>
    <col min="4336" max="4336" width="10.85546875" style="215" bestFit="1" customWidth="1"/>
    <col min="4337" max="4589" width="8.7109375" style="215"/>
    <col min="4590" max="4590" width="7.5703125" style="215" customWidth="1"/>
    <col min="4591" max="4591" width="18.42578125" style="215" customWidth="1"/>
    <col min="4592" max="4592" width="10.85546875" style="215" bestFit="1" customWidth="1"/>
    <col min="4593" max="4845" width="8.7109375" style="215"/>
    <col min="4846" max="4846" width="7.5703125" style="215" customWidth="1"/>
    <col min="4847" max="4847" width="18.42578125" style="215" customWidth="1"/>
    <col min="4848" max="4848" width="10.85546875" style="215" bestFit="1" customWidth="1"/>
    <col min="4849" max="5101" width="8.7109375" style="215"/>
    <col min="5102" max="5102" width="7.5703125" style="215" customWidth="1"/>
    <col min="5103" max="5103" width="18.42578125" style="215" customWidth="1"/>
    <col min="5104" max="5104" width="10.85546875" style="215" bestFit="1" customWidth="1"/>
    <col min="5105" max="5357" width="8.7109375" style="215"/>
    <col min="5358" max="5358" width="7.5703125" style="215" customWidth="1"/>
    <col min="5359" max="5359" width="18.42578125" style="215" customWidth="1"/>
    <col min="5360" max="5360" width="10.85546875" style="215" bestFit="1" customWidth="1"/>
    <col min="5361" max="5613" width="8.7109375" style="215"/>
    <col min="5614" max="5614" width="7.5703125" style="215" customWidth="1"/>
    <col min="5615" max="5615" width="18.42578125" style="215" customWidth="1"/>
    <col min="5616" max="5616" width="10.85546875" style="215" bestFit="1" customWidth="1"/>
    <col min="5617" max="5869" width="8.7109375" style="215"/>
    <col min="5870" max="5870" width="7.5703125" style="215" customWidth="1"/>
    <col min="5871" max="5871" width="18.42578125" style="215" customWidth="1"/>
    <col min="5872" max="5872" width="10.85546875" style="215" bestFit="1" customWidth="1"/>
    <col min="5873" max="6125" width="8.7109375" style="215"/>
    <col min="6126" max="6126" width="7.5703125" style="215" customWidth="1"/>
    <col min="6127" max="6127" width="18.42578125" style="215" customWidth="1"/>
    <col min="6128" max="6128" width="10.85546875" style="215" bestFit="1" customWidth="1"/>
    <col min="6129" max="6381" width="8.7109375" style="215"/>
    <col min="6382" max="6382" width="7.5703125" style="215" customWidth="1"/>
    <col min="6383" max="6383" width="18.42578125" style="215" customWidth="1"/>
    <col min="6384" max="6384" width="10.85546875" style="215" bestFit="1" customWidth="1"/>
    <col min="6385" max="6637" width="8.7109375" style="215"/>
    <col min="6638" max="6638" width="7.5703125" style="215" customWidth="1"/>
    <col min="6639" max="6639" width="18.42578125" style="215" customWidth="1"/>
    <col min="6640" max="6640" width="10.85546875" style="215" bestFit="1" customWidth="1"/>
    <col min="6641" max="6893" width="8.7109375" style="215"/>
    <col min="6894" max="6894" width="7.5703125" style="215" customWidth="1"/>
    <col min="6895" max="6895" width="18.42578125" style="215" customWidth="1"/>
    <col min="6896" max="6896" width="10.85546875" style="215" bestFit="1" customWidth="1"/>
    <col min="6897" max="7149" width="8.7109375" style="215"/>
    <col min="7150" max="7150" width="7.5703125" style="215" customWidth="1"/>
    <col min="7151" max="7151" width="18.42578125" style="215" customWidth="1"/>
    <col min="7152" max="7152" width="10.85546875" style="215" bestFit="1" customWidth="1"/>
    <col min="7153" max="7405" width="8.7109375" style="215"/>
    <col min="7406" max="7406" width="7.5703125" style="215" customWidth="1"/>
    <col min="7407" max="7407" width="18.42578125" style="215" customWidth="1"/>
    <col min="7408" max="7408" width="10.85546875" style="215" bestFit="1" customWidth="1"/>
    <col min="7409" max="7661" width="8.7109375" style="215"/>
    <col min="7662" max="7662" width="7.5703125" style="215" customWidth="1"/>
    <col min="7663" max="7663" width="18.42578125" style="215" customWidth="1"/>
    <col min="7664" max="7664" width="10.85546875" style="215" bestFit="1" customWidth="1"/>
    <col min="7665" max="7917" width="8.7109375" style="215"/>
    <col min="7918" max="7918" width="7.5703125" style="215" customWidth="1"/>
    <col min="7919" max="7919" width="18.42578125" style="215" customWidth="1"/>
    <col min="7920" max="7920" width="10.85546875" style="215" bestFit="1" customWidth="1"/>
    <col min="7921" max="8173" width="8.7109375" style="215"/>
    <col min="8174" max="8174" width="7.5703125" style="215" customWidth="1"/>
    <col min="8175" max="8175" width="18.42578125" style="215" customWidth="1"/>
    <col min="8176" max="8176" width="10.85546875" style="215" bestFit="1" customWidth="1"/>
    <col min="8177" max="8429" width="8.7109375" style="215"/>
    <col min="8430" max="8430" width="7.5703125" style="215" customWidth="1"/>
    <col min="8431" max="8431" width="18.42578125" style="215" customWidth="1"/>
    <col min="8432" max="8432" width="10.85546875" style="215" bestFit="1" customWidth="1"/>
    <col min="8433" max="8685" width="8.7109375" style="215"/>
    <col min="8686" max="8686" width="7.5703125" style="215" customWidth="1"/>
    <col min="8687" max="8687" width="18.42578125" style="215" customWidth="1"/>
    <col min="8688" max="8688" width="10.85546875" style="215" bestFit="1" customWidth="1"/>
    <col min="8689" max="8941" width="8.7109375" style="215"/>
    <col min="8942" max="8942" width="7.5703125" style="215" customWidth="1"/>
    <col min="8943" max="8943" width="18.42578125" style="215" customWidth="1"/>
    <col min="8944" max="8944" width="10.85546875" style="215" bestFit="1" customWidth="1"/>
    <col min="8945" max="9197" width="8.7109375" style="215"/>
    <col min="9198" max="9198" width="7.5703125" style="215" customWidth="1"/>
    <col min="9199" max="9199" width="18.42578125" style="215" customWidth="1"/>
    <col min="9200" max="9200" width="10.85546875" style="215" bestFit="1" customWidth="1"/>
    <col min="9201" max="9453" width="8.7109375" style="215"/>
    <col min="9454" max="9454" width="7.5703125" style="215" customWidth="1"/>
    <col min="9455" max="9455" width="18.42578125" style="215" customWidth="1"/>
    <col min="9456" max="9456" width="10.85546875" style="215" bestFit="1" customWidth="1"/>
    <col min="9457" max="9709" width="8.7109375" style="215"/>
    <col min="9710" max="9710" width="7.5703125" style="215" customWidth="1"/>
    <col min="9711" max="9711" width="18.42578125" style="215" customWidth="1"/>
    <col min="9712" max="9712" width="10.85546875" style="215" bestFit="1" customWidth="1"/>
    <col min="9713" max="9965" width="8.7109375" style="215"/>
    <col min="9966" max="9966" width="7.5703125" style="215" customWidth="1"/>
    <col min="9967" max="9967" width="18.42578125" style="215" customWidth="1"/>
    <col min="9968" max="9968" width="10.85546875" style="215" bestFit="1" customWidth="1"/>
    <col min="9969" max="10221" width="8.7109375" style="215"/>
    <col min="10222" max="10222" width="7.5703125" style="215" customWidth="1"/>
    <col min="10223" max="10223" width="18.42578125" style="215" customWidth="1"/>
    <col min="10224" max="10224" width="10.85546875" style="215" bestFit="1" customWidth="1"/>
    <col min="10225" max="10477" width="8.7109375" style="215"/>
    <col min="10478" max="10478" width="7.5703125" style="215" customWidth="1"/>
    <col min="10479" max="10479" width="18.42578125" style="215" customWidth="1"/>
    <col min="10480" max="10480" width="10.85546875" style="215" bestFit="1" customWidth="1"/>
    <col min="10481" max="10733" width="8.7109375" style="215"/>
    <col min="10734" max="10734" width="7.5703125" style="215" customWidth="1"/>
    <col min="10735" max="10735" width="18.42578125" style="215" customWidth="1"/>
    <col min="10736" max="10736" width="10.85546875" style="215" bestFit="1" customWidth="1"/>
    <col min="10737" max="10989" width="8.7109375" style="215"/>
    <col min="10990" max="10990" width="7.5703125" style="215" customWidth="1"/>
    <col min="10991" max="10991" width="18.42578125" style="215" customWidth="1"/>
    <col min="10992" max="10992" width="10.85546875" style="215" bestFit="1" customWidth="1"/>
    <col min="10993" max="11245" width="8.7109375" style="215"/>
    <col min="11246" max="11246" width="7.5703125" style="215" customWidth="1"/>
    <col min="11247" max="11247" width="18.42578125" style="215" customWidth="1"/>
    <col min="11248" max="11248" width="10.85546875" style="215" bestFit="1" customWidth="1"/>
    <col min="11249" max="11501" width="8.7109375" style="215"/>
    <col min="11502" max="11502" width="7.5703125" style="215" customWidth="1"/>
    <col min="11503" max="11503" width="18.42578125" style="215" customWidth="1"/>
    <col min="11504" max="11504" width="10.85546875" style="215" bestFit="1" customWidth="1"/>
    <col min="11505" max="11757" width="8.7109375" style="215"/>
    <col min="11758" max="11758" width="7.5703125" style="215" customWidth="1"/>
    <col min="11759" max="11759" width="18.42578125" style="215" customWidth="1"/>
    <col min="11760" max="11760" width="10.85546875" style="215" bestFit="1" customWidth="1"/>
    <col min="11761" max="12013" width="8.7109375" style="215"/>
    <col min="12014" max="12014" width="7.5703125" style="215" customWidth="1"/>
    <col min="12015" max="12015" width="18.42578125" style="215" customWidth="1"/>
    <col min="12016" max="12016" width="10.85546875" style="215" bestFit="1" customWidth="1"/>
    <col min="12017" max="12269" width="8.7109375" style="215"/>
    <col min="12270" max="12270" width="7.5703125" style="215" customWidth="1"/>
    <col min="12271" max="12271" width="18.42578125" style="215" customWidth="1"/>
    <col min="12272" max="12272" width="10.85546875" style="215" bestFit="1" customWidth="1"/>
    <col min="12273" max="12525" width="8.7109375" style="215"/>
    <col min="12526" max="12526" width="7.5703125" style="215" customWidth="1"/>
    <col min="12527" max="12527" width="18.42578125" style="215" customWidth="1"/>
    <col min="12528" max="12528" width="10.85546875" style="215" bestFit="1" customWidth="1"/>
    <col min="12529" max="12781" width="8.7109375" style="215"/>
    <col min="12782" max="12782" width="7.5703125" style="215" customWidth="1"/>
    <col min="12783" max="12783" width="18.42578125" style="215" customWidth="1"/>
    <col min="12784" max="12784" width="10.85546875" style="215" bestFit="1" customWidth="1"/>
    <col min="12785" max="13037" width="8.7109375" style="215"/>
    <col min="13038" max="13038" width="7.5703125" style="215" customWidth="1"/>
    <col min="13039" max="13039" width="18.42578125" style="215" customWidth="1"/>
    <col min="13040" max="13040" width="10.85546875" style="215" bestFit="1" customWidth="1"/>
    <col min="13041" max="13293" width="8.7109375" style="215"/>
    <col min="13294" max="13294" width="7.5703125" style="215" customWidth="1"/>
    <col min="13295" max="13295" width="18.42578125" style="215" customWidth="1"/>
    <col min="13296" max="13296" width="10.85546875" style="215" bestFit="1" customWidth="1"/>
    <col min="13297" max="13549" width="8.7109375" style="215"/>
    <col min="13550" max="13550" width="7.5703125" style="215" customWidth="1"/>
    <col min="13551" max="13551" width="18.42578125" style="215" customWidth="1"/>
    <col min="13552" max="13552" width="10.85546875" style="215" bestFit="1" customWidth="1"/>
    <col min="13553" max="13805" width="8.7109375" style="215"/>
    <col min="13806" max="13806" width="7.5703125" style="215" customWidth="1"/>
    <col min="13807" max="13807" width="18.42578125" style="215" customWidth="1"/>
    <col min="13808" max="13808" width="10.85546875" style="215" bestFit="1" customWidth="1"/>
    <col min="13809" max="14061" width="8.7109375" style="215"/>
    <col min="14062" max="14062" width="7.5703125" style="215" customWidth="1"/>
    <col min="14063" max="14063" width="18.42578125" style="215" customWidth="1"/>
    <col min="14064" max="14064" width="10.85546875" style="215" bestFit="1" customWidth="1"/>
    <col min="14065" max="14317" width="8.7109375" style="215"/>
    <col min="14318" max="14318" width="7.5703125" style="215" customWidth="1"/>
    <col min="14319" max="14319" width="18.42578125" style="215" customWidth="1"/>
    <col min="14320" max="14320" width="10.85546875" style="215" bestFit="1" customWidth="1"/>
    <col min="14321" max="14573" width="8.7109375" style="215"/>
    <col min="14574" max="14574" width="7.5703125" style="215" customWidth="1"/>
    <col min="14575" max="14575" width="18.42578125" style="215" customWidth="1"/>
    <col min="14576" max="14576" width="10.85546875" style="215" bestFit="1" customWidth="1"/>
    <col min="14577" max="14829" width="8.7109375" style="215"/>
    <col min="14830" max="14830" width="7.5703125" style="215" customWidth="1"/>
    <col min="14831" max="14831" width="18.42578125" style="215" customWidth="1"/>
    <col min="14832" max="14832" width="10.85546875" style="215" bestFit="1" customWidth="1"/>
    <col min="14833" max="15085" width="8.7109375" style="215"/>
    <col min="15086" max="15086" width="7.5703125" style="215" customWidth="1"/>
    <col min="15087" max="15087" width="18.42578125" style="215" customWidth="1"/>
    <col min="15088" max="15088" width="10.85546875" style="215" bestFit="1" customWidth="1"/>
    <col min="15089" max="15341" width="8.7109375" style="215"/>
    <col min="15342" max="15342" width="7.5703125" style="215" customWidth="1"/>
    <col min="15343" max="15343" width="18.42578125" style="215" customWidth="1"/>
    <col min="15344" max="15344" width="10.85546875" style="215" bestFit="1" customWidth="1"/>
    <col min="15345" max="15597" width="8.7109375" style="215"/>
    <col min="15598" max="15598" width="7.5703125" style="215" customWidth="1"/>
    <col min="15599" max="15599" width="18.42578125" style="215" customWidth="1"/>
    <col min="15600" max="15600" width="10.85546875" style="215" bestFit="1" customWidth="1"/>
    <col min="15601" max="15853" width="8.7109375" style="215"/>
    <col min="15854" max="15854" width="7.5703125" style="215" customWidth="1"/>
    <col min="15855" max="15855" width="18.42578125" style="215" customWidth="1"/>
    <col min="15856" max="15856" width="10.85546875" style="215" bestFit="1" customWidth="1"/>
    <col min="15857" max="16109" width="8.7109375" style="215"/>
    <col min="16110" max="16110" width="7.5703125" style="215" customWidth="1"/>
    <col min="16111" max="16111" width="18.42578125" style="215" customWidth="1"/>
    <col min="16112" max="16112" width="10.85546875" style="215" bestFit="1" customWidth="1"/>
    <col min="16113" max="16358" width="8.7109375" style="215"/>
    <col min="16359" max="16384" width="8.85546875" style="215" customWidth="1"/>
  </cols>
  <sheetData>
    <row r="1" spans="2:10" ht="15.75" thickBot="1" x14ac:dyDescent="0.25"/>
    <row r="2" spans="2:10" ht="15.75" x14ac:dyDescent="0.25">
      <c r="B2" s="287"/>
      <c r="C2" s="288"/>
      <c r="D2" s="288"/>
      <c r="E2" s="288"/>
      <c r="F2" s="288"/>
      <c r="G2" s="288"/>
      <c r="H2" s="288"/>
      <c r="I2" s="289"/>
    </row>
    <row r="3" spans="2:10" ht="15.75" x14ac:dyDescent="0.25">
      <c r="B3" s="290" t="s">
        <v>246</v>
      </c>
      <c r="C3" s="291"/>
      <c r="D3" s="291"/>
      <c r="E3" s="291"/>
      <c r="F3" s="291"/>
      <c r="G3" s="291"/>
      <c r="H3" s="291"/>
      <c r="I3" s="292"/>
    </row>
    <row r="4" spans="2:10" ht="15" customHeight="1" thickBot="1" x14ac:dyDescent="0.3">
      <c r="B4" s="290" t="s">
        <v>247</v>
      </c>
      <c r="C4" s="291"/>
      <c r="D4" s="291"/>
      <c r="E4" s="291"/>
      <c r="F4" s="291"/>
      <c r="G4" s="291"/>
      <c r="H4" s="291"/>
      <c r="I4" s="292"/>
    </row>
    <row r="5" spans="2:10" s="216" customFormat="1" ht="15.75" customHeight="1" thickBot="1" x14ac:dyDescent="0.3">
      <c r="B5" s="300" t="s">
        <v>39</v>
      </c>
      <c r="C5" s="301"/>
      <c r="D5" s="301"/>
      <c r="E5" s="301"/>
      <c r="F5" s="301"/>
      <c r="G5" s="301"/>
      <c r="H5" s="301"/>
      <c r="I5" s="302"/>
    </row>
    <row r="6" spans="2:10" x14ac:dyDescent="0.2">
      <c r="B6" s="217" t="s">
        <v>40</v>
      </c>
      <c r="C6" s="218"/>
      <c r="D6" s="218"/>
      <c r="E6" s="218"/>
      <c r="F6" s="219"/>
      <c r="G6" s="269" t="s">
        <v>41</v>
      </c>
      <c r="H6" s="270"/>
      <c r="I6" s="298" t="s">
        <v>261</v>
      </c>
    </row>
    <row r="7" spans="2:10" ht="16.5" thickBot="1" x14ac:dyDescent="0.3">
      <c r="B7" s="244" t="s">
        <v>0</v>
      </c>
      <c r="C7" s="258"/>
      <c r="D7" s="258"/>
      <c r="E7" s="258"/>
      <c r="F7" s="221"/>
      <c r="G7" s="271"/>
      <c r="H7" s="272"/>
      <c r="I7" s="299"/>
    </row>
    <row r="8" spans="2:10" x14ac:dyDescent="0.2">
      <c r="B8" s="236" t="s">
        <v>248</v>
      </c>
      <c r="C8" s="259"/>
      <c r="D8" s="259"/>
      <c r="E8" s="259"/>
      <c r="F8" s="223"/>
      <c r="G8" s="269" t="s">
        <v>42</v>
      </c>
      <c r="H8" s="270"/>
      <c r="I8" s="304" t="s">
        <v>260</v>
      </c>
    </row>
    <row r="9" spans="2:10" ht="15.75" thickBot="1" x14ac:dyDescent="0.25">
      <c r="B9" s="236" t="s">
        <v>249</v>
      </c>
      <c r="C9" s="259"/>
      <c r="D9" s="259"/>
      <c r="E9" s="259"/>
      <c r="F9" s="223"/>
      <c r="G9" s="271"/>
      <c r="H9" s="272"/>
      <c r="I9" s="299"/>
    </row>
    <row r="10" spans="2:10" ht="15.75" customHeight="1" x14ac:dyDescent="0.2">
      <c r="B10" s="236" t="s">
        <v>250</v>
      </c>
      <c r="C10" s="259"/>
      <c r="D10" s="259"/>
      <c r="E10" s="259"/>
      <c r="F10" s="223"/>
      <c r="G10" s="269" t="s">
        <v>44</v>
      </c>
      <c r="H10" s="270"/>
      <c r="I10" s="303" t="s">
        <v>45</v>
      </c>
    </row>
    <row r="11" spans="2:10" ht="16.5" thickBot="1" x14ac:dyDescent="0.3">
      <c r="B11" s="245" t="s">
        <v>43</v>
      </c>
      <c r="C11" s="224"/>
      <c r="D11" s="224"/>
      <c r="E11" s="224"/>
      <c r="F11" s="225"/>
      <c r="G11" s="271"/>
      <c r="H11" s="272"/>
      <c r="I11" s="299"/>
    </row>
    <row r="12" spans="2:10" x14ac:dyDescent="0.2">
      <c r="B12" s="220" t="s">
        <v>46</v>
      </c>
      <c r="C12" s="259"/>
      <c r="D12" s="259"/>
      <c r="E12" s="259"/>
      <c r="F12" s="259"/>
      <c r="G12" s="269" t="s">
        <v>251</v>
      </c>
      <c r="H12" s="270"/>
      <c r="I12" s="303">
        <v>998519</v>
      </c>
    </row>
    <row r="13" spans="2:10" ht="16.5" thickBot="1" x14ac:dyDescent="0.3">
      <c r="B13" s="244" t="s">
        <v>252</v>
      </c>
      <c r="C13" s="259"/>
      <c r="D13" s="259"/>
      <c r="E13" s="259"/>
      <c r="F13" s="259"/>
      <c r="G13" s="271"/>
      <c r="H13" s="272"/>
      <c r="I13" s="299"/>
    </row>
    <row r="14" spans="2:10" x14ac:dyDescent="0.2">
      <c r="B14" s="236" t="s">
        <v>253</v>
      </c>
      <c r="C14" s="259"/>
      <c r="D14" s="259"/>
      <c r="E14" s="259"/>
      <c r="F14" s="259"/>
      <c r="G14" s="269" t="s">
        <v>47</v>
      </c>
      <c r="H14" s="270"/>
      <c r="I14" s="273" t="s">
        <v>48</v>
      </c>
      <c r="J14" s="226"/>
    </row>
    <row r="15" spans="2:10" ht="15.75" thickBot="1" x14ac:dyDescent="0.25">
      <c r="B15" s="236" t="s">
        <v>254</v>
      </c>
      <c r="C15" s="259"/>
      <c r="D15" s="259"/>
      <c r="E15" s="259"/>
      <c r="F15" s="259"/>
      <c r="G15" s="271"/>
      <c r="H15" s="272"/>
      <c r="I15" s="274"/>
    </row>
    <row r="16" spans="2:10" ht="15.75" x14ac:dyDescent="0.25">
      <c r="B16" s="244" t="s">
        <v>51</v>
      </c>
      <c r="C16" s="259"/>
      <c r="D16" s="259"/>
      <c r="E16" s="259"/>
      <c r="F16" s="259"/>
      <c r="G16" s="269" t="s">
        <v>49</v>
      </c>
      <c r="H16" s="270"/>
      <c r="I16" s="277" t="s">
        <v>50</v>
      </c>
    </row>
    <row r="17" spans="2:11" ht="15.6" customHeight="1" thickBot="1" x14ac:dyDescent="0.25">
      <c r="B17" s="222"/>
      <c r="C17" s="259"/>
      <c r="D17" s="259"/>
      <c r="E17" s="259"/>
      <c r="F17" s="259"/>
      <c r="G17" s="275"/>
      <c r="H17" s="276"/>
      <c r="I17" s="278"/>
    </row>
    <row r="18" spans="2:11" ht="21.75" customHeight="1" thickBot="1" x14ac:dyDescent="0.3">
      <c r="B18" s="279" t="s">
        <v>52</v>
      </c>
      <c r="C18" s="280"/>
      <c r="D18" s="280"/>
      <c r="E18" s="280"/>
      <c r="F18" s="280"/>
      <c r="G18" s="280"/>
      <c r="H18" s="280"/>
      <c r="I18" s="227" t="s">
        <v>53</v>
      </c>
    </row>
    <row r="19" spans="2:11" ht="15.6" customHeight="1" x14ac:dyDescent="0.25">
      <c r="B19" s="228"/>
      <c r="C19" s="260"/>
      <c r="D19" s="260"/>
      <c r="E19" s="260"/>
      <c r="F19" s="260"/>
      <c r="G19" s="260"/>
      <c r="H19" s="260"/>
      <c r="I19" s="229"/>
    </row>
    <row r="20" spans="2:11" ht="15.95" customHeight="1" x14ac:dyDescent="0.25">
      <c r="B20" s="230" t="s">
        <v>255</v>
      </c>
      <c r="C20" s="261"/>
      <c r="D20" s="261"/>
      <c r="E20" s="261"/>
      <c r="F20" s="261"/>
      <c r="G20" s="261"/>
      <c r="H20" s="261"/>
      <c r="I20" s="231">
        <f>BREAKUP!F9</f>
        <v>1288467.10640625</v>
      </c>
    </row>
    <row r="21" spans="2:11" ht="18" x14ac:dyDescent="0.25">
      <c r="B21" s="230" t="s">
        <v>262</v>
      </c>
      <c r="C21" s="261"/>
      <c r="D21" s="261"/>
      <c r="E21" s="261"/>
      <c r="F21" s="261"/>
      <c r="G21" s="261"/>
      <c r="H21" s="261"/>
      <c r="I21" s="232"/>
      <c r="K21" s="233"/>
    </row>
    <row r="22" spans="2:11" ht="23.25" customHeight="1" x14ac:dyDescent="0.25">
      <c r="B22" s="234"/>
      <c r="C22" s="262"/>
      <c r="D22" s="262"/>
      <c r="E22" s="262"/>
      <c r="F22" s="262"/>
      <c r="G22" s="262"/>
      <c r="H22" s="262"/>
      <c r="I22" s="235"/>
    </row>
    <row r="23" spans="2:11" ht="18" x14ac:dyDescent="0.25">
      <c r="B23" s="236" t="s">
        <v>54</v>
      </c>
      <c r="I23" s="237">
        <f>+I20*9%</f>
        <v>115962.0395765625</v>
      </c>
    </row>
    <row r="24" spans="2:11" ht="20.25" customHeight="1" x14ac:dyDescent="0.25">
      <c r="B24" s="236"/>
      <c r="I24" s="232"/>
    </row>
    <row r="25" spans="2:11" ht="18" x14ac:dyDescent="0.25">
      <c r="B25" s="236" t="s">
        <v>55</v>
      </c>
      <c r="I25" s="237">
        <f>+I20*9%</f>
        <v>115962.0395765625</v>
      </c>
    </row>
    <row r="26" spans="2:11" ht="18" x14ac:dyDescent="0.25">
      <c r="B26" s="236"/>
      <c r="I26" s="232"/>
    </row>
    <row r="27" spans="2:11" ht="15.6" customHeight="1" thickBot="1" x14ac:dyDescent="0.3">
      <c r="B27" s="236"/>
      <c r="I27" s="238">
        <f>SUM(I20:I26)</f>
        <v>1520391.1855593752</v>
      </c>
    </row>
    <row r="28" spans="2:11" ht="15.95" customHeight="1" thickTop="1" thickBot="1" x14ac:dyDescent="0.3">
      <c r="B28" s="236"/>
      <c r="I28" s="232"/>
    </row>
    <row r="29" spans="2:11" ht="39" customHeight="1" x14ac:dyDescent="0.2">
      <c r="B29" s="281" t="s">
        <v>256</v>
      </c>
      <c r="C29" s="282"/>
      <c r="D29" s="282"/>
      <c r="E29" s="282"/>
      <c r="F29" s="282"/>
      <c r="G29" s="282"/>
      <c r="H29" s="282"/>
      <c r="I29" s="285">
        <f>I27</f>
        <v>1520391.1855593752</v>
      </c>
    </row>
    <row r="30" spans="2:11" ht="15.75" thickBot="1" x14ac:dyDescent="0.25">
      <c r="B30" s="283"/>
      <c r="C30" s="284"/>
      <c r="D30" s="284"/>
      <c r="E30" s="284"/>
      <c r="F30" s="284"/>
      <c r="G30" s="284"/>
      <c r="H30" s="284"/>
      <c r="I30" s="286"/>
    </row>
    <row r="31" spans="2:11" ht="15.75" thickBot="1" x14ac:dyDescent="0.25">
      <c r="B31" s="293" t="str">
        <f>BREAKUP!B13</f>
        <v>RUPEES : Fifteen Lakh Twenty Thousand Three Hundred And Ninety One only/-</v>
      </c>
      <c r="C31" s="294"/>
      <c r="D31" s="294"/>
      <c r="E31" s="294"/>
      <c r="F31" s="294"/>
      <c r="G31" s="294"/>
      <c r="H31" s="294"/>
      <c r="I31" s="295"/>
    </row>
    <row r="32" spans="2:11" x14ac:dyDescent="0.2">
      <c r="B32" s="236"/>
      <c r="I32" s="239"/>
    </row>
    <row r="33" spans="2:9" ht="15.75" x14ac:dyDescent="0.25">
      <c r="B33" s="236"/>
      <c r="D33" s="296"/>
      <c r="E33" s="296"/>
      <c r="F33" s="296"/>
      <c r="G33" s="296"/>
      <c r="H33" s="296"/>
      <c r="I33" s="297"/>
    </row>
    <row r="34" spans="2:9" ht="15.75" x14ac:dyDescent="0.25">
      <c r="B34" s="236"/>
      <c r="D34" s="263"/>
      <c r="E34" s="263"/>
      <c r="F34" s="263"/>
      <c r="G34" s="263"/>
      <c r="H34" s="263"/>
      <c r="I34" s="240"/>
    </row>
    <row r="35" spans="2:9" ht="16.5" thickBot="1" x14ac:dyDescent="0.3">
      <c r="B35" s="241"/>
      <c r="C35" s="242"/>
      <c r="D35" s="243"/>
      <c r="E35" s="243"/>
      <c r="F35" s="267"/>
      <c r="G35" s="267"/>
      <c r="H35" s="267"/>
      <c r="I35" s="268"/>
    </row>
  </sheetData>
  <mergeCells count="22">
    <mergeCell ref="B2:I2"/>
    <mergeCell ref="B3:I3"/>
    <mergeCell ref="B4:I4"/>
    <mergeCell ref="B31:I31"/>
    <mergeCell ref="D33:I33"/>
    <mergeCell ref="G6:H7"/>
    <mergeCell ref="I6:I7"/>
    <mergeCell ref="B5:I5"/>
    <mergeCell ref="G12:H13"/>
    <mergeCell ref="I12:I13"/>
    <mergeCell ref="G8:H9"/>
    <mergeCell ref="I8:I9"/>
    <mergeCell ref="G10:H11"/>
    <mergeCell ref="I10:I11"/>
    <mergeCell ref="F35:I35"/>
    <mergeCell ref="G14:H15"/>
    <mergeCell ref="I14:I15"/>
    <mergeCell ref="G16:H17"/>
    <mergeCell ref="I16:I17"/>
    <mergeCell ref="B18:H18"/>
    <mergeCell ref="B29:H30"/>
    <mergeCell ref="I29:I30"/>
  </mergeCells>
  <pageMargins left="0.59055118110236227" right="0.39370078740157483" top="1.9685039370078741" bottom="0" header="0" footer="0"/>
  <pageSetup paperSize="9" fitToHeight="0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25"/>
  <sheetViews>
    <sheetView showGridLines="0" view="pageBreakPreview" zoomScale="70" zoomScaleNormal="70" zoomScaleSheetLayoutView="70" workbookViewId="0">
      <selection activeCell="C3" sqref="C3:E3"/>
    </sheetView>
  </sheetViews>
  <sheetFormatPr defaultRowHeight="15" x14ac:dyDescent="0.2"/>
  <cols>
    <col min="1" max="1" width="6.42578125" style="94" customWidth="1"/>
    <col min="2" max="2" width="7.85546875" style="94" customWidth="1"/>
    <col min="3" max="3" width="58.5703125" style="94" customWidth="1"/>
    <col min="4" max="4" width="6.140625" style="94" bestFit="1" customWidth="1"/>
    <col min="5" max="5" width="16.85546875" style="94" customWidth="1"/>
    <col min="6" max="6" width="33.42578125" style="94" customWidth="1"/>
    <col min="7" max="8" width="11.5703125" style="94" bestFit="1" customWidth="1"/>
    <col min="9" max="14" width="9.140625" style="94"/>
    <col min="15" max="15" width="9.140625" style="94" customWidth="1"/>
    <col min="16" max="253" width="9.140625" style="94"/>
    <col min="254" max="254" width="7.85546875" style="94" customWidth="1"/>
    <col min="255" max="255" width="60.5703125" style="94" customWidth="1"/>
    <col min="256" max="256" width="8.85546875" style="94" customWidth="1"/>
    <col min="257" max="257" width="18.140625" style="94" customWidth="1"/>
    <col min="258" max="258" width="9.140625" style="94"/>
    <col min="259" max="259" width="12.140625" style="94" bestFit="1" customWidth="1"/>
    <col min="260" max="509" width="9.140625" style="94"/>
    <col min="510" max="510" width="7.85546875" style="94" customWidth="1"/>
    <col min="511" max="511" width="60.5703125" style="94" customWidth="1"/>
    <col min="512" max="512" width="8.85546875" style="94" customWidth="1"/>
    <col min="513" max="513" width="18.140625" style="94" customWidth="1"/>
    <col min="514" max="514" width="9.140625" style="94"/>
    <col min="515" max="515" width="12.140625" style="94" bestFit="1" customWidth="1"/>
    <col min="516" max="765" width="9.140625" style="94"/>
    <col min="766" max="766" width="7.85546875" style="94" customWidth="1"/>
    <col min="767" max="767" width="60.5703125" style="94" customWidth="1"/>
    <col min="768" max="768" width="8.85546875" style="94" customWidth="1"/>
    <col min="769" max="769" width="18.140625" style="94" customWidth="1"/>
    <col min="770" max="770" width="9.140625" style="94"/>
    <col min="771" max="771" width="12.140625" style="94" bestFit="1" customWidth="1"/>
    <col min="772" max="1021" width="9.140625" style="94"/>
    <col min="1022" max="1022" width="7.85546875" style="94" customWidth="1"/>
    <col min="1023" max="1023" width="60.5703125" style="94" customWidth="1"/>
    <col min="1024" max="1024" width="8.85546875" style="94" customWidth="1"/>
    <col min="1025" max="1025" width="18.140625" style="94" customWidth="1"/>
    <col min="1026" max="1026" width="9.140625" style="94"/>
    <col min="1027" max="1027" width="12.140625" style="94" bestFit="1" customWidth="1"/>
    <col min="1028" max="1277" width="9.140625" style="94"/>
    <col min="1278" max="1278" width="7.85546875" style="94" customWidth="1"/>
    <col min="1279" max="1279" width="60.5703125" style="94" customWidth="1"/>
    <col min="1280" max="1280" width="8.85546875" style="94" customWidth="1"/>
    <col min="1281" max="1281" width="18.140625" style="94" customWidth="1"/>
    <col min="1282" max="1282" width="9.140625" style="94"/>
    <col min="1283" max="1283" width="12.140625" style="94" bestFit="1" customWidth="1"/>
    <col min="1284" max="1533" width="9.140625" style="94"/>
    <col min="1534" max="1534" width="7.85546875" style="94" customWidth="1"/>
    <col min="1535" max="1535" width="60.5703125" style="94" customWidth="1"/>
    <col min="1536" max="1536" width="8.85546875" style="94" customWidth="1"/>
    <col min="1537" max="1537" width="18.140625" style="94" customWidth="1"/>
    <col min="1538" max="1538" width="9.140625" style="94"/>
    <col min="1539" max="1539" width="12.140625" style="94" bestFit="1" customWidth="1"/>
    <col min="1540" max="1789" width="9.140625" style="94"/>
    <col min="1790" max="1790" width="7.85546875" style="94" customWidth="1"/>
    <col min="1791" max="1791" width="60.5703125" style="94" customWidth="1"/>
    <col min="1792" max="1792" width="8.85546875" style="94" customWidth="1"/>
    <col min="1793" max="1793" width="18.140625" style="94" customWidth="1"/>
    <col min="1794" max="1794" width="9.140625" style="94"/>
    <col min="1795" max="1795" width="12.140625" style="94" bestFit="1" customWidth="1"/>
    <col min="1796" max="2045" width="9.140625" style="94"/>
    <col min="2046" max="2046" width="7.85546875" style="94" customWidth="1"/>
    <col min="2047" max="2047" width="60.5703125" style="94" customWidth="1"/>
    <col min="2048" max="2048" width="8.85546875" style="94" customWidth="1"/>
    <col min="2049" max="2049" width="18.140625" style="94" customWidth="1"/>
    <col min="2050" max="2050" width="9.140625" style="94"/>
    <col min="2051" max="2051" width="12.140625" style="94" bestFit="1" customWidth="1"/>
    <col min="2052" max="2301" width="9.140625" style="94"/>
    <col min="2302" max="2302" width="7.85546875" style="94" customWidth="1"/>
    <col min="2303" max="2303" width="60.5703125" style="94" customWidth="1"/>
    <col min="2304" max="2304" width="8.85546875" style="94" customWidth="1"/>
    <col min="2305" max="2305" width="18.140625" style="94" customWidth="1"/>
    <col min="2306" max="2306" width="9.140625" style="94"/>
    <col min="2307" max="2307" width="12.140625" style="94" bestFit="1" customWidth="1"/>
    <col min="2308" max="2557" width="9.140625" style="94"/>
    <col min="2558" max="2558" width="7.85546875" style="94" customWidth="1"/>
    <col min="2559" max="2559" width="60.5703125" style="94" customWidth="1"/>
    <col min="2560" max="2560" width="8.85546875" style="94" customWidth="1"/>
    <col min="2561" max="2561" width="18.140625" style="94" customWidth="1"/>
    <col min="2562" max="2562" width="9.140625" style="94"/>
    <col min="2563" max="2563" width="12.140625" style="94" bestFit="1" customWidth="1"/>
    <col min="2564" max="2813" width="9.140625" style="94"/>
    <col min="2814" max="2814" width="7.85546875" style="94" customWidth="1"/>
    <col min="2815" max="2815" width="60.5703125" style="94" customWidth="1"/>
    <col min="2816" max="2816" width="8.85546875" style="94" customWidth="1"/>
    <col min="2817" max="2817" width="18.140625" style="94" customWidth="1"/>
    <col min="2818" max="2818" width="9.140625" style="94"/>
    <col min="2819" max="2819" width="12.140625" style="94" bestFit="1" customWidth="1"/>
    <col min="2820" max="3069" width="9.140625" style="94"/>
    <col min="3070" max="3070" width="7.85546875" style="94" customWidth="1"/>
    <col min="3071" max="3071" width="60.5703125" style="94" customWidth="1"/>
    <col min="3072" max="3072" width="8.85546875" style="94" customWidth="1"/>
    <col min="3073" max="3073" width="18.140625" style="94" customWidth="1"/>
    <col min="3074" max="3074" width="9.140625" style="94"/>
    <col min="3075" max="3075" width="12.140625" style="94" bestFit="1" customWidth="1"/>
    <col min="3076" max="3325" width="9.140625" style="94"/>
    <col min="3326" max="3326" width="7.85546875" style="94" customWidth="1"/>
    <col min="3327" max="3327" width="60.5703125" style="94" customWidth="1"/>
    <col min="3328" max="3328" width="8.85546875" style="94" customWidth="1"/>
    <col min="3329" max="3329" width="18.140625" style="94" customWidth="1"/>
    <col min="3330" max="3330" width="9.140625" style="94"/>
    <col min="3331" max="3331" width="12.140625" style="94" bestFit="1" customWidth="1"/>
    <col min="3332" max="3581" width="9.140625" style="94"/>
    <col min="3582" max="3582" width="7.85546875" style="94" customWidth="1"/>
    <col min="3583" max="3583" width="60.5703125" style="94" customWidth="1"/>
    <col min="3584" max="3584" width="8.85546875" style="94" customWidth="1"/>
    <col min="3585" max="3585" width="18.140625" style="94" customWidth="1"/>
    <col min="3586" max="3586" width="9.140625" style="94"/>
    <col min="3587" max="3587" width="12.140625" style="94" bestFit="1" customWidth="1"/>
    <col min="3588" max="3837" width="9.140625" style="94"/>
    <col min="3838" max="3838" width="7.85546875" style="94" customWidth="1"/>
    <col min="3839" max="3839" width="60.5703125" style="94" customWidth="1"/>
    <col min="3840" max="3840" width="8.85546875" style="94" customWidth="1"/>
    <col min="3841" max="3841" width="18.140625" style="94" customWidth="1"/>
    <col min="3842" max="3842" width="9.140625" style="94"/>
    <col min="3843" max="3843" width="12.140625" style="94" bestFit="1" customWidth="1"/>
    <col min="3844" max="4093" width="9.140625" style="94"/>
    <col min="4094" max="4094" width="7.85546875" style="94" customWidth="1"/>
    <col min="4095" max="4095" width="60.5703125" style="94" customWidth="1"/>
    <col min="4096" max="4096" width="8.85546875" style="94" customWidth="1"/>
    <col min="4097" max="4097" width="18.140625" style="94" customWidth="1"/>
    <col min="4098" max="4098" width="9.140625" style="94"/>
    <col min="4099" max="4099" width="12.140625" style="94" bestFit="1" customWidth="1"/>
    <col min="4100" max="4349" width="9.140625" style="94"/>
    <col min="4350" max="4350" width="7.85546875" style="94" customWidth="1"/>
    <col min="4351" max="4351" width="60.5703125" style="94" customWidth="1"/>
    <col min="4352" max="4352" width="8.85546875" style="94" customWidth="1"/>
    <col min="4353" max="4353" width="18.140625" style="94" customWidth="1"/>
    <col min="4354" max="4354" width="9.140625" style="94"/>
    <col min="4355" max="4355" width="12.140625" style="94" bestFit="1" customWidth="1"/>
    <col min="4356" max="4605" width="9.140625" style="94"/>
    <col min="4606" max="4606" width="7.85546875" style="94" customWidth="1"/>
    <col min="4607" max="4607" width="60.5703125" style="94" customWidth="1"/>
    <col min="4608" max="4608" width="8.85546875" style="94" customWidth="1"/>
    <col min="4609" max="4609" width="18.140625" style="94" customWidth="1"/>
    <col min="4610" max="4610" width="9.140625" style="94"/>
    <col min="4611" max="4611" width="12.140625" style="94" bestFit="1" customWidth="1"/>
    <col min="4612" max="4861" width="9.140625" style="94"/>
    <col min="4862" max="4862" width="7.85546875" style="94" customWidth="1"/>
    <col min="4863" max="4863" width="60.5703125" style="94" customWidth="1"/>
    <col min="4864" max="4864" width="8.85546875" style="94" customWidth="1"/>
    <col min="4865" max="4865" width="18.140625" style="94" customWidth="1"/>
    <col min="4866" max="4866" width="9.140625" style="94"/>
    <col min="4867" max="4867" width="12.140625" style="94" bestFit="1" customWidth="1"/>
    <col min="4868" max="5117" width="9.140625" style="94"/>
    <col min="5118" max="5118" width="7.85546875" style="94" customWidth="1"/>
    <col min="5119" max="5119" width="60.5703125" style="94" customWidth="1"/>
    <col min="5120" max="5120" width="8.85546875" style="94" customWidth="1"/>
    <col min="5121" max="5121" width="18.140625" style="94" customWidth="1"/>
    <col min="5122" max="5122" width="9.140625" style="94"/>
    <col min="5123" max="5123" width="12.140625" style="94" bestFit="1" customWidth="1"/>
    <col min="5124" max="5373" width="9.140625" style="94"/>
    <col min="5374" max="5374" width="7.85546875" style="94" customWidth="1"/>
    <col min="5375" max="5375" width="60.5703125" style="94" customWidth="1"/>
    <col min="5376" max="5376" width="8.85546875" style="94" customWidth="1"/>
    <col min="5377" max="5377" width="18.140625" style="94" customWidth="1"/>
    <col min="5378" max="5378" width="9.140625" style="94"/>
    <col min="5379" max="5379" width="12.140625" style="94" bestFit="1" customWidth="1"/>
    <col min="5380" max="5629" width="9.140625" style="94"/>
    <col min="5630" max="5630" width="7.85546875" style="94" customWidth="1"/>
    <col min="5631" max="5631" width="60.5703125" style="94" customWidth="1"/>
    <col min="5632" max="5632" width="8.85546875" style="94" customWidth="1"/>
    <col min="5633" max="5633" width="18.140625" style="94" customWidth="1"/>
    <col min="5634" max="5634" width="9.140625" style="94"/>
    <col min="5635" max="5635" width="12.140625" style="94" bestFit="1" customWidth="1"/>
    <col min="5636" max="5885" width="9.140625" style="94"/>
    <col min="5886" max="5886" width="7.85546875" style="94" customWidth="1"/>
    <col min="5887" max="5887" width="60.5703125" style="94" customWidth="1"/>
    <col min="5888" max="5888" width="8.85546875" style="94" customWidth="1"/>
    <col min="5889" max="5889" width="18.140625" style="94" customWidth="1"/>
    <col min="5890" max="5890" width="9.140625" style="94"/>
    <col min="5891" max="5891" width="12.140625" style="94" bestFit="1" customWidth="1"/>
    <col min="5892" max="6141" width="9.140625" style="94"/>
    <col min="6142" max="6142" width="7.85546875" style="94" customWidth="1"/>
    <col min="6143" max="6143" width="60.5703125" style="94" customWidth="1"/>
    <col min="6144" max="6144" width="8.85546875" style="94" customWidth="1"/>
    <col min="6145" max="6145" width="18.140625" style="94" customWidth="1"/>
    <col min="6146" max="6146" width="9.140625" style="94"/>
    <col min="6147" max="6147" width="12.140625" style="94" bestFit="1" customWidth="1"/>
    <col min="6148" max="6397" width="9.140625" style="94"/>
    <col min="6398" max="6398" width="7.85546875" style="94" customWidth="1"/>
    <col min="6399" max="6399" width="60.5703125" style="94" customWidth="1"/>
    <col min="6400" max="6400" width="8.85546875" style="94" customWidth="1"/>
    <col min="6401" max="6401" width="18.140625" style="94" customWidth="1"/>
    <col min="6402" max="6402" width="9.140625" style="94"/>
    <col min="6403" max="6403" width="12.140625" style="94" bestFit="1" customWidth="1"/>
    <col min="6404" max="6653" width="9.140625" style="94"/>
    <col min="6654" max="6654" width="7.85546875" style="94" customWidth="1"/>
    <col min="6655" max="6655" width="60.5703125" style="94" customWidth="1"/>
    <col min="6656" max="6656" width="8.85546875" style="94" customWidth="1"/>
    <col min="6657" max="6657" width="18.140625" style="94" customWidth="1"/>
    <col min="6658" max="6658" width="9.140625" style="94"/>
    <col min="6659" max="6659" width="12.140625" style="94" bestFit="1" customWidth="1"/>
    <col min="6660" max="6909" width="9.140625" style="94"/>
    <col min="6910" max="6910" width="7.85546875" style="94" customWidth="1"/>
    <col min="6911" max="6911" width="60.5703125" style="94" customWidth="1"/>
    <col min="6912" max="6912" width="8.85546875" style="94" customWidth="1"/>
    <col min="6913" max="6913" width="18.140625" style="94" customWidth="1"/>
    <col min="6914" max="6914" width="9.140625" style="94"/>
    <col min="6915" max="6915" width="12.140625" style="94" bestFit="1" customWidth="1"/>
    <col min="6916" max="7165" width="9.140625" style="94"/>
    <col min="7166" max="7166" width="7.85546875" style="94" customWidth="1"/>
    <col min="7167" max="7167" width="60.5703125" style="94" customWidth="1"/>
    <col min="7168" max="7168" width="8.85546875" style="94" customWidth="1"/>
    <col min="7169" max="7169" width="18.140625" style="94" customWidth="1"/>
    <col min="7170" max="7170" width="9.140625" style="94"/>
    <col min="7171" max="7171" width="12.140625" style="94" bestFit="1" customWidth="1"/>
    <col min="7172" max="7421" width="9.140625" style="94"/>
    <col min="7422" max="7422" width="7.85546875" style="94" customWidth="1"/>
    <col min="7423" max="7423" width="60.5703125" style="94" customWidth="1"/>
    <col min="7424" max="7424" width="8.85546875" style="94" customWidth="1"/>
    <col min="7425" max="7425" width="18.140625" style="94" customWidth="1"/>
    <col min="7426" max="7426" width="9.140625" style="94"/>
    <col min="7427" max="7427" width="12.140625" style="94" bestFit="1" customWidth="1"/>
    <col min="7428" max="7677" width="9.140625" style="94"/>
    <col min="7678" max="7678" width="7.85546875" style="94" customWidth="1"/>
    <col min="7679" max="7679" width="60.5703125" style="94" customWidth="1"/>
    <col min="7680" max="7680" width="8.85546875" style="94" customWidth="1"/>
    <col min="7681" max="7681" width="18.140625" style="94" customWidth="1"/>
    <col min="7682" max="7682" width="9.140625" style="94"/>
    <col min="7683" max="7683" width="12.140625" style="94" bestFit="1" customWidth="1"/>
    <col min="7684" max="7933" width="9.140625" style="94"/>
    <col min="7934" max="7934" width="7.85546875" style="94" customWidth="1"/>
    <col min="7935" max="7935" width="60.5703125" style="94" customWidth="1"/>
    <col min="7936" max="7936" width="8.85546875" style="94" customWidth="1"/>
    <col min="7937" max="7937" width="18.140625" style="94" customWidth="1"/>
    <col min="7938" max="7938" width="9.140625" style="94"/>
    <col min="7939" max="7939" width="12.140625" style="94" bestFit="1" customWidth="1"/>
    <col min="7940" max="8189" width="9.140625" style="94"/>
    <col min="8190" max="8190" width="7.85546875" style="94" customWidth="1"/>
    <col min="8191" max="8191" width="60.5703125" style="94" customWidth="1"/>
    <col min="8192" max="8192" width="8.85546875" style="94" customWidth="1"/>
    <col min="8193" max="8193" width="18.140625" style="94" customWidth="1"/>
    <col min="8194" max="8194" width="9.140625" style="94"/>
    <col min="8195" max="8195" width="12.140625" style="94" bestFit="1" customWidth="1"/>
    <col min="8196" max="8445" width="9.140625" style="94"/>
    <col min="8446" max="8446" width="7.85546875" style="94" customWidth="1"/>
    <col min="8447" max="8447" width="60.5703125" style="94" customWidth="1"/>
    <col min="8448" max="8448" width="8.85546875" style="94" customWidth="1"/>
    <col min="8449" max="8449" width="18.140625" style="94" customWidth="1"/>
    <col min="8450" max="8450" width="9.140625" style="94"/>
    <col min="8451" max="8451" width="12.140625" style="94" bestFit="1" customWidth="1"/>
    <col min="8452" max="8701" width="9.140625" style="94"/>
    <col min="8702" max="8702" width="7.85546875" style="94" customWidth="1"/>
    <col min="8703" max="8703" width="60.5703125" style="94" customWidth="1"/>
    <col min="8704" max="8704" width="8.85546875" style="94" customWidth="1"/>
    <col min="8705" max="8705" width="18.140625" style="94" customWidth="1"/>
    <col min="8706" max="8706" width="9.140625" style="94"/>
    <col min="8707" max="8707" width="12.140625" style="94" bestFit="1" customWidth="1"/>
    <col min="8708" max="8957" width="9.140625" style="94"/>
    <col min="8958" max="8958" width="7.85546875" style="94" customWidth="1"/>
    <col min="8959" max="8959" width="60.5703125" style="94" customWidth="1"/>
    <col min="8960" max="8960" width="8.85546875" style="94" customWidth="1"/>
    <col min="8961" max="8961" width="18.140625" style="94" customWidth="1"/>
    <col min="8962" max="8962" width="9.140625" style="94"/>
    <col min="8963" max="8963" width="12.140625" style="94" bestFit="1" customWidth="1"/>
    <col min="8964" max="9213" width="9.140625" style="94"/>
    <col min="9214" max="9214" width="7.85546875" style="94" customWidth="1"/>
    <col min="9215" max="9215" width="60.5703125" style="94" customWidth="1"/>
    <col min="9216" max="9216" width="8.85546875" style="94" customWidth="1"/>
    <col min="9217" max="9217" width="18.140625" style="94" customWidth="1"/>
    <col min="9218" max="9218" width="9.140625" style="94"/>
    <col min="9219" max="9219" width="12.140625" style="94" bestFit="1" customWidth="1"/>
    <col min="9220" max="9469" width="9.140625" style="94"/>
    <col min="9470" max="9470" width="7.85546875" style="94" customWidth="1"/>
    <col min="9471" max="9471" width="60.5703125" style="94" customWidth="1"/>
    <col min="9472" max="9472" width="8.85546875" style="94" customWidth="1"/>
    <col min="9473" max="9473" width="18.140625" style="94" customWidth="1"/>
    <col min="9474" max="9474" width="9.140625" style="94"/>
    <col min="9475" max="9475" width="12.140625" style="94" bestFit="1" customWidth="1"/>
    <col min="9476" max="9725" width="9.140625" style="94"/>
    <col min="9726" max="9726" width="7.85546875" style="94" customWidth="1"/>
    <col min="9727" max="9727" width="60.5703125" style="94" customWidth="1"/>
    <col min="9728" max="9728" width="8.85546875" style="94" customWidth="1"/>
    <col min="9729" max="9729" width="18.140625" style="94" customWidth="1"/>
    <col min="9730" max="9730" width="9.140625" style="94"/>
    <col min="9731" max="9731" width="12.140625" style="94" bestFit="1" customWidth="1"/>
    <col min="9732" max="9981" width="9.140625" style="94"/>
    <col min="9982" max="9982" width="7.85546875" style="94" customWidth="1"/>
    <col min="9983" max="9983" width="60.5703125" style="94" customWidth="1"/>
    <col min="9984" max="9984" width="8.85546875" style="94" customWidth="1"/>
    <col min="9985" max="9985" width="18.140625" style="94" customWidth="1"/>
    <col min="9986" max="9986" width="9.140625" style="94"/>
    <col min="9987" max="9987" width="12.140625" style="94" bestFit="1" customWidth="1"/>
    <col min="9988" max="10237" width="9.140625" style="94"/>
    <col min="10238" max="10238" width="7.85546875" style="94" customWidth="1"/>
    <col min="10239" max="10239" width="60.5703125" style="94" customWidth="1"/>
    <col min="10240" max="10240" width="8.85546875" style="94" customWidth="1"/>
    <col min="10241" max="10241" width="18.140625" style="94" customWidth="1"/>
    <col min="10242" max="10242" width="9.140625" style="94"/>
    <col min="10243" max="10243" width="12.140625" style="94" bestFit="1" customWidth="1"/>
    <col min="10244" max="10493" width="9.140625" style="94"/>
    <col min="10494" max="10494" width="7.85546875" style="94" customWidth="1"/>
    <col min="10495" max="10495" width="60.5703125" style="94" customWidth="1"/>
    <col min="10496" max="10496" width="8.85546875" style="94" customWidth="1"/>
    <col min="10497" max="10497" width="18.140625" style="94" customWidth="1"/>
    <col min="10498" max="10498" width="9.140625" style="94"/>
    <col min="10499" max="10499" width="12.140625" style="94" bestFit="1" customWidth="1"/>
    <col min="10500" max="10749" width="9.140625" style="94"/>
    <col min="10750" max="10750" width="7.85546875" style="94" customWidth="1"/>
    <col min="10751" max="10751" width="60.5703125" style="94" customWidth="1"/>
    <col min="10752" max="10752" width="8.85546875" style="94" customWidth="1"/>
    <col min="10753" max="10753" width="18.140625" style="94" customWidth="1"/>
    <col min="10754" max="10754" width="9.140625" style="94"/>
    <col min="10755" max="10755" width="12.140625" style="94" bestFit="1" customWidth="1"/>
    <col min="10756" max="11005" width="9.140625" style="94"/>
    <col min="11006" max="11006" width="7.85546875" style="94" customWidth="1"/>
    <col min="11007" max="11007" width="60.5703125" style="94" customWidth="1"/>
    <col min="11008" max="11008" width="8.85546875" style="94" customWidth="1"/>
    <col min="11009" max="11009" width="18.140625" style="94" customWidth="1"/>
    <col min="11010" max="11010" width="9.140625" style="94"/>
    <col min="11011" max="11011" width="12.140625" style="94" bestFit="1" customWidth="1"/>
    <col min="11012" max="11261" width="9.140625" style="94"/>
    <col min="11262" max="11262" width="7.85546875" style="94" customWidth="1"/>
    <col min="11263" max="11263" width="60.5703125" style="94" customWidth="1"/>
    <col min="11264" max="11264" width="8.85546875" style="94" customWidth="1"/>
    <col min="11265" max="11265" width="18.140625" style="94" customWidth="1"/>
    <col min="11266" max="11266" width="9.140625" style="94"/>
    <col min="11267" max="11267" width="12.140625" style="94" bestFit="1" customWidth="1"/>
    <col min="11268" max="11517" width="9.140625" style="94"/>
    <col min="11518" max="11518" width="7.85546875" style="94" customWidth="1"/>
    <col min="11519" max="11519" width="60.5703125" style="94" customWidth="1"/>
    <col min="11520" max="11520" width="8.85546875" style="94" customWidth="1"/>
    <col min="11521" max="11521" width="18.140625" style="94" customWidth="1"/>
    <col min="11522" max="11522" width="9.140625" style="94"/>
    <col min="11523" max="11523" width="12.140625" style="94" bestFit="1" customWidth="1"/>
    <col min="11524" max="11773" width="9.140625" style="94"/>
    <col min="11774" max="11774" width="7.85546875" style="94" customWidth="1"/>
    <col min="11775" max="11775" width="60.5703125" style="94" customWidth="1"/>
    <col min="11776" max="11776" width="8.85546875" style="94" customWidth="1"/>
    <col min="11777" max="11777" width="18.140625" style="94" customWidth="1"/>
    <col min="11778" max="11778" width="9.140625" style="94"/>
    <col min="11779" max="11779" width="12.140625" style="94" bestFit="1" customWidth="1"/>
    <col min="11780" max="12029" width="9.140625" style="94"/>
    <col min="12030" max="12030" width="7.85546875" style="94" customWidth="1"/>
    <col min="12031" max="12031" width="60.5703125" style="94" customWidth="1"/>
    <col min="12032" max="12032" width="8.85546875" style="94" customWidth="1"/>
    <col min="12033" max="12033" width="18.140625" style="94" customWidth="1"/>
    <col min="12034" max="12034" width="9.140625" style="94"/>
    <col min="12035" max="12035" width="12.140625" style="94" bestFit="1" customWidth="1"/>
    <col min="12036" max="12285" width="9.140625" style="94"/>
    <col min="12286" max="12286" width="7.85546875" style="94" customWidth="1"/>
    <col min="12287" max="12287" width="60.5703125" style="94" customWidth="1"/>
    <col min="12288" max="12288" width="8.85546875" style="94" customWidth="1"/>
    <col min="12289" max="12289" width="18.140625" style="94" customWidth="1"/>
    <col min="12290" max="12290" width="9.140625" style="94"/>
    <col min="12291" max="12291" width="12.140625" style="94" bestFit="1" customWidth="1"/>
    <col min="12292" max="12541" width="9.140625" style="94"/>
    <col min="12542" max="12542" width="7.85546875" style="94" customWidth="1"/>
    <col min="12543" max="12543" width="60.5703125" style="94" customWidth="1"/>
    <col min="12544" max="12544" width="8.85546875" style="94" customWidth="1"/>
    <col min="12545" max="12545" width="18.140625" style="94" customWidth="1"/>
    <col min="12546" max="12546" width="9.140625" style="94"/>
    <col min="12547" max="12547" width="12.140625" style="94" bestFit="1" customWidth="1"/>
    <col min="12548" max="12797" width="9.140625" style="94"/>
    <col min="12798" max="12798" width="7.85546875" style="94" customWidth="1"/>
    <col min="12799" max="12799" width="60.5703125" style="94" customWidth="1"/>
    <col min="12800" max="12800" width="8.85546875" style="94" customWidth="1"/>
    <col min="12801" max="12801" width="18.140625" style="94" customWidth="1"/>
    <col min="12802" max="12802" width="9.140625" style="94"/>
    <col min="12803" max="12803" width="12.140625" style="94" bestFit="1" customWidth="1"/>
    <col min="12804" max="13053" width="9.140625" style="94"/>
    <col min="13054" max="13054" width="7.85546875" style="94" customWidth="1"/>
    <col min="13055" max="13055" width="60.5703125" style="94" customWidth="1"/>
    <col min="13056" max="13056" width="8.85546875" style="94" customWidth="1"/>
    <col min="13057" max="13057" width="18.140625" style="94" customWidth="1"/>
    <col min="13058" max="13058" width="9.140625" style="94"/>
    <col min="13059" max="13059" width="12.140625" style="94" bestFit="1" customWidth="1"/>
    <col min="13060" max="13309" width="9.140625" style="94"/>
    <col min="13310" max="13310" width="7.85546875" style="94" customWidth="1"/>
    <col min="13311" max="13311" width="60.5703125" style="94" customWidth="1"/>
    <col min="13312" max="13312" width="8.85546875" style="94" customWidth="1"/>
    <col min="13313" max="13313" width="18.140625" style="94" customWidth="1"/>
    <col min="13314" max="13314" width="9.140625" style="94"/>
    <col min="13315" max="13315" width="12.140625" style="94" bestFit="1" customWidth="1"/>
    <col min="13316" max="13565" width="9.140625" style="94"/>
    <col min="13566" max="13566" width="7.85546875" style="94" customWidth="1"/>
    <col min="13567" max="13567" width="60.5703125" style="94" customWidth="1"/>
    <col min="13568" max="13568" width="8.85546875" style="94" customWidth="1"/>
    <col min="13569" max="13569" width="18.140625" style="94" customWidth="1"/>
    <col min="13570" max="13570" width="9.140625" style="94"/>
    <col min="13571" max="13571" width="12.140625" style="94" bestFit="1" customWidth="1"/>
    <col min="13572" max="13821" width="9.140625" style="94"/>
    <col min="13822" max="13822" width="7.85546875" style="94" customWidth="1"/>
    <col min="13823" max="13823" width="60.5703125" style="94" customWidth="1"/>
    <col min="13824" max="13824" width="8.85546875" style="94" customWidth="1"/>
    <col min="13825" max="13825" width="18.140625" style="94" customWidth="1"/>
    <col min="13826" max="13826" width="9.140625" style="94"/>
    <col min="13827" max="13827" width="12.140625" style="94" bestFit="1" customWidth="1"/>
    <col min="13828" max="14077" width="9.140625" style="94"/>
    <col min="14078" max="14078" width="7.85546875" style="94" customWidth="1"/>
    <col min="14079" max="14079" width="60.5703125" style="94" customWidth="1"/>
    <col min="14080" max="14080" width="8.85546875" style="94" customWidth="1"/>
    <col min="14081" max="14081" width="18.140625" style="94" customWidth="1"/>
    <col min="14082" max="14082" width="9.140625" style="94"/>
    <col min="14083" max="14083" width="12.140625" style="94" bestFit="1" customWidth="1"/>
    <col min="14084" max="14333" width="9.140625" style="94"/>
    <col min="14334" max="14334" width="7.85546875" style="94" customWidth="1"/>
    <col min="14335" max="14335" width="60.5703125" style="94" customWidth="1"/>
    <col min="14336" max="14336" width="8.85546875" style="94" customWidth="1"/>
    <col min="14337" max="14337" width="18.140625" style="94" customWidth="1"/>
    <col min="14338" max="14338" width="9.140625" style="94"/>
    <col min="14339" max="14339" width="12.140625" style="94" bestFit="1" customWidth="1"/>
    <col min="14340" max="14589" width="9.140625" style="94"/>
    <col min="14590" max="14590" width="7.85546875" style="94" customWidth="1"/>
    <col min="14591" max="14591" width="60.5703125" style="94" customWidth="1"/>
    <col min="14592" max="14592" width="8.85546875" style="94" customWidth="1"/>
    <col min="14593" max="14593" width="18.140625" style="94" customWidth="1"/>
    <col min="14594" max="14594" width="9.140625" style="94"/>
    <col min="14595" max="14595" width="12.140625" style="94" bestFit="1" customWidth="1"/>
    <col min="14596" max="14845" width="9.140625" style="94"/>
    <col min="14846" max="14846" width="7.85546875" style="94" customWidth="1"/>
    <col min="14847" max="14847" width="60.5703125" style="94" customWidth="1"/>
    <col min="14848" max="14848" width="8.85546875" style="94" customWidth="1"/>
    <col min="14849" max="14849" width="18.140625" style="94" customWidth="1"/>
    <col min="14850" max="14850" width="9.140625" style="94"/>
    <col min="14851" max="14851" width="12.140625" style="94" bestFit="1" customWidth="1"/>
    <col min="14852" max="15101" width="9.140625" style="94"/>
    <col min="15102" max="15102" width="7.85546875" style="94" customWidth="1"/>
    <col min="15103" max="15103" width="60.5703125" style="94" customWidth="1"/>
    <col min="15104" max="15104" width="8.85546875" style="94" customWidth="1"/>
    <col min="15105" max="15105" width="18.140625" style="94" customWidth="1"/>
    <col min="15106" max="15106" width="9.140625" style="94"/>
    <col min="15107" max="15107" width="12.140625" style="94" bestFit="1" customWidth="1"/>
    <col min="15108" max="15357" width="9.140625" style="94"/>
    <col min="15358" max="15358" width="7.85546875" style="94" customWidth="1"/>
    <col min="15359" max="15359" width="60.5703125" style="94" customWidth="1"/>
    <col min="15360" max="15360" width="8.85546875" style="94" customWidth="1"/>
    <col min="15361" max="15361" width="18.140625" style="94" customWidth="1"/>
    <col min="15362" max="15362" width="9.140625" style="94"/>
    <col min="15363" max="15363" width="12.140625" style="94" bestFit="1" customWidth="1"/>
    <col min="15364" max="15613" width="9.140625" style="94"/>
    <col min="15614" max="15614" width="7.85546875" style="94" customWidth="1"/>
    <col min="15615" max="15615" width="60.5703125" style="94" customWidth="1"/>
    <col min="15616" max="15616" width="8.85546875" style="94" customWidth="1"/>
    <col min="15617" max="15617" width="18.140625" style="94" customWidth="1"/>
    <col min="15618" max="15618" width="9.140625" style="94"/>
    <col min="15619" max="15619" width="12.140625" style="94" bestFit="1" customWidth="1"/>
    <col min="15620" max="15869" width="9.140625" style="94"/>
    <col min="15870" max="15870" width="7.85546875" style="94" customWidth="1"/>
    <col min="15871" max="15871" width="60.5703125" style="94" customWidth="1"/>
    <col min="15872" max="15872" width="8.85546875" style="94" customWidth="1"/>
    <col min="15873" max="15873" width="18.140625" style="94" customWidth="1"/>
    <col min="15874" max="15874" width="9.140625" style="94"/>
    <col min="15875" max="15875" width="12.140625" style="94" bestFit="1" customWidth="1"/>
    <col min="15876" max="16125" width="9.140625" style="94"/>
    <col min="16126" max="16126" width="7.85546875" style="94" customWidth="1"/>
    <col min="16127" max="16127" width="60.5703125" style="94" customWidth="1"/>
    <col min="16128" max="16128" width="8.85546875" style="94" customWidth="1"/>
    <col min="16129" max="16129" width="18.140625" style="94" customWidth="1"/>
    <col min="16130" max="16130" width="9.140625" style="94"/>
    <col min="16131" max="16131" width="12.140625" style="94" bestFit="1" customWidth="1"/>
    <col min="16132" max="16384" width="9.140625" style="94"/>
  </cols>
  <sheetData>
    <row r="1" spans="2:10" ht="18.75" thickBot="1" x14ac:dyDescent="0.25">
      <c r="B1" s="351"/>
      <c r="C1" s="351"/>
      <c r="D1" s="351"/>
      <c r="E1" s="351"/>
      <c r="F1" s="351"/>
    </row>
    <row r="2" spans="2:10" ht="30.75" customHeight="1" x14ac:dyDescent="0.2">
      <c r="B2" s="352" t="s">
        <v>263</v>
      </c>
      <c r="C2" s="353"/>
      <c r="D2" s="353"/>
      <c r="E2" s="353"/>
      <c r="F2" s="354"/>
    </row>
    <row r="3" spans="2:10" s="97" customFormat="1" ht="24.75" customHeight="1" x14ac:dyDescent="0.25">
      <c r="B3" s="95" t="s">
        <v>33</v>
      </c>
      <c r="C3" s="355" t="s">
        <v>34</v>
      </c>
      <c r="D3" s="356"/>
      <c r="E3" s="357"/>
      <c r="F3" s="96" t="s">
        <v>9</v>
      </c>
    </row>
    <row r="4" spans="2:10" s="97" customFormat="1" ht="29.25" customHeight="1" x14ac:dyDescent="0.3">
      <c r="B4" s="98">
        <v>1</v>
      </c>
      <c r="C4" s="358" t="s">
        <v>161</v>
      </c>
      <c r="D4" s="359"/>
      <c r="E4" s="360"/>
      <c r="F4" s="364">
        <f>'D WAGES ESI &amp; PF'!W69+AUG!R5</f>
        <v>1141306.4375</v>
      </c>
    </row>
    <row r="5" spans="2:10" s="97" customFormat="1" ht="36" customHeight="1" x14ac:dyDescent="0.3">
      <c r="B5" s="99"/>
      <c r="C5" s="361" t="s">
        <v>264</v>
      </c>
      <c r="D5" s="362"/>
      <c r="E5" s="363"/>
      <c r="F5" s="365"/>
    </row>
    <row r="6" spans="2:10" s="97" customFormat="1" ht="30" customHeight="1" x14ac:dyDescent="0.3">
      <c r="B6" s="101">
        <v>2</v>
      </c>
      <c r="C6" s="102" t="s">
        <v>183</v>
      </c>
      <c r="D6" s="103" t="s">
        <v>53</v>
      </c>
      <c r="E6" s="104">
        <f>'D WAGES ESI &amp; PF'!N69</f>
        <v>404575.875</v>
      </c>
      <c r="F6" s="100">
        <f>E6*13%</f>
        <v>52594.863750000004</v>
      </c>
      <c r="G6" s="171"/>
    </row>
    <row r="7" spans="2:10" s="97" customFormat="1" ht="33" customHeight="1" x14ac:dyDescent="0.3">
      <c r="B7" s="101">
        <v>3</v>
      </c>
      <c r="C7" s="102" t="s">
        <v>184</v>
      </c>
      <c r="D7" s="103" t="s">
        <v>53</v>
      </c>
      <c r="E7" s="104">
        <f>+'D WAGES ESI &amp; PF'!X69</f>
        <v>802689.8125</v>
      </c>
      <c r="F7" s="100">
        <f>E7*3.25%</f>
        <v>26087.418906250001</v>
      </c>
    </row>
    <row r="8" spans="2:10" s="97" customFormat="1" ht="34.5" customHeight="1" x14ac:dyDescent="0.3">
      <c r="B8" s="101">
        <v>4</v>
      </c>
      <c r="C8" s="340" t="s">
        <v>162</v>
      </c>
      <c r="D8" s="341"/>
      <c r="E8" s="342"/>
      <c r="F8" s="100">
        <f>+F4*6%</f>
        <v>68478.386249999996</v>
      </c>
    </row>
    <row r="9" spans="2:10" s="97" customFormat="1" ht="34.5" customHeight="1" x14ac:dyDescent="0.3">
      <c r="B9" s="101"/>
      <c r="C9" s="337" t="s">
        <v>56</v>
      </c>
      <c r="D9" s="338"/>
      <c r="E9" s="339"/>
      <c r="F9" s="100">
        <f>+F8+F4+F6+F7</f>
        <v>1288467.10640625</v>
      </c>
    </row>
    <row r="10" spans="2:10" ht="33.75" customHeight="1" x14ac:dyDescent="0.3">
      <c r="B10" s="101">
        <v>5</v>
      </c>
      <c r="C10" s="340" t="s">
        <v>35</v>
      </c>
      <c r="D10" s="341"/>
      <c r="E10" s="342"/>
      <c r="F10" s="105">
        <f>+F9*9%</f>
        <v>115962.0395765625</v>
      </c>
    </row>
    <row r="11" spans="2:10" ht="32.25" customHeight="1" x14ac:dyDescent="0.3">
      <c r="B11" s="101">
        <v>6</v>
      </c>
      <c r="C11" s="340" t="s">
        <v>36</v>
      </c>
      <c r="D11" s="341"/>
      <c r="E11" s="342"/>
      <c r="F11" s="105">
        <f>+F9*9%</f>
        <v>115962.0395765625</v>
      </c>
    </row>
    <row r="12" spans="2:10" ht="37.5" customHeight="1" x14ac:dyDescent="0.4">
      <c r="B12" s="106"/>
      <c r="C12" s="343" t="s">
        <v>10</v>
      </c>
      <c r="D12" s="344"/>
      <c r="E12" s="345"/>
      <c r="F12" s="105">
        <f>F9+F10+F11</f>
        <v>1520391.1855593752</v>
      </c>
    </row>
    <row r="13" spans="2:10" ht="42" customHeight="1" x14ac:dyDescent="0.2">
      <c r="B13" s="346" t="s">
        <v>273</v>
      </c>
      <c r="C13" s="347"/>
      <c r="D13" s="347"/>
      <c r="E13" s="347"/>
      <c r="F13" s="348"/>
      <c r="H13" s="146"/>
      <c r="J13" s="147"/>
    </row>
    <row r="14" spans="2:10" ht="15" customHeight="1" x14ac:dyDescent="0.2">
      <c r="B14" s="107"/>
      <c r="C14" s="108"/>
      <c r="D14" s="108"/>
      <c r="E14" s="108"/>
      <c r="F14" s="109"/>
    </row>
    <row r="15" spans="2:10" ht="23.25" customHeight="1" x14ac:dyDescent="0.2">
      <c r="B15" s="110"/>
      <c r="C15" s="111" t="s">
        <v>163</v>
      </c>
      <c r="D15" s="111"/>
      <c r="E15" s="112">
        <f>'D WAGES ESI &amp; PF'!AA69+AUG!S5</f>
        <v>18080</v>
      </c>
      <c r="F15" s="113"/>
    </row>
    <row r="16" spans="2:10" ht="23.25" customHeight="1" x14ac:dyDescent="0.2">
      <c r="B16" s="110"/>
      <c r="C16" s="111" t="s">
        <v>164</v>
      </c>
      <c r="D16" s="111"/>
      <c r="E16" s="112">
        <f>'D WAGES ESI &amp; PF'!AB69+AUG!T5</f>
        <v>500</v>
      </c>
      <c r="F16" s="113"/>
    </row>
    <row r="17" spans="2:6" ht="27" customHeight="1" x14ac:dyDescent="0.2">
      <c r="B17" s="114"/>
      <c r="C17" s="111" t="s">
        <v>272</v>
      </c>
      <c r="D17" s="111"/>
      <c r="E17" s="112">
        <f>'ROOM RENT'!E38</f>
        <v>8000</v>
      </c>
      <c r="F17" s="115"/>
    </row>
    <row r="18" spans="2:6" ht="27" customHeight="1" x14ac:dyDescent="0.2">
      <c r="B18" s="114"/>
      <c r="C18" s="111"/>
      <c r="D18" s="111"/>
      <c r="E18" s="112"/>
      <c r="F18" s="115"/>
    </row>
    <row r="19" spans="2:6" ht="16.5" thickBot="1" x14ac:dyDescent="0.3">
      <c r="B19" s="116"/>
      <c r="C19" s="349"/>
      <c r="D19" s="349"/>
      <c r="E19" s="349"/>
      <c r="F19" s="350"/>
    </row>
    <row r="20" spans="2:6" ht="23.25" x14ac:dyDescent="0.2">
      <c r="B20" s="305"/>
      <c r="C20" s="306"/>
      <c r="D20" s="306"/>
      <c r="E20" s="306"/>
      <c r="F20" s="307"/>
    </row>
    <row r="21" spans="2:6" ht="23.25" x14ac:dyDescent="0.2">
      <c r="B21" s="91"/>
      <c r="C21" s="92"/>
      <c r="D21" s="92"/>
      <c r="E21" s="92"/>
      <c r="F21" s="93"/>
    </row>
    <row r="22" spans="2:6" ht="23.25" x14ac:dyDescent="0.2">
      <c r="B22" s="91"/>
      <c r="C22" s="92"/>
      <c r="D22" s="92"/>
      <c r="E22" s="92"/>
      <c r="F22" s="93"/>
    </row>
    <row r="23" spans="2:6" ht="60" customHeight="1" thickBot="1" x14ac:dyDescent="0.4">
      <c r="B23" s="264"/>
      <c r="C23" s="265"/>
      <c r="D23" s="265"/>
      <c r="E23" s="265"/>
      <c r="F23" s="266"/>
    </row>
    <row r="25" spans="2:6" x14ac:dyDescent="0.2">
      <c r="F25" s="146"/>
    </row>
  </sheetData>
  <mergeCells count="14">
    <mergeCell ref="C8:E8"/>
    <mergeCell ref="B1:F1"/>
    <mergeCell ref="B2:F2"/>
    <mergeCell ref="C3:E3"/>
    <mergeCell ref="C4:E4"/>
    <mergeCell ref="C5:E5"/>
    <mergeCell ref="F4:F5"/>
    <mergeCell ref="B20:F20"/>
    <mergeCell ref="C9:E9"/>
    <mergeCell ref="C10:E10"/>
    <mergeCell ref="C11:E11"/>
    <mergeCell ref="C12:E12"/>
    <mergeCell ref="B13:F13"/>
    <mergeCell ref="C19:F19"/>
  </mergeCells>
  <pageMargins left="0" right="0" top="1.1417322834645669" bottom="0.15748031496062992" header="0" footer="0"/>
  <pageSetup paperSize="9" scale="85" orientation="portrait" horizontalDpi="4294967293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F113"/>
  <sheetViews>
    <sheetView showGridLines="0" topLeftCell="A3" zoomScale="70" zoomScaleNormal="70" zoomScaleSheetLayoutView="70" workbookViewId="0">
      <pane xSplit="12" ySplit="3" topLeftCell="M6" activePane="bottomRight" state="frozen"/>
      <selection activeCell="A3" sqref="A3"/>
      <selection pane="topRight" activeCell="I3" sqref="I3"/>
      <selection pane="bottomLeft" activeCell="A6" sqref="A6"/>
      <selection pane="bottomRight" activeCell="A4" sqref="A4:AD4"/>
    </sheetView>
  </sheetViews>
  <sheetFormatPr defaultColWidth="9.140625" defaultRowHeight="15" x14ac:dyDescent="0.25"/>
  <cols>
    <col min="1" max="1" width="7.140625" style="198" bestFit="1" customWidth="1"/>
    <col min="2" max="2" width="9.140625" style="198" bestFit="1" customWidth="1"/>
    <col min="3" max="3" width="31.85546875" style="200" customWidth="1"/>
    <col min="4" max="4" width="23.7109375" style="200" hidden="1" customWidth="1"/>
    <col min="5" max="5" width="21.85546875" style="200" hidden="1" customWidth="1"/>
    <col min="6" max="6" width="26.85546875" style="200" customWidth="1"/>
    <col min="7" max="7" width="4.140625" style="200" hidden="1" customWidth="1"/>
    <col min="8" max="8" width="7.5703125" style="200" hidden="1" customWidth="1"/>
    <col min="9" max="9" width="10.85546875" style="201" customWidth="1"/>
    <col min="10" max="10" width="11.5703125" style="201" customWidth="1"/>
    <col min="11" max="11" width="8.28515625" style="201" bestFit="1" customWidth="1"/>
    <col min="12" max="12" width="9.140625" style="201" bestFit="1" customWidth="1"/>
    <col min="13" max="13" width="12.140625" style="201" bestFit="1" customWidth="1"/>
    <col min="14" max="14" width="14.42578125" style="201" bestFit="1" customWidth="1"/>
    <col min="15" max="15" width="12.42578125" style="201" bestFit="1" customWidth="1"/>
    <col min="16" max="16" width="11" style="201" bestFit="1" customWidth="1"/>
    <col min="17" max="17" width="15" style="201" bestFit="1" customWidth="1"/>
    <col min="18" max="19" width="10.5703125" style="201" bestFit="1" customWidth="1"/>
    <col min="20" max="21" width="8.85546875" style="201" hidden="1" customWidth="1"/>
    <col min="22" max="22" width="8.140625" style="201" hidden="1" customWidth="1"/>
    <col min="23" max="24" width="15.140625" style="201" customWidth="1"/>
    <col min="25" max="25" width="10.5703125" style="201" bestFit="1" customWidth="1"/>
    <col min="26" max="26" width="9.140625" style="201" bestFit="1" customWidth="1"/>
    <col min="27" max="27" width="13.85546875" style="201" customWidth="1"/>
    <col min="28" max="28" width="9" style="198" customWidth="1"/>
    <col min="29" max="29" width="15.5703125" style="201" bestFit="1" customWidth="1"/>
    <col min="30" max="30" width="24.85546875" style="145" customWidth="1"/>
    <col min="31" max="31" width="10" style="145" bestFit="1" customWidth="1"/>
    <col min="32" max="16384" width="9.140625" style="145"/>
  </cols>
  <sheetData>
    <row r="1" spans="1:32" x14ac:dyDescent="0.25">
      <c r="B1" s="199">
        <v>81459</v>
      </c>
    </row>
    <row r="2" spans="1:32" s="144" customFormat="1" ht="27" customHeight="1" x14ac:dyDescent="0.25">
      <c r="A2" s="366" t="s">
        <v>0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367"/>
      <c r="AA2" s="367"/>
      <c r="AB2" s="367"/>
      <c r="AC2" s="367"/>
      <c r="AD2" s="368"/>
    </row>
    <row r="3" spans="1:32" s="144" customFormat="1" ht="27" customHeight="1" x14ac:dyDescent="0.25">
      <c r="A3" s="202"/>
      <c r="B3" s="203"/>
      <c r="C3" s="203"/>
      <c r="D3" s="203"/>
      <c r="E3" s="203"/>
      <c r="F3" s="204"/>
      <c r="G3" s="204"/>
      <c r="H3" s="204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  <c r="AA3" s="203"/>
      <c r="AB3" s="203"/>
      <c r="AC3" s="203"/>
      <c r="AD3" s="205"/>
    </row>
    <row r="4" spans="1:32" s="163" customFormat="1" ht="30.75" customHeight="1" x14ac:dyDescent="0.25">
      <c r="A4" s="369" t="s">
        <v>265</v>
      </c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  <c r="AA4" s="370"/>
      <c r="AB4" s="370"/>
      <c r="AC4" s="370"/>
      <c r="AD4" s="371"/>
    </row>
    <row r="5" spans="1:32" s="164" customFormat="1" ht="81" customHeight="1" x14ac:dyDescent="0.25">
      <c r="A5" s="5" t="s">
        <v>13</v>
      </c>
      <c r="B5" s="5" t="s">
        <v>31</v>
      </c>
      <c r="C5" s="5" t="s">
        <v>4</v>
      </c>
      <c r="D5" s="5" t="s">
        <v>150</v>
      </c>
      <c r="E5" s="5" t="s">
        <v>151</v>
      </c>
      <c r="F5" s="5" t="s">
        <v>5</v>
      </c>
      <c r="G5" s="5"/>
      <c r="H5" s="5"/>
      <c r="I5" s="5" t="s">
        <v>76</v>
      </c>
      <c r="J5" s="5" t="s">
        <v>148</v>
      </c>
      <c r="K5" s="5" t="s">
        <v>189</v>
      </c>
      <c r="L5" s="5" t="s">
        <v>168</v>
      </c>
      <c r="M5" s="5" t="s">
        <v>76</v>
      </c>
      <c r="N5" s="5" t="s">
        <v>240</v>
      </c>
      <c r="O5" s="5" t="s">
        <v>241</v>
      </c>
      <c r="P5" s="5" t="s">
        <v>17</v>
      </c>
      <c r="Q5" s="5" t="s">
        <v>77</v>
      </c>
      <c r="R5" s="5" t="s">
        <v>147</v>
      </c>
      <c r="S5" s="5" t="s">
        <v>146</v>
      </c>
      <c r="T5" s="5" t="s">
        <v>145</v>
      </c>
      <c r="U5" s="5" t="s">
        <v>170</v>
      </c>
      <c r="V5" s="5" t="s">
        <v>200</v>
      </c>
      <c r="W5" s="5" t="s">
        <v>20</v>
      </c>
      <c r="X5" s="5" t="s">
        <v>242</v>
      </c>
      <c r="Y5" s="5" t="s">
        <v>21</v>
      </c>
      <c r="Z5" s="5" t="s">
        <v>22</v>
      </c>
      <c r="AA5" s="5" t="s">
        <v>7</v>
      </c>
      <c r="AB5" s="5" t="s">
        <v>8</v>
      </c>
      <c r="AC5" s="3" t="s">
        <v>78</v>
      </c>
      <c r="AD5" s="3" t="s">
        <v>62</v>
      </c>
    </row>
    <row r="6" spans="1:32" s="177" customFormat="1" ht="30" customHeight="1" x14ac:dyDescent="0.3">
      <c r="A6" s="123">
        <v>1</v>
      </c>
      <c r="B6" s="194">
        <v>80966</v>
      </c>
      <c r="C6" s="124" t="s">
        <v>154</v>
      </c>
      <c r="D6" s="125" t="s">
        <v>178</v>
      </c>
      <c r="E6" s="172">
        <v>5609042064</v>
      </c>
      <c r="F6" s="124" t="s">
        <v>169</v>
      </c>
      <c r="G6" s="124"/>
      <c r="H6" s="124"/>
      <c r="I6" s="123">
        <v>605</v>
      </c>
      <c r="J6" s="123">
        <v>25</v>
      </c>
      <c r="K6" s="123">
        <v>0</v>
      </c>
      <c r="L6" s="173">
        <f>J6+K6</f>
        <v>25</v>
      </c>
      <c r="M6" s="174">
        <f t="shared" ref="M6:M64" si="0">(+I6*(L6))</f>
        <v>15125</v>
      </c>
      <c r="N6" s="175">
        <f>M6*55%</f>
        <v>8318.75</v>
      </c>
      <c r="O6" s="174">
        <f>M6*45%</f>
        <v>6806.25</v>
      </c>
      <c r="P6" s="173">
        <v>88</v>
      </c>
      <c r="Q6" s="174">
        <f>I6*55%/8*2*P6</f>
        <v>7320.5</v>
      </c>
      <c r="R6" s="173">
        <v>0</v>
      </c>
      <c r="S6" s="173">
        <v>0</v>
      </c>
      <c r="T6" s="173"/>
      <c r="U6" s="173"/>
      <c r="V6" s="173"/>
      <c r="W6" s="174">
        <f>(M6+Q6+R6+S6+T6+U6+V6)</f>
        <v>22445.5</v>
      </c>
      <c r="X6" s="174">
        <f>+W6-O6</f>
        <v>15639.25</v>
      </c>
      <c r="Y6" s="174">
        <f t="shared" ref="Y6:Y30" si="1">ROUND(N6*12%,0)</f>
        <v>998</v>
      </c>
      <c r="Z6" s="174">
        <f>CEILING((X6-T6)*0.75%,1)</f>
        <v>118</v>
      </c>
      <c r="AA6" s="173">
        <v>580</v>
      </c>
      <c r="AB6" s="123"/>
      <c r="AC6" s="175">
        <f t="shared" ref="AC6:AC57" si="2">ROUND((W6)-(Y6+Z6+AA6+AB6),0)</f>
        <v>20750</v>
      </c>
      <c r="AD6" s="176"/>
      <c r="AF6" s="178"/>
    </row>
    <row r="7" spans="1:32" s="177" customFormat="1" ht="30" customHeight="1" x14ac:dyDescent="0.3">
      <c r="A7" s="123">
        <f>A6+1</f>
        <v>2</v>
      </c>
      <c r="B7" s="194">
        <v>80978</v>
      </c>
      <c r="C7" s="124" t="s">
        <v>156</v>
      </c>
      <c r="D7" s="125" t="s">
        <v>179</v>
      </c>
      <c r="E7" s="172">
        <v>5609761145</v>
      </c>
      <c r="F7" s="124" t="s">
        <v>169</v>
      </c>
      <c r="G7" s="124"/>
      <c r="H7" s="124"/>
      <c r="I7" s="123">
        <v>605</v>
      </c>
      <c r="J7" s="123">
        <v>24</v>
      </c>
      <c r="K7" s="123">
        <v>0</v>
      </c>
      <c r="L7" s="173">
        <f t="shared" ref="L7:L68" si="3">J7+K7</f>
        <v>24</v>
      </c>
      <c r="M7" s="174">
        <f t="shared" si="0"/>
        <v>14520</v>
      </c>
      <c r="N7" s="175">
        <f t="shared" ref="N7:N57" si="4">M7*55%</f>
        <v>7986.0000000000009</v>
      </c>
      <c r="O7" s="174">
        <f t="shared" ref="O7:O64" si="5">M7*45%</f>
        <v>6534</v>
      </c>
      <c r="P7" s="173">
        <v>68</v>
      </c>
      <c r="Q7" s="174">
        <f t="shared" ref="Q7:Q68" si="6">I7*55%/8*2*P7</f>
        <v>5656.75</v>
      </c>
      <c r="R7" s="173">
        <v>0</v>
      </c>
      <c r="S7" s="173">
        <v>0</v>
      </c>
      <c r="T7" s="173"/>
      <c r="U7" s="173"/>
      <c r="V7" s="173"/>
      <c r="W7" s="174">
        <f t="shared" ref="W7:W57" si="7">(M7+Q7+R7+S7+T7+U7+V7)</f>
        <v>20176.75</v>
      </c>
      <c r="X7" s="174">
        <f t="shared" ref="X7:X57" si="8">+W7-O7</f>
        <v>13642.75</v>
      </c>
      <c r="Y7" s="174">
        <f t="shared" si="1"/>
        <v>958</v>
      </c>
      <c r="Z7" s="174">
        <f t="shared" ref="Z7:Z57" si="9">CEILING((X7-T7)*0.75%,1)</f>
        <v>103</v>
      </c>
      <c r="AA7" s="173">
        <v>0</v>
      </c>
      <c r="AB7" s="123"/>
      <c r="AC7" s="175">
        <f t="shared" si="2"/>
        <v>19116</v>
      </c>
      <c r="AD7" s="176"/>
      <c r="AF7" s="178"/>
    </row>
    <row r="8" spans="1:32" s="185" customFormat="1" ht="30" customHeight="1" x14ac:dyDescent="0.3">
      <c r="A8" s="123">
        <f t="shared" ref="A8:A12" si="10">A7+1</f>
        <v>3</v>
      </c>
      <c r="B8" s="195">
        <v>81121</v>
      </c>
      <c r="C8" s="180" t="s">
        <v>86</v>
      </c>
      <c r="D8" s="181" t="s">
        <v>180</v>
      </c>
      <c r="E8" s="182">
        <v>5609948763</v>
      </c>
      <c r="F8" s="180" t="s">
        <v>194</v>
      </c>
      <c r="G8" s="124"/>
      <c r="H8" s="124"/>
      <c r="I8" s="179">
        <v>635</v>
      </c>
      <c r="J8" s="123">
        <v>24</v>
      </c>
      <c r="K8" s="123">
        <v>0</v>
      </c>
      <c r="L8" s="173">
        <f t="shared" si="3"/>
        <v>24</v>
      </c>
      <c r="M8" s="174">
        <f t="shared" si="0"/>
        <v>15240</v>
      </c>
      <c r="N8" s="175">
        <f t="shared" si="4"/>
        <v>8382</v>
      </c>
      <c r="O8" s="174">
        <f t="shared" si="5"/>
        <v>6858</v>
      </c>
      <c r="P8" s="173">
        <v>96</v>
      </c>
      <c r="Q8" s="174">
        <f t="shared" si="6"/>
        <v>8382</v>
      </c>
      <c r="R8" s="173">
        <v>480</v>
      </c>
      <c r="S8" s="173">
        <v>765</v>
      </c>
      <c r="T8" s="183"/>
      <c r="U8" s="183"/>
      <c r="V8" s="183"/>
      <c r="W8" s="174">
        <f t="shared" si="7"/>
        <v>24867</v>
      </c>
      <c r="X8" s="174">
        <f t="shared" si="8"/>
        <v>18009</v>
      </c>
      <c r="Y8" s="174">
        <f t="shared" si="1"/>
        <v>1006</v>
      </c>
      <c r="Z8" s="174">
        <f t="shared" si="9"/>
        <v>136</v>
      </c>
      <c r="AA8" s="173">
        <v>480</v>
      </c>
      <c r="AB8" s="123"/>
      <c r="AC8" s="175">
        <f t="shared" si="2"/>
        <v>23245</v>
      </c>
      <c r="AD8" s="184"/>
      <c r="AF8" s="186"/>
    </row>
    <row r="9" spans="1:32" s="177" customFormat="1" ht="30" customHeight="1" x14ac:dyDescent="0.3">
      <c r="A9" s="123">
        <f t="shared" si="10"/>
        <v>4</v>
      </c>
      <c r="B9" s="194">
        <v>81197</v>
      </c>
      <c r="C9" s="124" t="s">
        <v>166</v>
      </c>
      <c r="D9" s="125" t="s">
        <v>181</v>
      </c>
      <c r="E9" s="172">
        <v>5610286347</v>
      </c>
      <c r="F9" s="124" t="s">
        <v>169</v>
      </c>
      <c r="G9" s="124"/>
      <c r="H9" s="124"/>
      <c r="I9" s="123">
        <v>605</v>
      </c>
      <c r="J9" s="123">
        <v>26</v>
      </c>
      <c r="K9" s="123">
        <v>0</v>
      </c>
      <c r="L9" s="173">
        <f t="shared" si="3"/>
        <v>26</v>
      </c>
      <c r="M9" s="174">
        <f t="shared" si="0"/>
        <v>15730</v>
      </c>
      <c r="N9" s="175">
        <f t="shared" si="4"/>
        <v>8651.5</v>
      </c>
      <c r="O9" s="174">
        <f t="shared" si="5"/>
        <v>7078.5</v>
      </c>
      <c r="P9" s="173">
        <v>69</v>
      </c>
      <c r="Q9" s="174">
        <f t="shared" si="6"/>
        <v>5739.9375</v>
      </c>
      <c r="R9" s="173">
        <v>0</v>
      </c>
      <c r="S9" s="173">
        <v>0</v>
      </c>
      <c r="T9" s="173"/>
      <c r="U9" s="173"/>
      <c r="V9" s="173"/>
      <c r="W9" s="174">
        <f t="shared" si="7"/>
        <v>21469.9375</v>
      </c>
      <c r="X9" s="174">
        <f t="shared" si="8"/>
        <v>14391.4375</v>
      </c>
      <c r="Y9" s="174">
        <f t="shared" si="1"/>
        <v>1038</v>
      </c>
      <c r="Z9" s="174">
        <f t="shared" si="9"/>
        <v>108</v>
      </c>
      <c r="AA9" s="173">
        <v>0</v>
      </c>
      <c r="AB9" s="123"/>
      <c r="AC9" s="175">
        <f t="shared" si="2"/>
        <v>20324</v>
      </c>
      <c r="AD9" s="176"/>
      <c r="AF9" s="178"/>
    </row>
    <row r="10" spans="1:32" s="177" customFormat="1" ht="30" customHeight="1" x14ac:dyDescent="0.3">
      <c r="A10" s="123">
        <f t="shared" si="10"/>
        <v>5</v>
      </c>
      <c r="B10" s="194">
        <v>81245</v>
      </c>
      <c r="C10" s="124" t="s">
        <v>171</v>
      </c>
      <c r="D10" s="125" t="s">
        <v>182</v>
      </c>
      <c r="E10" s="172">
        <v>5610651503</v>
      </c>
      <c r="F10" s="124" t="s">
        <v>30</v>
      </c>
      <c r="G10" s="124"/>
      <c r="H10" s="124"/>
      <c r="I10" s="123">
        <v>605</v>
      </c>
      <c r="J10" s="123">
        <v>23</v>
      </c>
      <c r="K10" s="123">
        <v>0</v>
      </c>
      <c r="L10" s="173">
        <f t="shared" si="3"/>
        <v>23</v>
      </c>
      <c r="M10" s="174">
        <f t="shared" si="0"/>
        <v>13915</v>
      </c>
      <c r="N10" s="175">
        <f t="shared" si="4"/>
        <v>7653.2500000000009</v>
      </c>
      <c r="O10" s="174">
        <f t="shared" si="5"/>
        <v>6261.75</v>
      </c>
      <c r="P10" s="173">
        <v>36</v>
      </c>
      <c r="Q10" s="174">
        <f t="shared" si="6"/>
        <v>2994.75</v>
      </c>
      <c r="R10" s="173">
        <v>60</v>
      </c>
      <c r="S10" s="173">
        <v>0</v>
      </c>
      <c r="T10" s="173"/>
      <c r="U10" s="173"/>
      <c r="V10" s="173"/>
      <c r="W10" s="174">
        <f t="shared" si="7"/>
        <v>16969.75</v>
      </c>
      <c r="X10" s="174">
        <f t="shared" si="8"/>
        <v>10708</v>
      </c>
      <c r="Y10" s="174">
        <f t="shared" si="1"/>
        <v>918</v>
      </c>
      <c r="Z10" s="174">
        <f t="shared" si="9"/>
        <v>81</v>
      </c>
      <c r="AA10" s="173">
        <v>0</v>
      </c>
      <c r="AB10" s="123"/>
      <c r="AC10" s="175">
        <f t="shared" si="2"/>
        <v>15971</v>
      </c>
      <c r="AD10" s="176"/>
      <c r="AF10" s="178"/>
    </row>
    <row r="11" spans="1:32" s="177" customFormat="1" ht="30" customHeight="1" x14ac:dyDescent="0.3">
      <c r="A11" s="123">
        <f t="shared" si="10"/>
        <v>6</v>
      </c>
      <c r="B11" s="194">
        <v>81367</v>
      </c>
      <c r="C11" s="124" t="s">
        <v>188</v>
      </c>
      <c r="D11" s="125"/>
      <c r="E11" s="172"/>
      <c r="F11" s="124" t="s">
        <v>1</v>
      </c>
      <c r="G11" s="124"/>
      <c r="H11" s="124"/>
      <c r="I11" s="123">
        <v>625</v>
      </c>
      <c r="J11" s="123">
        <v>21</v>
      </c>
      <c r="K11" s="123">
        <v>0</v>
      </c>
      <c r="L11" s="173">
        <f t="shared" si="3"/>
        <v>21</v>
      </c>
      <c r="M11" s="174">
        <f t="shared" si="0"/>
        <v>13125</v>
      </c>
      <c r="N11" s="175">
        <f t="shared" si="4"/>
        <v>7218.7500000000009</v>
      </c>
      <c r="O11" s="174">
        <f t="shared" si="5"/>
        <v>5906.25</v>
      </c>
      <c r="P11" s="173">
        <v>84</v>
      </c>
      <c r="Q11" s="174">
        <f t="shared" si="6"/>
        <v>7218.75</v>
      </c>
      <c r="R11" s="173">
        <v>420</v>
      </c>
      <c r="S11" s="173">
        <v>495</v>
      </c>
      <c r="T11" s="173"/>
      <c r="U11" s="173"/>
      <c r="V11" s="173"/>
      <c r="W11" s="174">
        <f t="shared" si="7"/>
        <v>21258.75</v>
      </c>
      <c r="X11" s="174">
        <f t="shared" si="8"/>
        <v>15352.5</v>
      </c>
      <c r="Y11" s="174">
        <f t="shared" si="1"/>
        <v>866</v>
      </c>
      <c r="Z11" s="174">
        <f t="shared" si="9"/>
        <v>116</v>
      </c>
      <c r="AA11" s="173">
        <v>420</v>
      </c>
      <c r="AB11" s="123"/>
      <c r="AC11" s="175">
        <f t="shared" si="2"/>
        <v>19857</v>
      </c>
      <c r="AD11" s="176"/>
      <c r="AF11" s="178"/>
    </row>
    <row r="12" spans="1:32" s="177" customFormat="1" ht="30" customHeight="1" x14ac:dyDescent="0.3">
      <c r="A12" s="123">
        <f t="shared" si="10"/>
        <v>7</v>
      </c>
      <c r="B12" s="194">
        <v>81413</v>
      </c>
      <c r="C12" s="124" t="s">
        <v>191</v>
      </c>
      <c r="D12" s="125"/>
      <c r="E12" s="172"/>
      <c r="F12" s="124" t="s">
        <v>192</v>
      </c>
      <c r="G12" s="124"/>
      <c r="H12" s="124"/>
      <c r="I12" s="179">
        <v>635</v>
      </c>
      <c r="J12" s="123">
        <v>25</v>
      </c>
      <c r="K12" s="123">
        <v>0</v>
      </c>
      <c r="L12" s="173">
        <f t="shared" si="3"/>
        <v>25</v>
      </c>
      <c r="M12" s="174">
        <f t="shared" si="0"/>
        <v>15875</v>
      </c>
      <c r="N12" s="175">
        <f t="shared" si="4"/>
        <v>8731.25</v>
      </c>
      <c r="O12" s="174">
        <f t="shared" si="5"/>
        <v>7143.75</v>
      </c>
      <c r="P12" s="173">
        <v>100</v>
      </c>
      <c r="Q12" s="174">
        <f t="shared" si="6"/>
        <v>8731.25</v>
      </c>
      <c r="R12" s="173">
        <v>500</v>
      </c>
      <c r="S12" s="173">
        <v>495</v>
      </c>
      <c r="T12" s="173"/>
      <c r="U12" s="173"/>
      <c r="V12" s="173"/>
      <c r="W12" s="174">
        <f t="shared" si="7"/>
        <v>25601.25</v>
      </c>
      <c r="X12" s="174">
        <f t="shared" si="8"/>
        <v>18457.5</v>
      </c>
      <c r="Y12" s="174">
        <f t="shared" si="1"/>
        <v>1048</v>
      </c>
      <c r="Z12" s="174">
        <f t="shared" si="9"/>
        <v>139</v>
      </c>
      <c r="AA12" s="173">
        <v>500</v>
      </c>
      <c r="AB12" s="123"/>
      <c r="AC12" s="175">
        <f t="shared" si="2"/>
        <v>23914</v>
      </c>
      <c r="AD12" s="176"/>
      <c r="AF12" s="178"/>
    </row>
    <row r="13" spans="1:32" s="177" customFormat="1" ht="30" customHeight="1" x14ac:dyDescent="0.3">
      <c r="A13" s="123">
        <f t="shared" ref="A13:A68" si="11">A12+1</f>
        <v>8</v>
      </c>
      <c r="B13" s="194">
        <v>81448</v>
      </c>
      <c r="C13" s="124" t="s">
        <v>195</v>
      </c>
      <c r="D13" s="125"/>
      <c r="E13" s="172"/>
      <c r="F13" s="124" t="s">
        <v>1</v>
      </c>
      <c r="G13" s="124"/>
      <c r="H13" s="124"/>
      <c r="I13" s="123">
        <v>625</v>
      </c>
      <c r="J13" s="123">
        <v>5</v>
      </c>
      <c r="K13" s="123">
        <v>0</v>
      </c>
      <c r="L13" s="173">
        <f t="shared" si="3"/>
        <v>5</v>
      </c>
      <c r="M13" s="174">
        <f t="shared" si="0"/>
        <v>3125</v>
      </c>
      <c r="N13" s="175">
        <f t="shared" si="4"/>
        <v>1718.7500000000002</v>
      </c>
      <c r="O13" s="174">
        <f t="shared" si="5"/>
        <v>1406.25</v>
      </c>
      <c r="P13" s="173">
        <v>20</v>
      </c>
      <c r="Q13" s="174">
        <f t="shared" si="6"/>
        <v>1718.75</v>
      </c>
      <c r="R13" s="173">
        <v>100</v>
      </c>
      <c r="S13" s="173">
        <v>90</v>
      </c>
      <c r="T13" s="173"/>
      <c r="U13" s="173"/>
      <c r="V13" s="173"/>
      <c r="W13" s="174">
        <f t="shared" si="7"/>
        <v>5033.75</v>
      </c>
      <c r="X13" s="174">
        <f t="shared" si="8"/>
        <v>3627.5</v>
      </c>
      <c r="Y13" s="174">
        <f t="shared" si="1"/>
        <v>206</v>
      </c>
      <c r="Z13" s="174">
        <f t="shared" si="9"/>
        <v>28</v>
      </c>
      <c r="AA13" s="173">
        <v>100</v>
      </c>
      <c r="AB13" s="123"/>
      <c r="AC13" s="175">
        <f t="shared" si="2"/>
        <v>4700</v>
      </c>
      <c r="AD13" s="176"/>
      <c r="AF13" s="178"/>
    </row>
    <row r="14" spans="1:32" s="177" customFormat="1" ht="30" customHeight="1" x14ac:dyDescent="0.3">
      <c r="A14" s="123">
        <f t="shared" si="11"/>
        <v>9</v>
      </c>
      <c r="B14" s="194">
        <v>81450</v>
      </c>
      <c r="C14" s="124" t="s">
        <v>196</v>
      </c>
      <c r="D14" s="125"/>
      <c r="E14" s="172"/>
      <c r="F14" s="124" t="s">
        <v>1</v>
      </c>
      <c r="G14" s="124"/>
      <c r="H14" s="124"/>
      <c r="I14" s="123">
        <v>625</v>
      </c>
      <c r="J14" s="123">
        <v>8</v>
      </c>
      <c r="K14" s="123">
        <v>0</v>
      </c>
      <c r="L14" s="173">
        <f t="shared" si="3"/>
        <v>8</v>
      </c>
      <c r="M14" s="174">
        <f t="shared" si="0"/>
        <v>5000</v>
      </c>
      <c r="N14" s="175">
        <f t="shared" si="4"/>
        <v>2750</v>
      </c>
      <c r="O14" s="174">
        <f t="shared" si="5"/>
        <v>2250</v>
      </c>
      <c r="P14" s="173">
        <v>32</v>
      </c>
      <c r="Q14" s="174">
        <f t="shared" si="6"/>
        <v>2750</v>
      </c>
      <c r="R14" s="173">
        <v>160</v>
      </c>
      <c r="S14" s="173">
        <v>90</v>
      </c>
      <c r="T14" s="173"/>
      <c r="U14" s="173"/>
      <c r="V14" s="173"/>
      <c r="W14" s="174">
        <f t="shared" si="7"/>
        <v>8000</v>
      </c>
      <c r="X14" s="174">
        <f t="shared" si="8"/>
        <v>5750</v>
      </c>
      <c r="Y14" s="174">
        <f t="shared" si="1"/>
        <v>330</v>
      </c>
      <c r="Z14" s="174">
        <f t="shared" si="9"/>
        <v>44</v>
      </c>
      <c r="AA14" s="173">
        <v>160</v>
      </c>
      <c r="AB14" s="123"/>
      <c r="AC14" s="175">
        <f t="shared" si="2"/>
        <v>7466</v>
      </c>
      <c r="AD14" s="176"/>
      <c r="AF14" s="178"/>
    </row>
    <row r="15" spans="1:32" s="177" customFormat="1" ht="30" customHeight="1" x14ac:dyDescent="0.3">
      <c r="A15" s="123">
        <f t="shared" si="11"/>
        <v>10</v>
      </c>
      <c r="B15" s="194">
        <v>81458</v>
      </c>
      <c r="C15" s="124" t="s">
        <v>197</v>
      </c>
      <c r="D15" s="125"/>
      <c r="E15" s="172"/>
      <c r="F15" s="124" t="s">
        <v>192</v>
      </c>
      <c r="G15" s="124"/>
      <c r="H15" s="124"/>
      <c r="I15" s="179">
        <v>635</v>
      </c>
      <c r="J15" s="123">
        <v>16</v>
      </c>
      <c r="K15" s="123">
        <v>0</v>
      </c>
      <c r="L15" s="173">
        <f t="shared" si="3"/>
        <v>16</v>
      </c>
      <c r="M15" s="174">
        <f t="shared" si="0"/>
        <v>10160</v>
      </c>
      <c r="N15" s="175">
        <f t="shared" si="4"/>
        <v>5588</v>
      </c>
      <c r="O15" s="174">
        <f t="shared" si="5"/>
        <v>4572</v>
      </c>
      <c r="P15" s="173">
        <v>64</v>
      </c>
      <c r="Q15" s="174">
        <f t="shared" si="6"/>
        <v>5588</v>
      </c>
      <c r="R15" s="173">
        <v>320</v>
      </c>
      <c r="S15" s="173">
        <v>315</v>
      </c>
      <c r="T15" s="173"/>
      <c r="U15" s="173"/>
      <c r="V15" s="173"/>
      <c r="W15" s="174">
        <f t="shared" si="7"/>
        <v>16383</v>
      </c>
      <c r="X15" s="174">
        <f t="shared" si="8"/>
        <v>11811</v>
      </c>
      <c r="Y15" s="174">
        <f t="shared" si="1"/>
        <v>671</v>
      </c>
      <c r="Z15" s="174">
        <f t="shared" si="9"/>
        <v>89</v>
      </c>
      <c r="AA15" s="173">
        <v>320</v>
      </c>
      <c r="AB15" s="123"/>
      <c r="AC15" s="175">
        <f t="shared" si="2"/>
        <v>15303</v>
      </c>
      <c r="AD15" s="176"/>
      <c r="AF15" s="178"/>
    </row>
    <row r="16" spans="1:32" s="177" customFormat="1" ht="30" customHeight="1" x14ac:dyDescent="0.3">
      <c r="A16" s="123">
        <f t="shared" si="11"/>
        <v>11</v>
      </c>
      <c r="B16" s="194">
        <v>81464</v>
      </c>
      <c r="C16" s="124" t="s">
        <v>198</v>
      </c>
      <c r="D16" s="125"/>
      <c r="E16" s="172"/>
      <c r="F16" s="124" t="s">
        <v>169</v>
      </c>
      <c r="G16" s="124"/>
      <c r="H16" s="124"/>
      <c r="I16" s="123">
        <v>605</v>
      </c>
      <c r="J16" s="123">
        <v>24</v>
      </c>
      <c r="K16" s="123">
        <v>0</v>
      </c>
      <c r="L16" s="173">
        <f t="shared" si="3"/>
        <v>24</v>
      </c>
      <c r="M16" s="174">
        <f t="shared" si="0"/>
        <v>14520</v>
      </c>
      <c r="N16" s="175">
        <f t="shared" si="4"/>
        <v>7986.0000000000009</v>
      </c>
      <c r="O16" s="174">
        <f t="shared" si="5"/>
        <v>6534</v>
      </c>
      <c r="P16" s="173">
        <v>134</v>
      </c>
      <c r="Q16" s="174">
        <f t="shared" si="6"/>
        <v>11147.125</v>
      </c>
      <c r="R16" s="173">
        <v>400</v>
      </c>
      <c r="S16" s="173">
        <v>1080</v>
      </c>
      <c r="T16" s="173"/>
      <c r="U16" s="173"/>
      <c r="V16" s="173"/>
      <c r="W16" s="174">
        <f t="shared" si="7"/>
        <v>27147.125</v>
      </c>
      <c r="X16" s="174">
        <f t="shared" si="8"/>
        <v>20613.125</v>
      </c>
      <c r="Y16" s="174">
        <f t="shared" si="1"/>
        <v>958</v>
      </c>
      <c r="Z16" s="174">
        <f t="shared" si="9"/>
        <v>155</v>
      </c>
      <c r="AA16" s="173">
        <v>0</v>
      </c>
      <c r="AB16" s="123"/>
      <c r="AC16" s="175">
        <f t="shared" si="2"/>
        <v>26034</v>
      </c>
      <c r="AD16" s="176"/>
      <c r="AF16" s="178"/>
    </row>
    <row r="17" spans="1:32" s="177" customFormat="1" ht="30" customHeight="1" x14ac:dyDescent="0.3">
      <c r="A17" s="123">
        <f t="shared" si="11"/>
        <v>12</v>
      </c>
      <c r="B17" s="194">
        <v>81465</v>
      </c>
      <c r="C17" s="124" t="s">
        <v>167</v>
      </c>
      <c r="D17" s="125"/>
      <c r="E17" s="172"/>
      <c r="F17" s="180" t="s">
        <v>194</v>
      </c>
      <c r="G17" s="124"/>
      <c r="H17" s="124"/>
      <c r="I17" s="179">
        <v>635</v>
      </c>
      <c r="J17" s="123">
        <v>14</v>
      </c>
      <c r="K17" s="123">
        <v>0</v>
      </c>
      <c r="L17" s="173">
        <f t="shared" si="3"/>
        <v>14</v>
      </c>
      <c r="M17" s="174">
        <f t="shared" si="0"/>
        <v>8890</v>
      </c>
      <c r="N17" s="175">
        <f t="shared" si="4"/>
        <v>4889.5</v>
      </c>
      <c r="O17" s="174">
        <f t="shared" si="5"/>
        <v>4000.5</v>
      </c>
      <c r="P17" s="173">
        <v>66</v>
      </c>
      <c r="Q17" s="174">
        <f t="shared" si="6"/>
        <v>5762.625</v>
      </c>
      <c r="R17" s="173">
        <v>300</v>
      </c>
      <c r="S17" s="173">
        <v>0</v>
      </c>
      <c r="T17" s="173"/>
      <c r="U17" s="173"/>
      <c r="V17" s="173"/>
      <c r="W17" s="174">
        <f t="shared" si="7"/>
        <v>14952.625</v>
      </c>
      <c r="X17" s="174">
        <f t="shared" si="8"/>
        <v>10952.125</v>
      </c>
      <c r="Y17" s="174">
        <f t="shared" si="1"/>
        <v>587</v>
      </c>
      <c r="Z17" s="174">
        <f t="shared" si="9"/>
        <v>83</v>
      </c>
      <c r="AA17" s="173">
        <v>300</v>
      </c>
      <c r="AB17" s="123"/>
      <c r="AC17" s="175">
        <f t="shared" si="2"/>
        <v>13983</v>
      </c>
      <c r="AD17" s="176"/>
      <c r="AF17" s="178"/>
    </row>
    <row r="18" spans="1:32" s="177" customFormat="1" ht="30" customHeight="1" x14ac:dyDescent="0.3">
      <c r="A18" s="123">
        <f t="shared" si="11"/>
        <v>13</v>
      </c>
      <c r="B18" s="194">
        <v>81483</v>
      </c>
      <c r="C18" s="124" t="s">
        <v>199</v>
      </c>
      <c r="D18" s="125"/>
      <c r="E18" s="172"/>
      <c r="F18" s="124" t="s">
        <v>30</v>
      </c>
      <c r="G18" s="124"/>
      <c r="H18" s="124"/>
      <c r="I18" s="123">
        <v>605</v>
      </c>
      <c r="J18" s="123">
        <v>22</v>
      </c>
      <c r="K18" s="123">
        <v>0</v>
      </c>
      <c r="L18" s="173">
        <f t="shared" si="3"/>
        <v>22</v>
      </c>
      <c r="M18" s="174">
        <f t="shared" si="0"/>
        <v>13310</v>
      </c>
      <c r="N18" s="175">
        <f t="shared" si="4"/>
        <v>7320.5000000000009</v>
      </c>
      <c r="O18" s="174">
        <f t="shared" si="5"/>
        <v>5989.5</v>
      </c>
      <c r="P18" s="173">
        <v>0</v>
      </c>
      <c r="Q18" s="174">
        <f t="shared" si="6"/>
        <v>0</v>
      </c>
      <c r="R18" s="173">
        <v>0</v>
      </c>
      <c r="S18" s="173">
        <v>0</v>
      </c>
      <c r="T18" s="173"/>
      <c r="U18" s="173"/>
      <c r="V18" s="173"/>
      <c r="W18" s="174">
        <f t="shared" si="7"/>
        <v>13310</v>
      </c>
      <c r="X18" s="174">
        <f t="shared" si="8"/>
        <v>7320.5</v>
      </c>
      <c r="Y18" s="174">
        <f t="shared" si="1"/>
        <v>878</v>
      </c>
      <c r="Z18" s="174">
        <f t="shared" si="9"/>
        <v>55</v>
      </c>
      <c r="AA18" s="173">
        <v>0</v>
      </c>
      <c r="AB18" s="123"/>
      <c r="AC18" s="175">
        <f t="shared" si="2"/>
        <v>12377</v>
      </c>
      <c r="AD18" s="176"/>
      <c r="AF18" s="178"/>
    </row>
    <row r="19" spans="1:32" s="177" customFormat="1" ht="30" customHeight="1" x14ac:dyDescent="0.3">
      <c r="A19" s="123">
        <f t="shared" si="11"/>
        <v>14</v>
      </c>
      <c r="B19" s="194">
        <v>81496</v>
      </c>
      <c r="C19" s="124" t="s">
        <v>201</v>
      </c>
      <c r="D19" s="125"/>
      <c r="E19" s="172"/>
      <c r="F19" s="124" t="s">
        <v>169</v>
      </c>
      <c r="G19" s="124"/>
      <c r="H19" s="124"/>
      <c r="I19" s="123">
        <v>605</v>
      </c>
      <c r="J19" s="123">
        <v>17</v>
      </c>
      <c r="K19" s="123">
        <v>0</v>
      </c>
      <c r="L19" s="173">
        <f t="shared" si="3"/>
        <v>17</v>
      </c>
      <c r="M19" s="174">
        <f t="shared" si="0"/>
        <v>10285</v>
      </c>
      <c r="N19" s="175">
        <f t="shared" si="4"/>
        <v>5656.7500000000009</v>
      </c>
      <c r="O19" s="174">
        <f t="shared" si="5"/>
        <v>4628.25</v>
      </c>
      <c r="P19" s="173">
        <v>32</v>
      </c>
      <c r="Q19" s="174">
        <f t="shared" si="6"/>
        <v>2662</v>
      </c>
      <c r="R19" s="173">
        <v>0</v>
      </c>
      <c r="S19" s="173">
        <v>0</v>
      </c>
      <c r="T19" s="173"/>
      <c r="U19" s="173"/>
      <c r="V19" s="173"/>
      <c r="W19" s="174">
        <f t="shared" si="7"/>
        <v>12947</v>
      </c>
      <c r="X19" s="174">
        <f t="shared" si="8"/>
        <v>8318.75</v>
      </c>
      <c r="Y19" s="174">
        <f t="shared" si="1"/>
        <v>679</v>
      </c>
      <c r="Z19" s="174">
        <f t="shared" si="9"/>
        <v>63</v>
      </c>
      <c r="AA19" s="173">
        <v>0</v>
      </c>
      <c r="AB19" s="123"/>
      <c r="AC19" s="175">
        <f t="shared" si="2"/>
        <v>12205</v>
      </c>
      <c r="AD19" s="176"/>
      <c r="AF19" s="178"/>
    </row>
    <row r="20" spans="1:32" s="177" customFormat="1" ht="30" customHeight="1" x14ac:dyDescent="0.3">
      <c r="A20" s="123">
        <f t="shared" si="11"/>
        <v>15</v>
      </c>
      <c r="B20" s="194">
        <v>81499</v>
      </c>
      <c r="C20" s="124" t="s">
        <v>202</v>
      </c>
      <c r="D20" s="125"/>
      <c r="E20" s="172"/>
      <c r="F20" s="124" t="s">
        <v>30</v>
      </c>
      <c r="G20" s="124"/>
      <c r="H20" s="124"/>
      <c r="I20" s="123">
        <v>605</v>
      </c>
      <c r="J20" s="123">
        <v>21</v>
      </c>
      <c r="K20" s="123">
        <v>0</v>
      </c>
      <c r="L20" s="173">
        <f t="shared" si="3"/>
        <v>21</v>
      </c>
      <c r="M20" s="174">
        <f t="shared" si="0"/>
        <v>12705</v>
      </c>
      <c r="N20" s="175">
        <f t="shared" si="4"/>
        <v>6987.7500000000009</v>
      </c>
      <c r="O20" s="174">
        <f t="shared" si="5"/>
        <v>5717.25</v>
      </c>
      <c r="P20" s="173">
        <v>28</v>
      </c>
      <c r="Q20" s="174">
        <f t="shared" si="6"/>
        <v>2329.25</v>
      </c>
      <c r="R20" s="173">
        <v>60</v>
      </c>
      <c r="S20" s="173">
        <v>0</v>
      </c>
      <c r="T20" s="173"/>
      <c r="U20" s="173"/>
      <c r="V20" s="173"/>
      <c r="W20" s="174">
        <f t="shared" si="7"/>
        <v>15094.25</v>
      </c>
      <c r="X20" s="174">
        <f t="shared" si="8"/>
        <v>9377</v>
      </c>
      <c r="Y20" s="174">
        <f t="shared" si="1"/>
        <v>839</v>
      </c>
      <c r="Z20" s="174">
        <f t="shared" si="9"/>
        <v>71</v>
      </c>
      <c r="AA20" s="173">
        <v>0</v>
      </c>
      <c r="AB20" s="123"/>
      <c r="AC20" s="175">
        <f t="shared" si="2"/>
        <v>14184</v>
      </c>
      <c r="AD20" s="176"/>
      <c r="AF20" s="178"/>
    </row>
    <row r="21" spans="1:32" s="177" customFormat="1" ht="30" customHeight="1" x14ac:dyDescent="0.3">
      <c r="A21" s="123">
        <f t="shared" si="11"/>
        <v>16</v>
      </c>
      <c r="B21" s="194">
        <v>81501</v>
      </c>
      <c r="C21" s="124" t="s">
        <v>203</v>
      </c>
      <c r="D21" s="125"/>
      <c r="E21" s="172"/>
      <c r="F21" s="124" t="s">
        <v>1</v>
      </c>
      <c r="G21" s="124"/>
      <c r="H21" s="124"/>
      <c r="I21" s="123">
        <v>625</v>
      </c>
      <c r="J21" s="123">
        <v>25</v>
      </c>
      <c r="K21" s="123">
        <v>0</v>
      </c>
      <c r="L21" s="173">
        <f t="shared" si="3"/>
        <v>25</v>
      </c>
      <c r="M21" s="174">
        <f t="shared" si="0"/>
        <v>15625</v>
      </c>
      <c r="N21" s="175">
        <f t="shared" si="4"/>
        <v>8593.75</v>
      </c>
      <c r="O21" s="174">
        <f t="shared" si="5"/>
        <v>7031.25</v>
      </c>
      <c r="P21" s="173">
        <v>98</v>
      </c>
      <c r="Q21" s="174">
        <f t="shared" si="6"/>
        <v>8421.875</v>
      </c>
      <c r="R21" s="173">
        <v>480</v>
      </c>
      <c r="S21" s="173">
        <v>450</v>
      </c>
      <c r="T21" s="173"/>
      <c r="U21" s="173"/>
      <c r="V21" s="173"/>
      <c r="W21" s="174">
        <f t="shared" si="7"/>
        <v>24976.875</v>
      </c>
      <c r="X21" s="174">
        <f t="shared" si="8"/>
        <v>17945.625</v>
      </c>
      <c r="Y21" s="174">
        <f t="shared" si="1"/>
        <v>1031</v>
      </c>
      <c r="Z21" s="174">
        <f t="shared" si="9"/>
        <v>135</v>
      </c>
      <c r="AA21" s="173">
        <v>500</v>
      </c>
      <c r="AB21" s="123"/>
      <c r="AC21" s="175">
        <f t="shared" si="2"/>
        <v>23311</v>
      </c>
      <c r="AD21" s="176"/>
      <c r="AF21" s="178"/>
    </row>
    <row r="22" spans="1:32" s="177" customFormat="1" ht="30" customHeight="1" x14ac:dyDescent="0.3">
      <c r="A22" s="123">
        <f t="shared" si="11"/>
        <v>17</v>
      </c>
      <c r="B22" s="194">
        <v>81502</v>
      </c>
      <c r="C22" s="124" t="s">
        <v>204</v>
      </c>
      <c r="D22" s="125"/>
      <c r="E22" s="172"/>
      <c r="F22" s="124" t="s">
        <v>30</v>
      </c>
      <c r="G22" s="124"/>
      <c r="H22" s="124"/>
      <c r="I22" s="123">
        <v>605</v>
      </c>
      <c r="J22" s="123">
        <v>25.5</v>
      </c>
      <c r="K22" s="123">
        <v>0</v>
      </c>
      <c r="L22" s="173">
        <f t="shared" si="3"/>
        <v>25.5</v>
      </c>
      <c r="M22" s="174">
        <f t="shared" si="0"/>
        <v>15427.5</v>
      </c>
      <c r="N22" s="175">
        <f t="shared" si="4"/>
        <v>8485.125</v>
      </c>
      <c r="O22" s="174">
        <f t="shared" si="5"/>
        <v>6942.375</v>
      </c>
      <c r="P22" s="173">
        <v>24</v>
      </c>
      <c r="Q22" s="174">
        <f t="shared" si="6"/>
        <v>1996.5</v>
      </c>
      <c r="R22" s="173">
        <v>20</v>
      </c>
      <c r="S22" s="173">
        <v>0</v>
      </c>
      <c r="T22" s="173"/>
      <c r="U22" s="173"/>
      <c r="V22" s="173"/>
      <c r="W22" s="174">
        <f t="shared" si="7"/>
        <v>17444</v>
      </c>
      <c r="X22" s="174">
        <f t="shared" si="8"/>
        <v>10501.625</v>
      </c>
      <c r="Y22" s="174">
        <f t="shared" si="1"/>
        <v>1018</v>
      </c>
      <c r="Z22" s="174">
        <f t="shared" si="9"/>
        <v>79</v>
      </c>
      <c r="AA22" s="173">
        <v>0</v>
      </c>
      <c r="AB22" s="123"/>
      <c r="AC22" s="175">
        <f t="shared" si="2"/>
        <v>16347</v>
      </c>
      <c r="AD22" s="176"/>
      <c r="AF22" s="178"/>
    </row>
    <row r="23" spans="1:32" s="177" customFormat="1" ht="30" customHeight="1" x14ac:dyDescent="0.3">
      <c r="A23" s="123">
        <f t="shared" si="11"/>
        <v>18</v>
      </c>
      <c r="B23" s="194">
        <v>81505</v>
      </c>
      <c r="C23" s="124" t="s">
        <v>205</v>
      </c>
      <c r="D23" s="125"/>
      <c r="E23" s="172"/>
      <c r="F23" s="124" t="s">
        <v>2</v>
      </c>
      <c r="G23" s="124"/>
      <c r="H23" s="124"/>
      <c r="I23" s="123">
        <v>605</v>
      </c>
      <c r="J23" s="123">
        <v>25</v>
      </c>
      <c r="K23" s="123">
        <v>0</v>
      </c>
      <c r="L23" s="173">
        <f t="shared" si="3"/>
        <v>25</v>
      </c>
      <c r="M23" s="174">
        <f t="shared" si="0"/>
        <v>15125</v>
      </c>
      <c r="N23" s="175">
        <f t="shared" si="4"/>
        <v>8318.75</v>
      </c>
      <c r="O23" s="174">
        <f t="shared" si="5"/>
        <v>6806.25</v>
      </c>
      <c r="P23" s="173">
        <v>100</v>
      </c>
      <c r="Q23" s="174">
        <f t="shared" si="6"/>
        <v>8318.75</v>
      </c>
      <c r="R23" s="173">
        <v>500</v>
      </c>
      <c r="S23" s="173">
        <v>495</v>
      </c>
      <c r="T23" s="173"/>
      <c r="U23" s="173"/>
      <c r="V23" s="173"/>
      <c r="W23" s="174">
        <f t="shared" si="7"/>
        <v>24438.75</v>
      </c>
      <c r="X23" s="174">
        <f t="shared" si="8"/>
        <v>17632.5</v>
      </c>
      <c r="Y23" s="174">
        <f t="shared" si="1"/>
        <v>998</v>
      </c>
      <c r="Z23" s="174">
        <f t="shared" si="9"/>
        <v>133</v>
      </c>
      <c r="AA23" s="173">
        <v>0</v>
      </c>
      <c r="AB23" s="123"/>
      <c r="AC23" s="175">
        <f t="shared" si="2"/>
        <v>23308</v>
      </c>
      <c r="AD23" s="176"/>
      <c r="AF23" s="178"/>
    </row>
    <row r="24" spans="1:32" s="177" customFormat="1" ht="30" customHeight="1" x14ac:dyDescent="0.3">
      <c r="A24" s="123">
        <f t="shared" si="11"/>
        <v>19</v>
      </c>
      <c r="B24" s="194">
        <v>81509</v>
      </c>
      <c r="C24" s="124" t="s">
        <v>206</v>
      </c>
      <c r="D24" s="125"/>
      <c r="E24" s="172"/>
      <c r="F24" s="124" t="s">
        <v>1</v>
      </c>
      <c r="G24" s="124"/>
      <c r="H24" s="124"/>
      <c r="I24" s="123">
        <v>625</v>
      </c>
      <c r="J24" s="123">
        <v>5</v>
      </c>
      <c r="K24" s="123">
        <v>0</v>
      </c>
      <c r="L24" s="173">
        <f t="shared" si="3"/>
        <v>5</v>
      </c>
      <c r="M24" s="174">
        <f t="shared" si="0"/>
        <v>3125</v>
      </c>
      <c r="N24" s="175">
        <f t="shared" si="4"/>
        <v>1718.7500000000002</v>
      </c>
      <c r="O24" s="174">
        <f t="shared" si="5"/>
        <v>1406.25</v>
      </c>
      <c r="P24" s="173">
        <v>20</v>
      </c>
      <c r="Q24" s="174">
        <f t="shared" si="6"/>
        <v>1718.75</v>
      </c>
      <c r="R24" s="173">
        <v>100</v>
      </c>
      <c r="S24" s="173">
        <v>180</v>
      </c>
      <c r="T24" s="173"/>
      <c r="U24" s="173"/>
      <c r="V24" s="173"/>
      <c r="W24" s="174">
        <f t="shared" si="7"/>
        <v>5123.75</v>
      </c>
      <c r="X24" s="174">
        <f t="shared" si="8"/>
        <v>3717.5</v>
      </c>
      <c r="Y24" s="174">
        <f t="shared" si="1"/>
        <v>206</v>
      </c>
      <c r="Z24" s="174">
        <f t="shared" si="9"/>
        <v>28</v>
      </c>
      <c r="AA24" s="173">
        <v>100</v>
      </c>
      <c r="AB24" s="123"/>
      <c r="AC24" s="175">
        <f t="shared" si="2"/>
        <v>4790</v>
      </c>
      <c r="AD24" s="176"/>
      <c r="AF24" s="178"/>
    </row>
    <row r="25" spans="1:32" s="177" customFormat="1" ht="30" customHeight="1" x14ac:dyDescent="0.3">
      <c r="A25" s="123">
        <f t="shared" si="11"/>
        <v>20</v>
      </c>
      <c r="B25" s="194">
        <v>81514</v>
      </c>
      <c r="C25" s="124" t="s">
        <v>207</v>
      </c>
      <c r="D25" s="125"/>
      <c r="E25" s="172"/>
      <c r="F25" s="124" t="s">
        <v>1</v>
      </c>
      <c r="G25" s="124"/>
      <c r="H25" s="124"/>
      <c r="I25" s="123">
        <v>625</v>
      </c>
      <c r="J25" s="123">
        <v>26</v>
      </c>
      <c r="K25" s="123">
        <v>0</v>
      </c>
      <c r="L25" s="173">
        <f t="shared" si="3"/>
        <v>26</v>
      </c>
      <c r="M25" s="174">
        <f t="shared" si="0"/>
        <v>16250</v>
      </c>
      <c r="N25" s="175">
        <f t="shared" si="4"/>
        <v>8937.5</v>
      </c>
      <c r="O25" s="174">
        <f t="shared" si="5"/>
        <v>7312.5</v>
      </c>
      <c r="P25" s="173">
        <v>104</v>
      </c>
      <c r="Q25" s="174">
        <f t="shared" si="6"/>
        <v>8937.5</v>
      </c>
      <c r="R25" s="173">
        <v>520</v>
      </c>
      <c r="S25" s="173">
        <v>945</v>
      </c>
      <c r="T25" s="173"/>
      <c r="U25" s="173"/>
      <c r="V25" s="173"/>
      <c r="W25" s="174">
        <f t="shared" si="7"/>
        <v>26652.5</v>
      </c>
      <c r="X25" s="174">
        <f t="shared" si="8"/>
        <v>19340</v>
      </c>
      <c r="Y25" s="174">
        <f t="shared" si="1"/>
        <v>1073</v>
      </c>
      <c r="Z25" s="174">
        <f t="shared" si="9"/>
        <v>146</v>
      </c>
      <c r="AA25" s="173">
        <v>520</v>
      </c>
      <c r="AB25" s="123"/>
      <c r="AC25" s="175">
        <f t="shared" si="2"/>
        <v>24914</v>
      </c>
      <c r="AD25" s="176"/>
      <c r="AF25" s="178"/>
    </row>
    <row r="26" spans="1:32" s="177" customFormat="1" ht="30" customHeight="1" x14ac:dyDescent="0.3">
      <c r="A26" s="123">
        <f t="shared" si="11"/>
        <v>21</v>
      </c>
      <c r="B26" s="194">
        <v>81515</v>
      </c>
      <c r="C26" s="124" t="s">
        <v>138</v>
      </c>
      <c r="D26" s="125"/>
      <c r="E26" s="172"/>
      <c r="F26" s="124" t="s">
        <v>192</v>
      </c>
      <c r="G26" s="124"/>
      <c r="H26" s="124"/>
      <c r="I26" s="179">
        <v>635</v>
      </c>
      <c r="J26" s="123">
        <v>25</v>
      </c>
      <c r="K26" s="123">
        <v>0</v>
      </c>
      <c r="L26" s="173">
        <f t="shared" si="3"/>
        <v>25</v>
      </c>
      <c r="M26" s="174">
        <f t="shared" si="0"/>
        <v>15875</v>
      </c>
      <c r="N26" s="175">
        <f t="shared" si="4"/>
        <v>8731.25</v>
      </c>
      <c r="O26" s="174">
        <f t="shared" si="5"/>
        <v>7143.75</v>
      </c>
      <c r="P26" s="173">
        <v>100</v>
      </c>
      <c r="Q26" s="174">
        <f t="shared" si="6"/>
        <v>8731.25</v>
      </c>
      <c r="R26" s="173">
        <v>500</v>
      </c>
      <c r="S26" s="173">
        <v>675</v>
      </c>
      <c r="T26" s="173"/>
      <c r="U26" s="173"/>
      <c r="V26" s="173"/>
      <c r="W26" s="174">
        <f t="shared" si="7"/>
        <v>25781.25</v>
      </c>
      <c r="X26" s="174">
        <f t="shared" si="8"/>
        <v>18637.5</v>
      </c>
      <c r="Y26" s="174">
        <f t="shared" si="1"/>
        <v>1048</v>
      </c>
      <c r="Z26" s="174">
        <f t="shared" si="9"/>
        <v>140</v>
      </c>
      <c r="AA26" s="173">
        <v>500</v>
      </c>
      <c r="AB26" s="123"/>
      <c r="AC26" s="175">
        <f t="shared" si="2"/>
        <v>24093</v>
      </c>
      <c r="AD26" s="176"/>
      <c r="AF26" s="178"/>
    </row>
    <row r="27" spans="1:32" s="177" customFormat="1" ht="30" customHeight="1" x14ac:dyDescent="0.3">
      <c r="A27" s="123">
        <f t="shared" si="11"/>
        <v>22</v>
      </c>
      <c r="B27" s="208">
        <v>81524</v>
      </c>
      <c r="C27" s="208" t="s">
        <v>208</v>
      </c>
      <c r="D27" s="125"/>
      <c r="E27" s="172"/>
      <c r="F27" s="124" t="s">
        <v>169</v>
      </c>
      <c r="G27" s="124"/>
      <c r="H27" s="124"/>
      <c r="I27" s="123">
        <v>605</v>
      </c>
      <c r="J27" s="123">
        <v>24</v>
      </c>
      <c r="K27" s="123">
        <v>0</v>
      </c>
      <c r="L27" s="173">
        <f t="shared" si="3"/>
        <v>24</v>
      </c>
      <c r="M27" s="174">
        <f t="shared" si="0"/>
        <v>14520</v>
      </c>
      <c r="N27" s="175">
        <f t="shared" si="4"/>
        <v>7986.0000000000009</v>
      </c>
      <c r="O27" s="174">
        <f t="shared" si="5"/>
        <v>6534</v>
      </c>
      <c r="P27" s="173">
        <v>48</v>
      </c>
      <c r="Q27" s="174">
        <f t="shared" si="6"/>
        <v>3993</v>
      </c>
      <c r="R27" s="173">
        <v>0</v>
      </c>
      <c r="S27" s="173">
        <v>0</v>
      </c>
      <c r="T27" s="173"/>
      <c r="U27" s="173"/>
      <c r="V27" s="173"/>
      <c r="W27" s="174">
        <f t="shared" si="7"/>
        <v>18513</v>
      </c>
      <c r="X27" s="174">
        <f t="shared" si="8"/>
        <v>11979</v>
      </c>
      <c r="Y27" s="174">
        <f t="shared" si="1"/>
        <v>958</v>
      </c>
      <c r="Z27" s="174">
        <f t="shared" si="9"/>
        <v>90</v>
      </c>
      <c r="AA27" s="173">
        <v>0</v>
      </c>
      <c r="AB27" s="123"/>
      <c r="AC27" s="175">
        <f t="shared" si="2"/>
        <v>17465</v>
      </c>
      <c r="AD27" s="176"/>
      <c r="AF27" s="178"/>
    </row>
    <row r="28" spans="1:32" s="177" customFormat="1" ht="30" customHeight="1" x14ac:dyDescent="0.3">
      <c r="A28" s="123">
        <f t="shared" si="11"/>
        <v>23</v>
      </c>
      <c r="B28" s="208">
        <v>81528</v>
      </c>
      <c r="C28" s="208" t="s">
        <v>197</v>
      </c>
      <c r="D28" s="125"/>
      <c r="E28" s="172"/>
      <c r="F28" s="124" t="s">
        <v>1</v>
      </c>
      <c r="G28" s="124"/>
      <c r="H28" s="124"/>
      <c r="I28" s="123">
        <v>625</v>
      </c>
      <c r="J28" s="123">
        <v>24</v>
      </c>
      <c r="K28" s="123">
        <v>0</v>
      </c>
      <c r="L28" s="173">
        <f t="shared" si="3"/>
        <v>24</v>
      </c>
      <c r="M28" s="174">
        <f t="shared" si="0"/>
        <v>15000</v>
      </c>
      <c r="N28" s="175">
        <f t="shared" si="4"/>
        <v>8250</v>
      </c>
      <c r="O28" s="174">
        <f t="shared" si="5"/>
        <v>6750</v>
      </c>
      <c r="P28" s="173">
        <v>96</v>
      </c>
      <c r="Q28" s="174">
        <f t="shared" si="6"/>
        <v>8250</v>
      </c>
      <c r="R28" s="173">
        <v>480</v>
      </c>
      <c r="S28" s="173">
        <v>630</v>
      </c>
      <c r="T28" s="173"/>
      <c r="U28" s="173"/>
      <c r="V28" s="173"/>
      <c r="W28" s="174">
        <f t="shared" si="7"/>
        <v>24360</v>
      </c>
      <c r="X28" s="174">
        <f t="shared" si="8"/>
        <v>17610</v>
      </c>
      <c r="Y28" s="174">
        <f t="shared" si="1"/>
        <v>990</v>
      </c>
      <c r="Z28" s="174">
        <f t="shared" si="9"/>
        <v>133</v>
      </c>
      <c r="AA28" s="173">
        <v>480</v>
      </c>
      <c r="AB28" s="123"/>
      <c r="AC28" s="175">
        <f t="shared" si="2"/>
        <v>22757</v>
      </c>
      <c r="AD28" s="176"/>
      <c r="AF28" s="178"/>
    </row>
    <row r="29" spans="1:32" s="177" customFormat="1" ht="30" customHeight="1" x14ac:dyDescent="0.3">
      <c r="A29" s="123">
        <f t="shared" si="11"/>
        <v>24</v>
      </c>
      <c r="B29" s="208">
        <v>81530</v>
      </c>
      <c r="C29" s="208" t="s">
        <v>211</v>
      </c>
      <c r="D29" s="125"/>
      <c r="E29" s="172"/>
      <c r="F29" s="124" t="s">
        <v>2</v>
      </c>
      <c r="G29" s="124"/>
      <c r="H29" s="124"/>
      <c r="I29" s="123">
        <v>605</v>
      </c>
      <c r="J29" s="123">
        <v>19</v>
      </c>
      <c r="K29" s="123">
        <v>0</v>
      </c>
      <c r="L29" s="173">
        <f t="shared" si="3"/>
        <v>19</v>
      </c>
      <c r="M29" s="174">
        <f t="shared" si="0"/>
        <v>11495</v>
      </c>
      <c r="N29" s="175">
        <f t="shared" si="4"/>
        <v>6322.2500000000009</v>
      </c>
      <c r="O29" s="174">
        <f t="shared" si="5"/>
        <v>5172.75</v>
      </c>
      <c r="P29" s="173">
        <v>76</v>
      </c>
      <c r="Q29" s="174">
        <f t="shared" si="6"/>
        <v>6322.25</v>
      </c>
      <c r="R29" s="173">
        <v>380</v>
      </c>
      <c r="S29" s="173">
        <v>315</v>
      </c>
      <c r="T29" s="173"/>
      <c r="U29" s="173"/>
      <c r="V29" s="173"/>
      <c r="W29" s="174">
        <f t="shared" si="7"/>
        <v>18512.25</v>
      </c>
      <c r="X29" s="174">
        <f t="shared" si="8"/>
        <v>13339.5</v>
      </c>
      <c r="Y29" s="174">
        <f t="shared" si="1"/>
        <v>759</v>
      </c>
      <c r="Z29" s="174">
        <f t="shared" si="9"/>
        <v>101</v>
      </c>
      <c r="AA29" s="173">
        <v>380</v>
      </c>
      <c r="AB29" s="123">
        <v>500</v>
      </c>
      <c r="AC29" s="175">
        <f t="shared" si="2"/>
        <v>16772</v>
      </c>
      <c r="AD29" s="176"/>
      <c r="AF29" s="178"/>
    </row>
    <row r="30" spans="1:32" s="177" customFormat="1" ht="30" customHeight="1" x14ac:dyDescent="0.3">
      <c r="A30" s="123">
        <f t="shared" si="11"/>
        <v>25</v>
      </c>
      <c r="B30" s="208">
        <v>81531</v>
      </c>
      <c r="C30" s="208" t="s">
        <v>210</v>
      </c>
      <c r="D30" s="125"/>
      <c r="E30" s="172"/>
      <c r="F30" s="124" t="s">
        <v>2</v>
      </c>
      <c r="G30" s="124"/>
      <c r="H30" s="124"/>
      <c r="I30" s="123">
        <v>605</v>
      </c>
      <c r="J30" s="123">
        <v>18</v>
      </c>
      <c r="K30" s="123">
        <v>0</v>
      </c>
      <c r="L30" s="173">
        <f t="shared" si="3"/>
        <v>18</v>
      </c>
      <c r="M30" s="174">
        <f t="shared" si="0"/>
        <v>10890</v>
      </c>
      <c r="N30" s="175">
        <f t="shared" si="4"/>
        <v>5989.5000000000009</v>
      </c>
      <c r="O30" s="174">
        <f t="shared" si="5"/>
        <v>4900.5</v>
      </c>
      <c r="P30" s="173">
        <v>69</v>
      </c>
      <c r="Q30" s="174">
        <f t="shared" si="6"/>
        <v>5739.9375</v>
      </c>
      <c r="R30" s="173">
        <v>340</v>
      </c>
      <c r="S30" s="173">
        <v>450</v>
      </c>
      <c r="T30" s="173"/>
      <c r="U30" s="173"/>
      <c r="V30" s="173"/>
      <c r="W30" s="174">
        <f t="shared" si="7"/>
        <v>17419.9375</v>
      </c>
      <c r="X30" s="174">
        <f t="shared" si="8"/>
        <v>12519.4375</v>
      </c>
      <c r="Y30" s="174">
        <f t="shared" si="1"/>
        <v>719</v>
      </c>
      <c r="Z30" s="174">
        <f t="shared" si="9"/>
        <v>94</v>
      </c>
      <c r="AA30" s="173">
        <v>0</v>
      </c>
      <c r="AB30" s="123"/>
      <c r="AC30" s="175">
        <f t="shared" si="2"/>
        <v>16607</v>
      </c>
      <c r="AD30" s="176"/>
      <c r="AF30" s="178"/>
    </row>
    <row r="31" spans="1:32" s="177" customFormat="1" ht="30" customHeight="1" x14ac:dyDescent="0.3">
      <c r="A31" s="123">
        <f t="shared" si="11"/>
        <v>26</v>
      </c>
      <c r="B31" s="208">
        <v>81532</v>
      </c>
      <c r="C31" s="208" t="s">
        <v>212</v>
      </c>
      <c r="D31" s="125"/>
      <c r="E31" s="172"/>
      <c r="F31" s="124" t="s">
        <v>192</v>
      </c>
      <c r="G31" s="124"/>
      <c r="H31" s="124"/>
      <c r="I31" s="123">
        <v>635</v>
      </c>
      <c r="J31" s="123">
        <v>24</v>
      </c>
      <c r="K31" s="123">
        <v>0</v>
      </c>
      <c r="L31" s="173">
        <f t="shared" si="3"/>
        <v>24</v>
      </c>
      <c r="M31" s="174">
        <f t="shared" si="0"/>
        <v>15240</v>
      </c>
      <c r="N31" s="175">
        <f t="shared" si="4"/>
        <v>8382</v>
      </c>
      <c r="O31" s="174">
        <f t="shared" si="5"/>
        <v>6858</v>
      </c>
      <c r="P31" s="173">
        <v>96</v>
      </c>
      <c r="Q31" s="174">
        <f t="shared" si="6"/>
        <v>8382</v>
      </c>
      <c r="R31" s="173">
        <v>480</v>
      </c>
      <c r="S31" s="173">
        <v>270</v>
      </c>
      <c r="T31" s="173"/>
      <c r="U31" s="173"/>
      <c r="V31" s="173"/>
      <c r="W31" s="174">
        <f t="shared" si="7"/>
        <v>24372</v>
      </c>
      <c r="X31" s="174">
        <f t="shared" si="8"/>
        <v>17514</v>
      </c>
      <c r="Y31" s="174">
        <f t="shared" ref="Y31:Y57" si="12">ROUND(N31*12%,0)</f>
        <v>1006</v>
      </c>
      <c r="Z31" s="174">
        <f t="shared" si="9"/>
        <v>132</v>
      </c>
      <c r="AA31" s="173">
        <v>480</v>
      </c>
      <c r="AB31" s="123"/>
      <c r="AC31" s="175">
        <f t="shared" si="2"/>
        <v>22754</v>
      </c>
      <c r="AD31" s="176"/>
      <c r="AF31" s="178"/>
    </row>
    <row r="32" spans="1:32" s="177" customFormat="1" ht="30" customHeight="1" x14ac:dyDescent="0.3">
      <c r="A32" s="123">
        <f t="shared" si="11"/>
        <v>27</v>
      </c>
      <c r="B32" s="208">
        <v>81533</v>
      </c>
      <c r="C32" s="208" t="s">
        <v>213</v>
      </c>
      <c r="D32" s="125"/>
      <c r="E32" s="172"/>
      <c r="F32" s="124" t="s">
        <v>1</v>
      </c>
      <c r="G32" s="124"/>
      <c r="H32" s="124"/>
      <c r="I32" s="123">
        <v>625</v>
      </c>
      <c r="J32" s="123">
        <v>23</v>
      </c>
      <c r="K32" s="123">
        <v>0</v>
      </c>
      <c r="L32" s="173">
        <f t="shared" si="3"/>
        <v>23</v>
      </c>
      <c r="M32" s="174">
        <f t="shared" si="0"/>
        <v>14375</v>
      </c>
      <c r="N32" s="175">
        <f t="shared" si="4"/>
        <v>7906.2500000000009</v>
      </c>
      <c r="O32" s="174">
        <f t="shared" si="5"/>
        <v>6468.75</v>
      </c>
      <c r="P32" s="173">
        <v>92</v>
      </c>
      <c r="Q32" s="174">
        <f t="shared" si="6"/>
        <v>7906.25</v>
      </c>
      <c r="R32" s="173">
        <v>460</v>
      </c>
      <c r="S32" s="173">
        <v>315</v>
      </c>
      <c r="T32" s="173"/>
      <c r="U32" s="173"/>
      <c r="V32" s="173"/>
      <c r="W32" s="174">
        <f t="shared" si="7"/>
        <v>23056.25</v>
      </c>
      <c r="X32" s="174">
        <f t="shared" si="8"/>
        <v>16587.5</v>
      </c>
      <c r="Y32" s="174">
        <f t="shared" si="12"/>
        <v>949</v>
      </c>
      <c r="Z32" s="174">
        <f t="shared" si="9"/>
        <v>125</v>
      </c>
      <c r="AA32" s="173">
        <v>460</v>
      </c>
      <c r="AB32" s="123"/>
      <c r="AC32" s="175">
        <f t="shared" si="2"/>
        <v>21522</v>
      </c>
      <c r="AD32" s="176"/>
      <c r="AF32" s="178"/>
    </row>
    <row r="33" spans="1:32" s="177" customFormat="1" ht="30" customHeight="1" x14ac:dyDescent="0.3">
      <c r="A33" s="123">
        <f t="shared" si="11"/>
        <v>28</v>
      </c>
      <c r="B33" s="208">
        <v>81534</v>
      </c>
      <c r="C33" s="208" t="s">
        <v>214</v>
      </c>
      <c r="D33" s="125"/>
      <c r="E33" s="172"/>
      <c r="F33" s="124" t="s">
        <v>192</v>
      </c>
      <c r="G33" s="124"/>
      <c r="H33" s="124"/>
      <c r="I33" s="123">
        <v>635</v>
      </c>
      <c r="J33" s="123">
        <v>23</v>
      </c>
      <c r="K33" s="123">
        <v>0</v>
      </c>
      <c r="L33" s="173">
        <f t="shared" si="3"/>
        <v>23</v>
      </c>
      <c r="M33" s="174">
        <f t="shared" si="0"/>
        <v>14605</v>
      </c>
      <c r="N33" s="175">
        <f t="shared" si="4"/>
        <v>8032.7500000000009</v>
      </c>
      <c r="O33" s="174">
        <f t="shared" si="5"/>
        <v>6572.25</v>
      </c>
      <c r="P33" s="173">
        <v>92</v>
      </c>
      <c r="Q33" s="174">
        <f t="shared" si="6"/>
        <v>8032.75</v>
      </c>
      <c r="R33" s="173">
        <v>460</v>
      </c>
      <c r="S33" s="173">
        <v>630</v>
      </c>
      <c r="T33" s="173"/>
      <c r="U33" s="173"/>
      <c r="V33" s="173"/>
      <c r="W33" s="174">
        <f t="shared" si="7"/>
        <v>23727.75</v>
      </c>
      <c r="X33" s="174">
        <f t="shared" si="8"/>
        <v>17155.5</v>
      </c>
      <c r="Y33" s="174">
        <f t="shared" si="12"/>
        <v>964</v>
      </c>
      <c r="Z33" s="174">
        <f t="shared" si="9"/>
        <v>129</v>
      </c>
      <c r="AA33" s="173">
        <v>460</v>
      </c>
      <c r="AB33" s="123"/>
      <c r="AC33" s="175">
        <f t="shared" si="2"/>
        <v>22175</v>
      </c>
      <c r="AD33" s="176"/>
      <c r="AF33" s="178"/>
    </row>
    <row r="34" spans="1:32" s="177" customFormat="1" ht="30" customHeight="1" x14ac:dyDescent="0.3">
      <c r="A34" s="123">
        <f t="shared" si="11"/>
        <v>29</v>
      </c>
      <c r="B34" s="208">
        <v>81535</v>
      </c>
      <c r="C34" s="208" t="s">
        <v>215</v>
      </c>
      <c r="D34" s="125"/>
      <c r="E34" s="172"/>
      <c r="F34" s="124" t="s">
        <v>30</v>
      </c>
      <c r="G34" s="124"/>
      <c r="H34" s="124"/>
      <c r="I34" s="123">
        <v>605</v>
      </c>
      <c r="J34" s="123">
        <v>23</v>
      </c>
      <c r="K34" s="123">
        <v>0</v>
      </c>
      <c r="L34" s="173">
        <f t="shared" si="3"/>
        <v>23</v>
      </c>
      <c r="M34" s="174">
        <f t="shared" si="0"/>
        <v>13915</v>
      </c>
      <c r="N34" s="175">
        <f t="shared" si="4"/>
        <v>7653.2500000000009</v>
      </c>
      <c r="O34" s="174">
        <f t="shared" si="5"/>
        <v>6261.75</v>
      </c>
      <c r="P34" s="173">
        <v>8</v>
      </c>
      <c r="Q34" s="174">
        <f t="shared" si="6"/>
        <v>665.5</v>
      </c>
      <c r="R34" s="173">
        <v>40</v>
      </c>
      <c r="S34" s="173">
        <v>0</v>
      </c>
      <c r="T34" s="173"/>
      <c r="U34" s="173"/>
      <c r="V34" s="173"/>
      <c r="W34" s="174">
        <f t="shared" si="7"/>
        <v>14620.5</v>
      </c>
      <c r="X34" s="174">
        <f t="shared" si="8"/>
        <v>8358.75</v>
      </c>
      <c r="Y34" s="174">
        <f t="shared" si="12"/>
        <v>918</v>
      </c>
      <c r="Z34" s="174">
        <f t="shared" si="9"/>
        <v>63</v>
      </c>
      <c r="AA34" s="173">
        <v>0</v>
      </c>
      <c r="AB34" s="123"/>
      <c r="AC34" s="175">
        <f t="shared" si="2"/>
        <v>13640</v>
      </c>
      <c r="AD34" s="176"/>
      <c r="AF34" s="178"/>
    </row>
    <row r="35" spans="1:32" s="177" customFormat="1" ht="30" customHeight="1" x14ac:dyDescent="0.3">
      <c r="A35" s="123">
        <f t="shared" si="11"/>
        <v>30</v>
      </c>
      <c r="B35" s="208">
        <v>81536</v>
      </c>
      <c r="C35" s="208" t="s">
        <v>216</v>
      </c>
      <c r="D35" s="125"/>
      <c r="E35" s="172"/>
      <c r="F35" s="124" t="s">
        <v>2</v>
      </c>
      <c r="G35" s="124"/>
      <c r="H35" s="124"/>
      <c r="I35" s="123">
        <v>605</v>
      </c>
      <c r="J35" s="123">
        <v>23</v>
      </c>
      <c r="K35" s="123">
        <v>0</v>
      </c>
      <c r="L35" s="173">
        <f t="shared" si="3"/>
        <v>23</v>
      </c>
      <c r="M35" s="174">
        <f t="shared" si="0"/>
        <v>13915</v>
      </c>
      <c r="N35" s="175">
        <f t="shared" si="4"/>
        <v>7653.2500000000009</v>
      </c>
      <c r="O35" s="174">
        <f t="shared" si="5"/>
        <v>6261.75</v>
      </c>
      <c r="P35" s="173">
        <v>92</v>
      </c>
      <c r="Q35" s="174">
        <f t="shared" si="6"/>
        <v>7653.25</v>
      </c>
      <c r="R35" s="173">
        <v>460</v>
      </c>
      <c r="S35" s="173">
        <v>675</v>
      </c>
      <c r="T35" s="173"/>
      <c r="U35" s="173"/>
      <c r="V35" s="173"/>
      <c r="W35" s="174">
        <f t="shared" si="7"/>
        <v>22703.25</v>
      </c>
      <c r="X35" s="174">
        <f t="shared" si="8"/>
        <v>16441.5</v>
      </c>
      <c r="Y35" s="174">
        <f t="shared" si="12"/>
        <v>918</v>
      </c>
      <c r="Z35" s="174">
        <f t="shared" si="9"/>
        <v>124</v>
      </c>
      <c r="AA35" s="173">
        <v>460</v>
      </c>
      <c r="AB35" s="123"/>
      <c r="AC35" s="175">
        <f t="shared" si="2"/>
        <v>21201</v>
      </c>
      <c r="AD35" s="176"/>
      <c r="AF35" s="178"/>
    </row>
    <row r="36" spans="1:32" s="177" customFormat="1" ht="30" customHeight="1" x14ac:dyDescent="0.3">
      <c r="A36" s="123">
        <f t="shared" si="11"/>
        <v>31</v>
      </c>
      <c r="B36" s="208">
        <v>81538</v>
      </c>
      <c r="C36" s="208" t="s">
        <v>217</v>
      </c>
      <c r="D36" s="125"/>
      <c r="E36" s="172"/>
      <c r="F36" s="124" t="s">
        <v>2</v>
      </c>
      <c r="G36" s="124"/>
      <c r="H36" s="124"/>
      <c r="I36" s="123">
        <v>605</v>
      </c>
      <c r="J36" s="123">
        <v>23</v>
      </c>
      <c r="K36" s="123">
        <v>0</v>
      </c>
      <c r="L36" s="173">
        <f t="shared" si="3"/>
        <v>23</v>
      </c>
      <c r="M36" s="174">
        <f t="shared" si="0"/>
        <v>13915</v>
      </c>
      <c r="N36" s="175">
        <f t="shared" si="4"/>
        <v>7653.2500000000009</v>
      </c>
      <c r="O36" s="174">
        <f t="shared" si="5"/>
        <v>6261.75</v>
      </c>
      <c r="P36" s="173">
        <v>92</v>
      </c>
      <c r="Q36" s="174">
        <f t="shared" si="6"/>
        <v>7653.25</v>
      </c>
      <c r="R36" s="173">
        <v>460</v>
      </c>
      <c r="S36" s="173">
        <v>585</v>
      </c>
      <c r="T36" s="173"/>
      <c r="U36" s="173"/>
      <c r="V36" s="173"/>
      <c r="W36" s="174">
        <f t="shared" si="7"/>
        <v>22613.25</v>
      </c>
      <c r="X36" s="174">
        <f t="shared" si="8"/>
        <v>16351.5</v>
      </c>
      <c r="Y36" s="174">
        <f t="shared" si="12"/>
        <v>918</v>
      </c>
      <c r="Z36" s="174">
        <f t="shared" si="9"/>
        <v>123</v>
      </c>
      <c r="AA36" s="173">
        <v>460</v>
      </c>
      <c r="AB36" s="123"/>
      <c r="AC36" s="175">
        <f t="shared" si="2"/>
        <v>21112</v>
      </c>
      <c r="AD36" s="176"/>
      <c r="AF36" s="178"/>
    </row>
    <row r="37" spans="1:32" s="177" customFormat="1" ht="30" customHeight="1" x14ac:dyDescent="0.3">
      <c r="A37" s="123">
        <f t="shared" si="11"/>
        <v>32</v>
      </c>
      <c r="B37" s="208">
        <v>81539</v>
      </c>
      <c r="C37" s="208" t="s">
        <v>218</v>
      </c>
      <c r="D37" s="125"/>
      <c r="E37" s="172"/>
      <c r="F37" s="124" t="s">
        <v>3</v>
      </c>
      <c r="G37" s="124"/>
      <c r="H37" s="124"/>
      <c r="I37" s="123">
        <v>605</v>
      </c>
      <c r="J37" s="123">
        <v>10</v>
      </c>
      <c r="K37" s="123">
        <v>0</v>
      </c>
      <c r="L37" s="173">
        <f t="shared" si="3"/>
        <v>10</v>
      </c>
      <c r="M37" s="174">
        <f t="shared" si="0"/>
        <v>6050</v>
      </c>
      <c r="N37" s="175">
        <f t="shared" si="4"/>
        <v>3327.5000000000005</v>
      </c>
      <c r="O37" s="174">
        <f t="shared" si="5"/>
        <v>2722.5</v>
      </c>
      <c r="P37" s="173">
        <v>40</v>
      </c>
      <c r="Q37" s="174">
        <f t="shared" si="6"/>
        <v>3327.5</v>
      </c>
      <c r="R37" s="173">
        <v>200</v>
      </c>
      <c r="S37" s="173">
        <v>270</v>
      </c>
      <c r="T37" s="173"/>
      <c r="U37" s="173"/>
      <c r="V37" s="173"/>
      <c r="W37" s="174">
        <f t="shared" si="7"/>
        <v>9847.5</v>
      </c>
      <c r="X37" s="174">
        <f t="shared" si="8"/>
        <v>7125</v>
      </c>
      <c r="Y37" s="174">
        <f t="shared" si="12"/>
        <v>399</v>
      </c>
      <c r="Z37" s="174">
        <f t="shared" si="9"/>
        <v>54</v>
      </c>
      <c r="AA37" s="173">
        <v>200</v>
      </c>
      <c r="AB37" s="123"/>
      <c r="AC37" s="175">
        <f t="shared" si="2"/>
        <v>9195</v>
      </c>
      <c r="AD37" s="176"/>
      <c r="AF37" s="178"/>
    </row>
    <row r="38" spans="1:32" s="177" customFormat="1" ht="30" customHeight="1" x14ac:dyDescent="0.3">
      <c r="A38" s="123">
        <f t="shared" si="11"/>
        <v>33</v>
      </c>
      <c r="B38" s="208">
        <v>81540</v>
      </c>
      <c r="C38" s="208" t="s">
        <v>219</v>
      </c>
      <c r="D38" s="125"/>
      <c r="E38" s="172"/>
      <c r="F38" s="124" t="s">
        <v>3</v>
      </c>
      <c r="G38" s="124"/>
      <c r="H38" s="124"/>
      <c r="I38" s="123">
        <v>605</v>
      </c>
      <c r="J38" s="123">
        <v>9</v>
      </c>
      <c r="K38" s="123">
        <v>0</v>
      </c>
      <c r="L38" s="173">
        <f t="shared" si="3"/>
        <v>9</v>
      </c>
      <c r="M38" s="174">
        <f t="shared" si="0"/>
        <v>5445</v>
      </c>
      <c r="N38" s="175">
        <f t="shared" si="4"/>
        <v>2994.7500000000005</v>
      </c>
      <c r="O38" s="174">
        <f t="shared" si="5"/>
        <v>2450.25</v>
      </c>
      <c r="P38" s="173">
        <v>36</v>
      </c>
      <c r="Q38" s="174">
        <f t="shared" si="6"/>
        <v>2994.75</v>
      </c>
      <c r="R38" s="173">
        <v>180</v>
      </c>
      <c r="S38" s="173">
        <v>0</v>
      </c>
      <c r="T38" s="173"/>
      <c r="U38" s="173"/>
      <c r="V38" s="173"/>
      <c r="W38" s="174">
        <f t="shared" si="7"/>
        <v>8619.75</v>
      </c>
      <c r="X38" s="174">
        <f t="shared" si="8"/>
        <v>6169.5</v>
      </c>
      <c r="Y38" s="174">
        <f t="shared" si="12"/>
        <v>359</v>
      </c>
      <c r="Z38" s="174">
        <f t="shared" si="9"/>
        <v>47</v>
      </c>
      <c r="AA38" s="173">
        <v>180</v>
      </c>
      <c r="AB38" s="123"/>
      <c r="AC38" s="175">
        <f t="shared" si="2"/>
        <v>8034</v>
      </c>
      <c r="AD38" s="176"/>
      <c r="AF38" s="178"/>
    </row>
    <row r="39" spans="1:32" s="177" customFormat="1" ht="30" customHeight="1" x14ac:dyDescent="0.3">
      <c r="A39" s="123">
        <f t="shared" si="11"/>
        <v>34</v>
      </c>
      <c r="B39" s="208">
        <v>81541</v>
      </c>
      <c r="C39" s="208" t="s">
        <v>220</v>
      </c>
      <c r="D39" s="125"/>
      <c r="E39" s="172"/>
      <c r="F39" s="124" t="s">
        <v>2</v>
      </c>
      <c r="G39" s="124"/>
      <c r="H39" s="124"/>
      <c r="I39" s="123">
        <v>605</v>
      </c>
      <c r="J39" s="123">
        <v>9</v>
      </c>
      <c r="K39" s="123">
        <v>0</v>
      </c>
      <c r="L39" s="173">
        <f t="shared" si="3"/>
        <v>9</v>
      </c>
      <c r="M39" s="174">
        <f t="shared" si="0"/>
        <v>5445</v>
      </c>
      <c r="N39" s="175">
        <f t="shared" si="4"/>
        <v>2994.7500000000005</v>
      </c>
      <c r="O39" s="174">
        <f t="shared" si="5"/>
        <v>2450.25</v>
      </c>
      <c r="P39" s="173">
        <v>36</v>
      </c>
      <c r="Q39" s="174">
        <f t="shared" si="6"/>
        <v>2994.75</v>
      </c>
      <c r="R39" s="173">
        <v>180</v>
      </c>
      <c r="S39" s="173">
        <v>225</v>
      </c>
      <c r="T39" s="173"/>
      <c r="U39" s="173"/>
      <c r="V39" s="173"/>
      <c r="W39" s="174">
        <f t="shared" si="7"/>
        <v>8844.75</v>
      </c>
      <c r="X39" s="174">
        <f t="shared" si="8"/>
        <v>6394.5</v>
      </c>
      <c r="Y39" s="174">
        <f t="shared" si="12"/>
        <v>359</v>
      </c>
      <c r="Z39" s="174">
        <f t="shared" si="9"/>
        <v>48</v>
      </c>
      <c r="AA39" s="173">
        <v>180</v>
      </c>
      <c r="AB39" s="123"/>
      <c r="AC39" s="175">
        <f t="shared" si="2"/>
        <v>8258</v>
      </c>
      <c r="AD39" s="176"/>
      <c r="AF39" s="178"/>
    </row>
    <row r="40" spans="1:32" s="177" customFormat="1" ht="30" customHeight="1" x14ac:dyDescent="0.3">
      <c r="A40" s="123">
        <f t="shared" si="11"/>
        <v>35</v>
      </c>
      <c r="B40" s="208">
        <v>81542</v>
      </c>
      <c r="C40" s="208" t="s">
        <v>221</v>
      </c>
      <c r="D40" s="125"/>
      <c r="E40" s="172"/>
      <c r="F40" s="124" t="s">
        <v>2</v>
      </c>
      <c r="G40" s="124"/>
      <c r="H40" s="124"/>
      <c r="I40" s="123">
        <v>605</v>
      </c>
      <c r="J40" s="123">
        <v>23</v>
      </c>
      <c r="K40" s="123">
        <v>0</v>
      </c>
      <c r="L40" s="173">
        <f t="shared" si="3"/>
        <v>23</v>
      </c>
      <c r="M40" s="174">
        <f t="shared" si="0"/>
        <v>13915</v>
      </c>
      <c r="N40" s="175">
        <f t="shared" si="4"/>
        <v>7653.2500000000009</v>
      </c>
      <c r="O40" s="174">
        <f t="shared" si="5"/>
        <v>6261.75</v>
      </c>
      <c r="P40" s="173">
        <v>92</v>
      </c>
      <c r="Q40" s="174">
        <f t="shared" si="6"/>
        <v>7653.25</v>
      </c>
      <c r="R40" s="173">
        <v>460</v>
      </c>
      <c r="S40" s="173">
        <v>405</v>
      </c>
      <c r="T40" s="173"/>
      <c r="U40" s="173"/>
      <c r="V40" s="173"/>
      <c r="W40" s="174">
        <f t="shared" si="7"/>
        <v>22433.25</v>
      </c>
      <c r="X40" s="174">
        <f t="shared" si="8"/>
        <v>16171.5</v>
      </c>
      <c r="Y40" s="174">
        <f t="shared" si="12"/>
        <v>918</v>
      </c>
      <c r="Z40" s="174">
        <f t="shared" si="9"/>
        <v>122</v>
      </c>
      <c r="AA40" s="173">
        <v>460</v>
      </c>
      <c r="AB40" s="123"/>
      <c r="AC40" s="175">
        <f t="shared" si="2"/>
        <v>20933</v>
      </c>
      <c r="AD40" s="176"/>
      <c r="AF40" s="178"/>
    </row>
    <row r="41" spans="1:32" s="177" customFormat="1" ht="30" customHeight="1" x14ac:dyDescent="0.3">
      <c r="A41" s="123">
        <f t="shared" si="11"/>
        <v>36</v>
      </c>
      <c r="B41" s="208">
        <v>81543</v>
      </c>
      <c r="C41" s="208" t="s">
        <v>222</v>
      </c>
      <c r="D41" s="125"/>
      <c r="E41" s="172"/>
      <c r="F41" s="124" t="s">
        <v>2</v>
      </c>
      <c r="G41" s="124"/>
      <c r="H41" s="124"/>
      <c r="I41" s="123">
        <v>605</v>
      </c>
      <c r="J41" s="123">
        <v>22</v>
      </c>
      <c r="K41" s="123">
        <v>0</v>
      </c>
      <c r="L41" s="173">
        <f t="shared" si="3"/>
        <v>22</v>
      </c>
      <c r="M41" s="174">
        <f t="shared" si="0"/>
        <v>13310</v>
      </c>
      <c r="N41" s="175">
        <f t="shared" si="4"/>
        <v>7320.5000000000009</v>
      </c>
      <c r="O41" s="174">
        <f t="shared" si="5"/>
        <v>5989.5</v>
      </c>
      <c r="P41" s="173">
        <v>88</v>
      </c>
      <c r="Q41" s="174">
        <f t="shared" si="6"/>
        <v>7320.5</v>
      </c>
      <c r="R41" s="173">
        <v>440</v>
      </c>
      <c r="S41" s="173">
        <v>585</v>
      </c>
      <c r="T41" s="173"/>
      <c r="U41" s="173"/>
      <c r="V41" s="173"/>
      <c r="W41" s="174">
        <f t="shared" si="7"/>
        <v>21655.5</v>
      </c>
      <c r="X41" s="174">
        <f t="shared" si="8"/>
        <v>15666</v>
      </c>
      <c r="Y41" s="174">
        <f t="shared" si="12"/>
        <v>878</v>
      </c>
      <c r="Z41" s="174">
        <f t="shared" si="9"/>
        <v>118</v>
      </c>
      <c r="AA41" s="173">
        <v>440</v>
      </c>
      <c r="AB41" s="123"/>
      <c r="AC41" s="175">
        <f t="shared" si="2"/>
        <v>20220</v>
      </c>
      <c r="AD41" s="176"/>
      <c r="AF41" s="178"/>
    </row>
    <row r="42" spans="1:32" s="177" customFormat="1" ht="30" customHeight="1" x14ac:dyDescent="0.3">
      <c r="A42" s="123">
        <f t="shared" si="11"/>
        <v>37</v>
      </c>
      <c r="B42" s="208">
        <v>81544</v>
      </c>
      <c r="C42" s="208" t="s">
        <v>223</v>
      </c>
      <c r="D42" s="125"/>
      <c r="E42" s="172"/>
      <c r="F42" s="124" t="s">
        <v>2</v>
      </c>
      <c r="G42" s="124"/>
      <c r="H42" s="124"/>
      <c r="I42" s="123">
        <v>605</v>
      </c>
      <c r="J42" s="123">
        <v>21</v>
      </c>
      <c r="K42" s="123">
        <v>0</v>
      </c>
      <c r="L42" s="173">
        <f t="shared" si="3"/>
        <v>21</v>
      </c>
      <c r="M42" s="174">
        <f t="shared" si="0"/>
        <v>12705</v>
      </c>
      <c r="N42" s="175">
        <f t="shared" si="4"/>
        <v>6987.7500000000009</v>
      </c>
      <c r="O42" s="174">
        <f t="shared" si="5"/>
        <v>5717.25</v>
      </c>
      <c r="P42" s="173">
        <v>84</v>
      </c>
      <c r="Q42" s="174">
        <f t="shared" si="6"/>
        <v>6987.75</v>
      </c>
      <c r="R42" s="173">
        <v>420</v>
      </c>
      <c r="S42" s="173">
        <v>495</v>
      </c>
      <c r="T42" s="173"/>
      <c r="U42" s="173"/>
      <c r="V42" s="173"/>
      <c r="W42" s="174">
        <f t="shared" si="7"/>
        <v>20607.75</v>
      </c>
      <c r="X42" s="174">
        <f t="shared" si="8"/>
        <v>14890.5</v>
      </c>
      <c r="Y42" s="174">
        <f t="shared" si="12"/>
        <v>839</v>
      </c>
      <c r="Z42" s="174">
        <f t="shared" si="9"/>
        <v>112</v>
      </c>
      <c r="AA42" s="173">
        <v>420</v>
      </c>
      <c r="AB42" s="123"/>
      <c r="AC42" s="175">
        <f t="shared" si="2"/>
        <v>19237</v>
      </c>
      <c r="AD42" s="176"/>
      <c r="AF42" s="178"/>
    </row>
    <row r="43" spans="1:32" s="177" customFormat="1" ht="30" customHeight="1" x14ac:dyDescent="0.3">
      <c r="A43" s="123">
        <f t="shared" si="11"/>
        <v>38</v>
      </c>
      <c r="B43" s="208">
        <v>81545</v>
      </c>
      <c r="C43" s="208" t="s">
        <v>224</v>
      </c>
      <c r="D43" s="125"/>
      <c r="E43" s="172"/>
      <c r="F43" s="124" t="s">
        <v>1</v>
      </c>
      <c r="G43" s="124"/>
      <c r="H43" s="124"/>
      <c r="I43" s="123">
        <v>625</v>
      </c>
      <c r="J43" s="123">
        <v>22</v>
      </c>
      <c r="K43" s="123">
        <v>0</v>
      </c>
      <c r="L43" s="173">
        <f t="shared" si="3"/>
        <v>22</v>
      </c>
      <c r="M43" s="174">
        <f t="shared" si="0"/>
        <v>13750</v>
      </c>
      <c r="N43" s="175">
        <f t="shared" si="4"/>
        <v>7562.5000000000009</v>
      </c>
      <c r="O43" s="174">
        <f t="shared" si="5"/>
        <v>6187.5</v>
      </c>
      <c r="P43" s="173">
        <v>88</v>
      </c>
      <c r="Q43" s="174">
        <f t="shared" si="6"/>
        <v>7562.5</v>
      </c>
      <c r="R43" s="173">
        <v>440</v>
      </c>
      <c r="S43" s="173">
        <v>720</v>
      </c>
      <c r="T43" s="173"/>
      <c r="U43" s="173"/>
      <c r="V43" s="173"/>
      <c r="W43" s="174">
        <f t="shared" si="7"/>
        <v>22472.5</v>
      </c>
      <c r="X43" s="174">
        <f t="shared" si="8"/>
        <v>16285</v>
      </c>
      <c r="Y43" s="174">
        <f t="shared" si="12"/>
        <v>908</v>
      </c>
      <c r="Z43" s="174">
        <f t="shared" si="9"/>
        <v>123</v>
      </c>
      <c r="AA43" s="173">
        <v>440</v>
      </c>
      <c r="AB43" s="123"/>
      <c r="AC43" s="175">
        <f t="shared" si="2"/>
        <v>21002</v>
      </c>
      <c r="AD43" s="176"/>
      <c r="AF43" s="178"/>
    </row>
    <row r="44" spans="1:32" s="177" customFormat="1" ht="30" customHeight="1" x14ac:dyDescent="0.3">
      <c r="A44" s="123">
        <f t="shared" si="11"/>
        <v>39</v>
      </c>
      <c r="B44" s="208">
        <v>81546</v>
      </c>
      <c r="C44" s="208" t="s">
        <v>225</v>
      </c>
      <c r="D44" s="125"/>
      <c r="E44" s="172"/>
      <c r="F44" s="124" t="s">
        <v>1</v>
      </c>
      <c r="G44" s="124"/>
      <c r="H44" s="124"/>
      <c r="I44" s="123">
        <v>625</v>
      </c>
      <c r="J44" s="123">
        <v>21</v>
      </c>
      <c r="K44" s="123">
        <v>0</v>
      </c>
      <c r="L44" s="173">
        <f t="shared" si="3"/>
        <v>21</v>
      </c>
      <c r="M44" s="174">
        <f t="shared" si="0"/>
        <v>13125</v>
      </c>
      <c r="N44" s="175">
        <f t="shared" si="4"/>
        <v>7218.7500000000009</v>
      </c>
      <c r="O44" s="174">
        <f t="shared" si="5"/>
        <v>5906.25</v>
      </c>
      <c r="P44" s="173">
        <v>84</v>
      </c>
      <c r="Q44" s="174">
        <f t="shared" si="6"/>
        <v>7218.75</v>
      </c>
      <c r="R44" s="173">
        <v>420</v>
      </c>
      <c r="S44" s="173">
        <v>495</v>
      </c>
      <c r="T44" s="173"/>
      <c r="U44" s="173"/>
      <c r="V44" s="173"/>
      <c r="W44" s="174">
        <f t="shared" si="7"/>
        <v>21258.75</v>
      </c>
      <c r="X44" s="174">
        <f t="shared" si="8"/>
        <v>15352.5</v>
      </c>
      <c r="Y44" s="174">
        <f t="shared" si="12"/>
        <v>866</v>
      </c>
      <c r="Z44" s="174">
        <f t="shared" si="9"/>
        <v>116</v>
      </c>
      <c r="AA44" s="173">
        <v>420</v>
      </c>
      <c r="AB44" s="123"/>
      <c r="AC44" s="175">
        <f t="shared" si="2"/>
        <v>19857</v>
      </c>
      <c r="AD44" s="176"/>
      <c r="AF44" s="178"/>
    </row>
    <row r="45" spans="1:32" s="177" customFormat="1" ht="30" customHeight="1" x14ac:dyDescent="0.3">
      <c r="A45" s="123">
        <f t="shared" si="11"/>
        <v>40</v>
      </c>
      <c r="B45" s="208">
        <v>81547</v>
      </c>
      <c r="C45" s="208" t="s">
        <v>226</v>
      </c>
      <c r="D45" s="125"/>
      <c r="E45" s="172"/>
      <c r="F45" s="124" t="s">
        <v>192</v>
      </c>
      <c r="G45" s="124"/>
      <c r="H45" s="124"/>
      <c r="I45" s="123">
        <v>635</v>
      </c>
      <c r="J45" s="123">
        <v>24</v>
      </c>
      <c r="K45" s="123">
        <v>0</v>
      </c>
      <c r="L45" s="173">
        <f t="shared" si="3"/>
        <v>24</v>
      </c>
      <c r="M45" s="174">
        <f t="shared" si="0"/>
        <v>15240</v>
      </c>
      <c r="N45" s="175">
        <f t="shared" si="4"/>
        <v>8382</v>
      </c>
      <c r="O45" s="174">
        <f t="shared" si="5"/>
        <v>6858</v>
      </c>
      <c r="P45" s="173">
        <v>96</v>
      </c>
      <c r="Q45" s="174">
        <f t="shared" si="6"/>
        <v>8382</v>
      </c>
      <c r="R45" s="173">
        <v>480</v>
      </c>
      <c r="S45" s="173">
        <v>405</v>
      </c>
      <c r="T45" s="173"/>
      <c r="U45" s="173"/>
      <c r="V45" s="173"/>
      <c r="W45" s="174">
        <f t="shared" si="7"/>
        <v>24507</v>
      </c>
      <c r="X45" s="174">
        <f t="shared" si="8"/>
        <v>17649</v>
      </c>
      <c r="Y45" s="174">
        <f t="shared" si="12"/>
        <v>1006</v>
      </c>
      <c r="Z45" s="174">
        <f t="shared" si="9"/>
        <v>133</v>
      </c>
      <c r="AA45" s="173">
        <v>480</v>
      </c>
      <c r="AB45" s="123"/>
      <c r="AC45" s="175">
        <f t="shared" si="2"/>
        <v>22888</v>
      </c>
      <c r="AD45" s="176"/>
      <c r="AF45" s="178"/>
    </row>
    <row r="46" spans="1:32" s="177" customFormat="1" ht="30" customHeight="1" x14ac:dyDescent="0.3">
      <c r="A46" s="123">
        <f t="shared" si="11"/>
        <v>41</v>
      </c>
      <c r="B46" s="208">
        <v>81548</v>
      </c>
      <c r="C46" s="208" t="s">
        <v>227</v>
      </c>
      <c r="D46" s="125"/>
      <c r="E46" s="172"/>
      <c r="F46" s="124" t="s">
        <v>1</v>
      </c>
      <c r="G46" s="124"/>
      <c r="H46" s="124"/>
      <c r="I46" s="123">
        <v>625</v>
      </c>
      <c r="J46" s="123">
        <v>10</v>
      </c>
      <c r="K46" s="123">
        <v>0</v>
      </c>
      <c r="L46" s="173">
        <f t="shared" si="3"/>
        <v>10</v>
      </c>
      <c r="M46" s="174">
        <f t="shared" si="0"/>
        <v>6250</v>
      </c>
      <c r="N46" s="175">
        <f t="shared" si="4"/>
        <v>3437.5000000000005</v>
      </c>
      <c r="O46" s="174">
        <f t="shared" si="5"/>
        <v>2812.5</v>
      </c>
      <c r="P46" s="173">
        <v>40</v>
      </c>
      <c r="Q46" s="174">
        <f t="shared" si="6"/>
        <v>3437.5</v>
      </c>
      <c r="R46" s="173">
        <v>200</v>
      </c>
      <c r="S46" s="173">
        <v>270</v>
      </c>
      <c r="T46" s="173"/>
      <c r="U46" s="173"/>
      <c r="V46" s="173"/>
      <c r="W46" s="174">
        <f t="shared" si="7"/>
        <v>10157.5</v>
      </c>
      <c r="X46" s="174">
        <f t="shared" si="8"/>
        <v>7345</v>
      </c>
      <c r="Y46" s="174">
        <f t="shared" si="12"/>
        <v>413</v>
      </c>
      <c r="Z46" s="174">
        <f t="shared" si="9"/>
        <v>56</v>
      </c>
      <c r="AA46" s="173">
        <v>200</v>
      </c>
      <c r="AB46" s="123"/>
      <c r="AC46" s="175">
        <f t="shared" si="2"/>
        <v>9489</v>
      </c>
      <c r="AD46" s="176"/>
      <c r="AF46" s="178"/>
    </row>
    <row r="47" spans="1:32" s="177" customFormat="1" ht="30" customHeight="1" x14ac:dyDescent="0.3">
      <c r="A47" s="123">
        <f t="shared" si="11"/>
        <v>42</v>
      </c>
      <c r="B47" s="208">
        <v>81549</v>
      </c>
      <c r="C47" s="208" t="s">
        <v>228</v>
      </c>
      <c r="D47" s="125"/>
      <c r="E47" s="172"/>
      <c r="F47" s="124" t="s">
        <v>1</v>
      </c>
      <c r="G47" s="124"/>
      <c r="H47" s="124"/>
      <c r="I47" s="123">
        <v>625</v>
      </c>
      <c r="J47" s="123">
        <v>21</v>
      </c>
      <c r="K47" s="123">
        <v>0</v>
      </c>
      <c r="L47" s="173">
        <f t="shared" si="3"/>
        <v>21</v>
      </c>
      <c r="M47" s="174">
        <f t="shared" si="0"/>
        <v>13125</v>
      </c>
      <c r="N47" s="175">
        <f t="shared" si="4"/>
        <v>7218.7500000000009</v>
      </c>
      <c r="O47" s="174">
        <f t="shared" si="5"/>
        <v>5906.25</v>
      </c>
      <c r="P47" s="173">
        <v>84</v>
      </c>
      <c r="Q47" s="174">
        <f t="shared" si="6"/>
        <v>7218.75</v>
      </c>
      <c r="R47" s="173">
        <v>420</v>
      </c>
      <c r="S47" s="173">
        <v>495</v>
      </c>
      <c r="T47" s="173"/>
      <c r="U47" s="173"/>
      <c r="V47" s="173"/>
      <c r="W47" s="174">
        <f t="shared" si="7"/>
        <v>21258.75</v>
      </c>
      <c r="X47" s="174">
        <f t="shared" si="8"/>
        <v>15352.5</v>
      </c>
      <c r="Y47" s="174">
        <f t="shared" si="12"/>
        <v>866</v>
      </c>
      <c r="Z47" s="174">
        <f t="shared" si="9"/>
        <v>116</v>
      </c>
      <c r="AA47" s="173">
        <v>420</v>
      </c>
      <c r="AB47" s="123"/>
      <c r="AC47" s="175">
        <f t="shared" si="2"/>
        <v>19857</v>
      </c>
      <c r="AD47" s="176"/>
      <c r="AF47" s="178"/>
    </row>
    <row r="48" spans="1:32" s="177" customFormat="1" ht="30" customHeight="1" x14ac:dyDescent="0.3">
      <c r="A48" s="123">
        <f t="shared" si="11"/>
        <v>43</v>
      </c>
      <c r="B48" s="208">
        <v>81550</v>
      </c>
      <c r="C48" s="208" t="s">
        <v>229</v>
      </c>
      <c r="D48" s="125"/>
      <c r="E48" s="172"/>
      <c r="F48" s="124" t="s">
        <v>1</v>
      </c>
      <c r="G48" s="124"/>
      <c r="H48" s="124"/>
      <c r="I48" s="123">
        <v>625</v>
      </c>
      <c r="J48" s="123">
        <v>22</v>
      </c>
      <c r="K48" s="123">
        <v>0</v>
      </c>
      <c r="L48" s="173">
        <f t="shared" si="3"/>
        <v>22</v>
      </c>
      <c r="M48" s="174">
        <f t="shared" si="0"/>
        <v>13750</v>
      </c>
      <c r="N48" s="175">
        <f t="shared" si="4"/>
        <v>7562.5000000000009</v>
      </c>
      <c r="O48" s="174">
        <f t="shared" si="5"/>
        <v>6187.5</v>
      </c>
      <c r="P48" s="173">
        <v>88</v>
      </c>
      <c r="Q48" s="174">
        <f t="shared" si="6"/>
        <v>7562.5</v>
      </c>
      <c r="R48" s="173">
        <v>440</v>
      </c>
      <c r="S48" s="173">
        <v>225</v>
      </c>
      <c r="T48" s="173"/>
      <c r="U48" s="173"/>
      <c r="V48" s="173"/>
      <c r="W48" s="174">
        <f t="shared" si="7"/>
        <v>21977.5</v>
      </c>
      <c r="X48" s="174">
        <f t="shared" si="8"/>
        <v>15790</v>
      </c>
      <c r="Y48" s="174">
        <f t="shared" si="12"/>
        <v>908</v>
      </c>
      <c r="Z48" s="174">
        <f t="shared" si="9"/>
        <v>119</v>
      </c>
      <c r="AA48" s="173">
        <v>440</v>
      </c>
      <c r="AB48" s="123"/>
      <c r="AC48" s="175">
        <f t="shared" si="2"/>
        <v>20511</v>
      </c>
      <c r="AD48" s="176"/>
      <c r="AF48" s="178"/>
    </row>
    <row r="49" spans="1:32" s="177" customFormat="1" ht="30" customHeight="1" x14ac:dyDescent="0.3">
      <c r="A49" s="123">
        <f t="shared" si="11"/>
        <v>44</v>
      </c>
      <c r="B49" s="208">
        <v>81551</v>
      </c>
      <c r="C49" s="208" t="s">
        <v>230</v>
      </c>
      <c r="D49" s="125"/>
      <c r="E49" s="172"/>
      <c r="F49" s="124" t="s">
        <v>1</v>
      </c>
      <c r="G49" s="124"/>
      <c r="H49" s="124"/>
      <c r="I49" s="123">
        <v>625</v>
      </c>
      <c r="J49" s="123">
        <v>10</v>
      </c>
      <c r="K49" s="123">
        <v>0</v>
      </c>
      <c r="L49" s="173">
        <f t="shared" si="3"/>
        <v>10</v>
      </c>
      <c r="M49" s="174">
        <f t="shared" si="0"/>
        <v>6250</v>
      </c>
      <c r="N49" s="175">
        <f t="shared" si="4"/>
        <v>3437.5000000000005</v>
      </c>
      <c r="O49" s="174">
        <f t="shared" si="5"/>
        <v>2812.5</v>
      </c>
      <c r="P49" s="173">
        <v>40</v>
      </c>
      <c r="Q49" s="174">
        <f t="shared" si="6"/>
        <v>3437.5</v>
      </c>
      <c r="R49" s="173">
        <v>200</v>
      </c>
      <c r="S49" s="173">
        <v>90</v>
      </c>
      <c r="T49" s="173"/>
      <c r="U49" s="173"/>
      <c r="V49" s="173"/>
      <c r="W49" s="174">
        <f t="shared" si="7"/>
        <v>9977.5</v>
      </c>
      <c r="X49" s="174">
        <f t="shared" si="8"/>
        <v>7165</v>
      </c>
      <c r="Y49" s="174">
        <f t="shared" si="12"/>
        <v>413</v>
      </c>
      <c r="Z49" s="174">
        <f t="shared" si="9"/>
        <v>54</v>
      </c>
      <c r="AA49" s="173">
        <v>200</v>
      </c>
      <c r="AB49" s="123"/>
      <c r="AC49" s="175">
        <f t="shared" si="2"/>
        <v>9311</v>
      </c>
      <c r="AD49" s="176"/>
      <c r="AF49" s="178"/>
    </row>
    <row r="50" spans="1:32" s="177" customFormat="1" ht="30" customHeight="1" x14ac:dyDescent="0.3">
      <c r="A50" s="123">
        <f t="shared" si="11"/>
        <v>45</v>
      </c>
      <c r="B50" s="208">
        <v>81554</v>
      </c>
      <c r="C50" s="208" t="s">
        <v>231</v>
      </c>
      <c r="D50" s="125"/>
      <c r="E50" s="172"/>
      <c r="F50" s="124" t="s">
        <v>2</v>
      </c>
      <c r="G50" s="124"/>
      <c r="H50" s="124"/>
      <c r="I50" s="123">
        <v>605</v>
      </c>
      <c r="J50" s="123">
        <v>20</v>
      </c>
      <c r="K50" s="123">
        <v>0</v>
      </c>
      <c r="L50" s="173">
        <f t="shared" si="3"/>
        <v>20</v>
      </c>
      <c r="M50" s="174">
        <f t="shared" si="0"/>
        <v>12100</v>
      </c>
      <c r="N50" s="175">
        <f t="shared" si="4"/>
        <v>6655.0000000000009</v>
      </c>
      <c r="O50" s="174">
        <f t="shared" si="5"/>
        <v>5445</v>
      </c>
      <c r="P50" s="173">
        <v>80</v>
      </c>
      <c r="Q50" s="174">
        <f t="shared" si="6"/>
        <v>6655</v>
      </c>
      <c r="R50" s="173">
        <v>400</v>
      </c>
      <c r="S50" s="173">
        <v>495</v>
      </c>
      <c r="T50" s="173"/>
      <c r="U50" s="173"/>
      <c r="V50" s="173"/>
      <c r="W50" s="174">
        <f t="shared" si="7"/>
        <v>19650</v>
      </c>
      <c r="X50" s="174">
        <f t="shared" si="8"/>
        <v>14205</v>
      </c>
      <c r="Y50" s="174">
        <f t="shared" si="12"/>
        <v>799</v>
      </c>
      <c r="Z50" s="174">
        <f t="shared" si="9"/>
        <v>107</v>
      </c>
      <c r="AA50" s="173">
        <v>400</v>
      </c>
      <c r="AB50" s="123"/>
      <c r="AC50" s="175">
        <f t="shared" si="2"/>
        <v>18344</v>
      </c>
      <c r="AD50" s="176"/>
      <c r="AF50" s="178"/>
    </row>
    <row r="51" spans="1:32" s="177" customFormat="1" ht="30" customHeight="1" x14ac:dyDescent="0.3">
      <c r="A51" s="123">
        <f t="shared" si="11"/>
        <v>46</v>
      </c>
      <c r="B51" s="208">
        <v>81555</v>
      </c>
      <c r="C51" s="208" t="s">
        <v>232</v>
      </c>
      <c r="D51" s="125"/>
      <c r="E51" s="172"/>
      <c r="F51" s="124" t="s">
        <v>194</v>
      </c>
      <c r="G51" s="124"/>
      <c r="H51" s="124"/>
      <c r="I51" s="123">
        <v>635</v>
      </c>
      <c r="J51" s="123">
        <v>20</v>
      </c>
      <c r="K51" s="123">
        <v>0</v>
      </c>
      <c r="L51" s="173">
        <f t="shared" si="3"/>
        <v>20</v>
      </c>
      <c r="M51" s="174">
        <f t="shared" si="0"/>
        <v>12700</v>
      </c>
      <c r="N51" s="175">
        <f t="shared" si="4"/>
        <v>6985.0000000000009</v>
      </c>
      <c r="O51" s="174">
        <f t="shared" si="5"/>
        <v>5715</v>
      </c>
      <c r="P51" s="173">
        <v>78</v>
      </c>
      <c r="Q51" s="174">
        <f t="shared" si="6"/>
        <v>6810.375</v>
      </c>
      <c r="R51" s="173">
        <v>380</v>
      </c>
      <c r="S51" s="173">
        <v>360</v>
      </c>
      <c r="T51" s="173"/>
      <c r="U51" s="173"/>
      <c r="V51" s="173"/>
      <c r="W51" s="174">
        <f t="shared" si="7"/>
        <v>20250.375</v>
      </c>
      <c r="X51" s="174">
        <f t="shared" si="8"/>
        <v>14535.375</v>
      </c>
      <c r="Y51" s="174">
        <f t="shared" si="12"/>
        <v>838</v>
      </c>
      <c r="Z51" s="174">
        <f t="shared" si="9"/>
        <v>110</v>
      </c>
      <c r="AA51" s="173">
        <v>400</v>
      </c>
      <c r="AB51" s="123"/>
      <c r="AC51" s="175">
        <f t="shared" si="2"/>
        <v>18902</v>
      </c>
      <c r="AD51" s="176"/>
      <c r="AF51" s="178"/>
    </row>
    <row r="52" spans="1:32" s="177" customFormat="1" ht="30" customHeight="1" x14ac:dyDescent="0.3">
      <c r="A52" s="123">
        <f t="shared" si="11"/>
        <v>47</v>
      </c>
      <c r="B52" s="208">
        <v>81556</v>
      </c>
      <c r="C52" s="208" t="s">
        <v>233</v>
      </c>
      <c r="D52" s="125"/>
      <c r="E52" s="172"/>
      <c r="F52" s="124" t="s">
        <v>194</v>
      </c>
      <c r="G52" s="124"/>
      <c r="H52" s="124"/>
      <c r="I52" s="123">
        <v>635</v>
      </c>
      <c r="J52" s="123">
        <v>11</v>
      </c>
      <c r="K52" s="123">
        <v>0</v>
      </c>
      <c r="L52" s="173">
        <f t="shared" si="3"/>
        <v>11</v>
      </c>
      <c r="M52" s="174">
        <f t="shared" si="0"/>
        <v>6985</v>
      </c>
      <c r="N52" s="175">
        <f t="shared" si="4"/>
        <v>3841.7500000000005</v>
      </c>
      <c r="O52" s="174">
        <f t="shared" si="5"/>
        <v>3143.25</v>
      </c>
      <c r="P52" s="173">
        <v>44</v>
      </c>
      <c r="Q52" s="174">
        <f t="shared" si="6"/>
        <v>3841.75</v>
      </c>
      <c r="R52" s="173">
        <v>220</v>
      </c>
      <c r="S52" s="173">
        <v>270</v>
      </c>
      <c r="T52" s="173"/>
      <c r="U52" s="173"/>
      <c r="V52" s="173"/>
      <c r="W52" s="174">
        <f t="shared" si="7"/>
        <v>11316.75</v>
      </c>
      <c r="X52" s="174">
        <f t="shared" si="8"/>
        <v>8173.5</v>
      </c>
      <c r="Y52" s="174">
        <f t="shared" si="12"/>
        <v>461</v>
      </c>
      <c r="Z52" s="174">
        <f t="shared" si="9"/>
        <v>62</v>
      </c>
      <c r="AA52" s="173">
        <v>220</v>
      </c>
      <c r="AB52" s="123"/>
      <c r="AC52" s="175">
        <f t="shared" si="2"/>
        <v>10574</v>
      </c>
      <c r="AD52" s="176"/>
      <c r="AF52" s="178"/>
    </row>
    <row r="53" spans="1:32" s="177" customFormat="1" ht="30" customHeight="1" x14ac:dyDescent="0.3">
      <c r="A53" s="123">
        <f t="shared" si="11"/>
        <v>48</v>
      </c>
      <c r="B53" s="208">
        <v>81557</v>
      </c>
      <c r="C53" s="208" t="s">
        <v>234</v>
      </c>
      <c r="D53" s="125"/>
      <c r="E53" s="172"/>
      <c r="F53" s="124" t="s">
        <v>1</v>
      </c>
      <c r="G53" s="124"/>
      <c r="H53" s="124"/>
      <c r="I53" s="123">
        <v>625</v>
      </c>
      <c r="J53" s="123">
        <v>11</v>
      </c>
      <c r="K53" s="123">
        <v>0</v>
      </c>
      <c r="L53" s="173">
        <f t="shared" si="3"/>
        <v>11</v>
      </c>
      <c r="M53" s="174">
        <f t="shared" si="0"/>
        <v>6875</v>
      </c>
      <c r="N53" s="175">
        <f t="shared" si="4"/>
        <v>3781.2500000000005</v>
      </c>
      <c r="O53" s="174">
        <f t="shared" si="5"/>
        <v>3093.75</v>
      </c>
      <c r="P53" s="173">
        <v>44</v>
      </c>
      <c r="Q53" s="174">
        <f t="shared" si="6"/>
        <v>3781.25</v>
      </c>
      <c r="R53" s="173">
        <v>220</v>
      </c>
      <c r="S53" s="173">
        <v>45</v>
      </c>
      <c r="T53" s="173"/>
      <c r="U53" s="173"/>
      <c r="V53" s="173"/>
      <c r="W53" s="174">
        <f t="shared" si="7"/>
        <v>10921.25</v>
      </c>
      <c r="X53" s="174">
        <f t="shared" si="8"/>
        <v>7827.5</v>
      </c>
      <c r="Y53" s="174">
        <f t="shared" si="12"/>
        <v>454</v>
      </c>
      <c r="Z53" s="174">
        <f t="shared" si="9"/>
        <v>59</v>
      </c>
      <c r="AA53" s="173">
        <v>220</v>
      </c>
      <c r="AB53" s="123"/>
      <c r="AC53" s="175">
        <f t="shared" si="2"/>
        <v>10188</v>
      </c>
      <c r="AD53" s="176"/>
      <c r="AF53" s="178"/>
    </row>
    <row r="54" spans="1:32" s="177" customFormat="1" ht="30" customHeight="1" x14ac:dyDescent="0.3">
      <c r="A54" s="123">
        <f t="shared" si="11"/>
        <v>49</v>
      </c>
      <c r="B54" s="208">
        <v>81559</v>
      </c>
      <c r="C54" s="208" t="s">
        <v>235</v>
      </c>
      <c r="D54" s="125"/>
      <c r="E54" s="172"/>
      <c r="F54" s="124" t="s">
        <v>192</v>
      </c>
      <c r="G54" s="124"/>
      <c r="H54" s="124"/>
      <c r="I54" s="123">
        <v>635</v>
      </c>
      <c r="J54" s="123">
        <v>20</v>
      </c>
      <c r="K54" s="123">
        <v>0</v>
      </c>
      <c r="L54" s="173">
        <f t="shared" si="3"/>
        <v>20</v>
      </c>
      <c r="M54" s="174">
        <f t="shared" si="0"/>
        <v>12700</v>
      </c>
      <c r="N54" s="175">
        <f t="shared" si="4"/>
        <v>6985.0000000000009</v>
      </c>
      <c r="O54" s="174">
        <f t="shared" si="5"/>
        <v>5715</v>
      </c>
      <c r="P54" s="173">
        <v>80</v>
      </c>
      <c r="Q54" s="174">
        <f t="shared" si="6"/>
        <v>6985</v>
      </c>
      <c r="R54" s="173">
        <v>400</v>
      </c>
      <c r="S54" s="173">
        <v>225</v>
      </c>
      <c r="T54" s="173"/>
      <c r="U54" s="173"/>
      <c r="V54" s="173"/>
      <c r="W54" s="174">
        <f t="shared" si="7"/>
        <v>20310</v>
      </c>
      <c r="X54" s="174">
        <f t="shared" si="8"/>
        <v>14595</v>
      </c>
      <c r="Y54" s="174">
        <f t="shared" si="12"/>
        <v>838</v>
      </c>
      <c r="Z54" s="174">
        <f t="shared" si="9"/>
        <v>110</v>
      </c>
      <c r="AA54" s="173">
        <v>400</v>
      </c>
      <c r="AB54" s="123"/>
      <c r="AC54" s="175">
        <f t="shared" si="2"/>
        <v>18962</v>
      </c>
      <c r="AD54" s="176"/>
      <c r="AF54" s="178"/>
    </row>
    <row r="55" spans="1:32" s="177" customFormat="1" ht="30" customHeight="1" x14ac:dyDescent="0.3">
      <c r="A55" s="123">
        <f t="shared" si="11"/>
        <v>50</v>
      </c>
      <c r="B55" s="208">
        <v>81560</v>
      </c>
      <c r="C55" s="208" t="s">
        <v>236</v>
      </c>
      <c r="D55" s="125"/>
      <c r="E55" s="172"/>
      <c r="F55" s="124" t="s">
        <v>2</v>
      </c>
      <c r="G55" s="124"/>
      <c r="H55" s="124"/>
      <c r="I55" s="123">
        <v>605</v>
      </c>
      <c r="J55" s="123">
        <v>21</v>
      </c>
      <c r="K55" s="123">
        <v>0</v>
      </c>
      <c r="L55" s="173">
        <f t="shared" si="3"/>
        <v>21</v>
      </c>
      <c r="M55" s="174">
        <f t="shared" si="0"/>
        <v>12705</v>
      </c>
      <c r="N55" s="175">
        <f t="shared" si="4"/>
        <v>6987.7500000000009</v>
      </c>
      <c r="O55" s="174">
        <f t="shared" si="5"/>
        <v>5717.25</v>
      </c>
      <c r="P55" s="173">
        <v>84</v>
      </c>
      <c r="Q55" s="174">
        <f t="shared" si="6"/>
        <v>6987.75</v>
      </c>
      <c r="R55" s="173">
        <v>420</v>
      </c>
      <c r="S55" s="173">
        <v>360</v>
      </c>
      <c r="T55" s="173"/>
      <c r="U55" s="173"/>
      <c r="V55" s="173"/>
      <c r="W55" s="174">
        <f t="shared" si="7"/>
        <v>20472.75</v>
      </c>
      <c r="X55" s="174">
        <f t="shared" si="8"/>
        <v>14755.5</v>
      </c>
      <c r="Y55" s="174">
        <f t="shared" si="12"/>
        <v>839</v>
      </c>
      <c r="Z55" s="174">
        <f t="shared" si="9"/>
        <v>111</v>
      </c>
      <c r="AA55" s="173">
        <v>420</v>
      </c>
      <c r="AB55" s="123"/>
      <c r="AC55" s="175">
        <f t="shared" si="2"/>
        <v>19103</v>
      </c>
      <c r="AD55" s="176"/>
      <c r="AF55" s="178"/>
    </row>
    <row r="56" spans="1:32" s="177" customFormat="1" ht="30" customHeight="1" x14ac:dyDescent="0.3">
      <c r="A56" s="123">
        <f t="shared" si="11"/>
        <v>51</v>
      </c>
      <c r="B56" s="208">
        <v>81561</v>
      </c>
      <c r="C56" s="208" t="s">
        <v>237</v>
      </c>
      <c r="D56" s="125"/>
      <c r="E56" s="172"/>
      <c r="F56" s="124" t="s">
        <v>2</v>
      </c>
      <c r="G56" s="124"/>
      <c r="H56" s="124"/>
      <c r="I56" s="123">
        <v>605</v>
      </c>
      <c r="J56" s="123">
        <v>17</v>
      </c>
      <c r="K56" s="123">
        <v>0</v>
      </c>
      <c r="L56" s="173">
        <f t="shared" si="3"/>
        <v>17</v>
      </c>
      <c r="M56" s="174">
        <f t="shared" si="0"/>
        <v>10285</v>
      </c>
      <c r="N56" s="175">
        <f t="shared" si="4"/>
        <v>5656.7500000000009</v>
      </c>
      <c r="O56" s="174">
        <f t="shared" si="5"/>
        <v>4628.25</v>
      </c>
      <c r="P56" s="173">
        <v>68</v>
      </c>
      <c r="Q56" s="174">
        <f t="shared" si="6"/>
        <v>5656.75</v>
      </c>
      <c r="R56" s="173">
        <v>340</v>
      </c>
      <c r="S56" s="173">
        <v>360</v>
      </c>
      <c r="T56" s="173"/>
      <c r="U56" s="173"/>
      <c r="V56" s="173"/>
      <c r="W56" s="174">
        <f t="shared" si="7"/>
        <v>16641.75</v>
      </c>
      <c r="X56" s="174">
        <f t="shared" si="8"/>
        <v>12013.5</v>
      </c>
      <c r="Y56" s="174">
        <f t="shared" si="12"/>
        <v>679</v>
      </c>
      <c r="Z56" s="174">
        <f t="shared" si="9"/>
        <v>91</v>
      </c>
      <c r="AA56" s="173">
        <v>340</v>
      </c>
      <c r="AB56" s="123"/>
      <c r="AC56" s="175">
        <f t="shared" si="2"/>
        <v>15532</v>
      </c>
      <c r="AD56" s="176"/>
      <c r="AF56" s="178"/>
    </row>
    <row r="57" spans="1:32" s="177" customFormat="1" ht="30" customHeight="1" x14ac:dyDescent="0.3">
      <c r="A57" s="123">
        <f t="shared" si="11"/>
        <v>52</v>
      </c>
      <c r="B57" s="208">
        <v>81562</v>
      </c>
      <c r="C57" s="208" t="s">
        <v>238</v>
      </c>
      <c r="D57" s="125"/>
      <c r="E57" s="172"/>
      <c r="F57" s="124" t="s">
        <v>2</v>
      </c>
      <c r="G57" s="124"/>
      <c r="H57" s="124"/>
      <c r="I57" s="123">
        <v>605</v>
      </c>
      <c r="J57" s="123">
        <v>15</v>
      </c>
      <c r="K57" s="123">
        <v>0</v>
      </c>
      <c r="L57" s="173">
        <f t="shared" si="3"/>
        <v>15</v>
      </c>
      <c r="M57" s="174">
        <f t="shared" si="0"/>
        <v>9075</v>
      </c>
      <c r="N57" s="175">
        <f t="shared" si="4"/>
        <v>4991.25</v>
      </c>
      <c r="O57" s="174">
        <f t="shared" si="5"/>
        <v>4083.75</v>
      </c>
      <c r="P57" s="173">
        <v>60</v>
      </c>
      <c r="Q57" s="174">
        <f t="shared" si="6"/>
        <v>4991.25</v>
      </c>
      <c r="R57" s="173">
        <v>300</v>
      </c>
      <c r="S57" s="173">
        <v>315</v>
      </c>
      <c r="T57" s="173"/>
      <c r="U57" s="173"/>
      <c r="V57" s="173"/>
      <c r="W57" s="174">
        <f t="shared" si="7"/>
        <v>14681.25</v>
      </c>
      <c r="X57" s="174">
        <f t="shared" si="8"/>
        <v>10597.5</v>
      </c>
      <c r="Y57" s="174">
        <f t="shared" si="12"/>
        <v>599</v>
      </c>
      <c r="Z57" s="174">
        <f t="shared" si="9"/>
        <v>80</v>
      </c>
      <c r="AA57" s="173">
        <v>300</v>
      </c>
      <c r="AB57" s="123"/>
      <c r="AC57" s="175">
        <f t="shared" si="2"/>
        <v>13702</v>
      </c>
      <c r="AD57" s="176"/>
      <c r="AF57" s="178"/>
    </row>
    <row r="58" spans="1:32" s="177" customFormat="1" ht="30" customHeight="1" x14ac:dyDescent="0.3">
      <c r="A58" s="123">
        <f t="shared" si="11"/>
        <v>53</v>
      </c>
      <c r="B58" s="208">
        <v>81573</v>
      </c>
      <c r="C58" s="208" t="s">
        <v>239</v>
      </c>
      <c r="D58" s="125"/>
      <c r="E58" s="172"/>
      <c r="F58" s="124" t="s">
        <v>2</v>
      </c>
      <c r="G58" s="124"/>
      <c r="H58" s="124"/>
      <c r="I58" s="123">
        <v>605</v>
      </c>
      <c r="J58" s="123">
        <v>24</v>
      </c>
      <c r="K58" s="123">
        <v>0</v>
      </c>
      <c r="L58" s="173">
        <f t="shared" si="3"/>
        <v>24</v>
      </c>
      <c r="M58" s="174">
        <f t="shared" si="0"/>
        <v>14520</v>
      </c>
      <c r="N58" s="175">
        <f t="shared" ref="N58:N64" si="13">M58*55%</f>
        <v>7986.0000000000009</v>
      </c>
      <c r="O58" s="174">
        <f t="shared" si="5"/>
        <v>6534</v>
      </c>
      <c r="P58" s="173">
        <v>96</v>
      </c>
      <c r="Q58" s="174">
        <f t="shared" si="6"/>
        <v>7986</v>
      </c>
      <c r="R58" s="173">
        <v>480</v>
      </c>
      <c r="S58" s="173">
        <v>495</v>
      </c>
      <c r="T58" s="173"/>
      <c r="U58" s="173"/>
      <c r="V58" s="173"/>
      <c r="W58" s="174">
        <f t="shared" ref="W58:W64" si="14">(M58+Q58+R58+S58+T58+U58+V58)</f>
        <v>23481</v>
      </c>
      <c r="X58" s="174">
        <f t="shared" ref="X58:X64" si="15">+W58-O58</f>
        <v>16947</v>
      </c>
      <c r="Y58" s="174">
        <f t="shared" ref="Y58:Y64" si="16">ROUND(N58*12%,0)</f>
        <v>958</v>
      </c>
      <c r="Z58" s="174">
        <f t="shared" ref="Z58:Z64" si="17">CEILING((X58-T58)*0.75%,1)</f>
        <v>128</v>
      </c>
      <c r="AA58" s="173">
        <v>480</v>
      </c>
      <c r="AB58" s="123"/>
      <c r="AC58" s="175">
        <f t="shared" ref="AC58:AC68" si="18">ROUND((W58)-(Y58+Z58+AA58+AB58),0)</f>
        <v>21915</v>
      </c>
      <c r="AD58" s="176"/>
      <c r="AF58" s="178"/>
    </row>
    <row r="59" spans="1:32" s="177" customFormat="1" ht="30" customHeight="1" x14ac:dyDescent="0.3">
      <c r="A59" s="123">
        <f t="shared" si="11"/>
        <v>54</v>
      </c>
      <c r="B59" s="208">
        <v>81590</v>
      </c>
      <c r="C59" s="208" t="s">
        <v>243</v>
      </c>
      <c r="D59" s="125"/>
      <c r="E59" s="172"/>
      <c r="F59" s="124" t="s">
        <v>2</v>
      </c>
      <c r="G59" s="124"/>
      <c r="H59" s="124"/>
      <c r="I59" s="123">
        <v>605</v>
      </c>
      <c r="J59" s="123">
        <v>19</v>
      </c>
      <c r="K59" s="123">
        <v>0</v>
      </c>
      <c r="L59" s="173">
        <f t="shared" si="3"/>
        <v>19</v>
      </c>
      <c r="M59" s="174">
        <f t="shared" si="0"/>
        <v>11495</v>
      </c>
      <c r="N59" s="175">
        <f t="shared" si="13"/>
        <v>6322.2500000000009</v>
      </c>
      <c r="O59" s="174">
        <f t="shared" si="5"/>
        <v>5172.75</v>
      </c>
      <c r="P59" s="173">
        <v>76</v>
      </c>
      <c r="Q59" s="174">
        <f t="shared" si="6"/>
        <v>6322.25</v>
      </c>
      <c r="R59" s="173">
        <v>380</v>
      </c>
      <c r="S59" s="173">
        <v>0</v>
      </c>
      <c r="T59" s="173"/>
      <c r="U59" s="173"/>
      <c r="V59" s="173"/>
      <c r="W59" s="174">
        <f t="shared" si="14"/>
        <v>18197.25</v>
      </c>
      <c r="X59" s="174">
        <f t="shared" si="15"/>
        <v>13024.5</v>
      </c>
      <c r="Y59" s="174">
        <f t="shared" si="16"/>
        <v>759</v>
      </c>
      <c r="Z59" s="174">
        <f t="shared" si="17"/>
        <v>98</v>
      </c>
      <c r="AA59" s="173">
        <v>380</v>
      </c>
      <c r="AB59" s="123"/>
      <c r="AC59" s="175">
        <f t="shared" si="18"/>
        <v>16960</v>
      </c>
      <c r="AD59" s="176"/>
      <c r="AF59" s="178"/>
    </row>
    <row r="60" spans="1:32" s="177" customFormat="1" ht="30" customHeight="1" x14ac:dyDescent="0.3">
      <c r="A60" s="123">
        <f t="shared" si="11"/>
        <v>55</v>
      </c>
      <c r="B60" s="208">
        <v>81603</v>
      </c>
      <c r="C60" s="208" t="s">
        <v>244</v>
      </c>
      <c r="D60" s="125"/>
      <c r="E60" s="172"/>
      <c r="F60" s="124" t="s">
        <v>169</v>
      </c>
      <c r="G60" s="124"/>
      <c r="H60" s="124"/>
      <c r="I60" s="123">
        <v>605</v>
      </c>
      <c r="J60" s="123">
        <v>23</v>
      </c>
      <c r="K60" s="123">
        <v>0</v>
      </c>
      <c r="L60" s="173">
        <f t="shared" si="3"/>
        <v>23</v>
      </c>
      <c r="M60" s="174">
        <f t="shared" si="0"/>
        <v>13915</v>
      </c>
      <c r="N60" s="175">
        <f t="shared" si="13"/>
        <v>7653.2500000000009</v>
      </c>
      <c r="O60" s="174">
        <f t="shared" si="5"/>
        <v>6261.75</v>
      </c>
      <c r="P60" s="173">
        <v>47</v>
      </c>
      <c r="Q60" s="174">
        <f t="shared" si="6"/>
        <v>3909.8125</v>
      </c>
      <c r="R60" s="173">
        <v>0</v>
      </c>
      <c r="S60" s="173">
        <v>0</v>
      </c>
      <c r="T60" s="173"/>
      <c r="U60" s="173"/>
      <c r="V60" s="173"/>
      <c r="W60" s="174">
        <f t="shared" si="14"/>
        <v>17824.8125</v>
      </c>
      <c r="X60" s="174">
        <f t="shared" si="15"/>
        <v>11563.0625</v>
      </c>
      <c r="Y60" s="174">
        <f t="shared" si="16"/>
        <v>918</v>
      </c>
      <c r="Z60" s="174">
        <f t="shared" si="17"/>
        <v>87</v>
      </c>
      <c r="AA60" s="173">
        <v>0</v>
      </c>
      <c r="AB60" s="123"/>
      <c r="AC60" s="175">
        <f t="shared" si="18"/>
        <v>16820</v>
      </c>
      <c r="AD60" s="176"/>
      <c r="AF60" s="178"/>
    </row>
    <row r="61" spans="1:32" s="177" customFormat="1" ht="30" customHeight="1" x14ac:dyDescent="0.3">
      <c r="A61" s="123">
        <f t="shared" si="11"/>
        <v>56</v>
      </c>
      <c r="B61" s="208">
        <v>81604</v>
      </c>
      <c r="C61" s="208" t="s">
        <v>245</v>
      </c>
      <c r="D61" s="125"/>
      <c r="E61" s="172"/>
      <c r="F61" s="124" t="s">
        <v>2</v>
      </c>
      <c r="G61" s="124"/>
      <c r="H61" s="124"/>
      <c r="I61" s="123">
        <v>605</v>
      </c>
      <c r="J61" s="123">
        <v>20</v>
      </c>
      <c r="K61" s="123">
        <v>0</v>
      </c>
      <c r="L61" s="173">
        <f t="shared" si="3"/>
        <v>20</v>
      </c>
      <c r="M61" s="174">
        <f t="shared" si="0"/>
        <v>12100</v>
      </c>
      <c r="N61" s="175">
        <f t="shared" si="13"/>
        <v>6655.0000000000009</v>
      </c>
      <c r="O61" s="174">
        <f t="shared" si="5"/>
        <v>5445</v>
      </c>
      <c r="P61" s="173">
        <v>80</v>
      </c>
      <c r="Q61" s="174">
        <f t="shared" si="6"/>
        <v>6655</v>
      </c>
      <c r="R61" s="173">
        <v>400</v>
      </c>
      <c r="S61" s="173">
        <v>720</v>
      </c>
      <c r="T61" s="173"/>
      <c r="U61" s="173"/>
      <c r="V61" s="173"/>
      <c r="W61" s="174">
        <f t="shared" si="14"/>
        <v>19875</v>
      </c>
      <c r="X61" s="174">
        <f t="shared" si="15"/>
        <v>14430</v>
      </c>
      <c r="Y61" s="174">
        <f t="shared" si="16"/>
        <v>799</v>
      </c>
      <c r="Z61" s="174">
        <f t="shared" si="17"/>
        <v>109</v>
      </c>
      <c r="AA61" s="173">
        <v>400</v>
      </c>
      <c r="AB61" s="123"/>
      <c r="AC61" s="175">
        <f t="shared" si="18"/>
        <v>18567</v>
      </c>
      <c r="AD61" s="176"/>
      <c r="AF61" s="178"/>
    </row>
    <row r="62" spans="1:32" s="177" customFormat="1" ht="30" customHeight="1" x14ac:dyDescent="0.3">
      <c r="A62" s="123">
        <f t="shared" si="11"/>
        <v>57</v>
      </c>
      <c r="B62" s="208">
        <v>81606</v>
      </c>
      <c r="C62" s="208" t="s">
        <v>257</v>
      </c>
      <c r="D62" s="125"/>
      <c r="E62" s="172"/>
      <c r="F62" s="124" t="s">
        <v>2</v>
      </c>
      <c r="G62" s="124"/>
      <c r="H62" s="124"/>
      <c r="I62" s="123">
        <v>605</v>
      </c>
      <c r="J62" s="123">
        <v>14</v>
      </c>
      <c r="K62" s="123">
        <v>0</v>
      </c>
      <c r="L62" s="173">
        <f t="shared" si="3"/>
        <v>14</v>
      </c>
      <c r="M62" s="174">
        <f t="shared" si="0"/>
        <v>8470</v>
      </c>
      <c r="N62" s="175">
        <f t="shared" si="13"/>
        <v>4658.5</v>
      </c>
      <c r="O62" s="174">
        <f t="shared" si="5"/>
        <v>3811.5</v>
      </c>
      <c r="P62" s="173">
        <v>56</v>
      </c>
      <c r="Q62" s="174">
        <f t="shared" si="6"/>
        <v>4658.5</v>
      </c>
      <c r="R62" s="173">
        <v>280</v>
      </c>
      <c r="S62" s="173">
        <v>360</v>
      </c>
      <c r="T62" s="173"/>
      <c r="U62" s="173"/>
      <c r="V62" s="173"/>
      <c r="W62" s="174">
        <f t="shared" si="14"/>
        <v>13768.5</v>
      </c>
      <c r="X62" s="174">
        <f t="shared" si="15"/>
        <v>9957</v>
      </c>
      <c r="Y62" s="174">
        <f t="shared" si="16"/>
        <v>559</v>
      </c>
      <c r="Z62" s="174">
        <f t="shared" si="17"/>
        <v>75</v>
      </c>
      <c r="AA62" s="173">
        <v>280</v>
      </c>
      <c r="AB62" s="123"/>
      <c r="AC62" s="175">
        <f t="shared" si="18"/>
        <v>12855</v>
      </c>
      <c r="AD62" s="176"/>
      <c r="AF62" s="178"/>
    </row>
    <row r="63" spans="1:32" s="177" customFormat="1" ht="30" customHeight="1" x14ac:dyDescent="0.3">
      <c r="A63" s="123">
        <f t="shared" si="11"/>
        <v>58</v>
      </c>
      <c r="B63" s="208">
        <v>81607</v>
      </c>
      <c r="C63" s="208" t="s">
        <v>258</v>
      </c>
      <c r="D63" s="125"/>
      <c r="E63" s="172"/>
      <c r="F63" s="124" t="s">
        <v>1</v>
      </c>
      <c r="G63" s="124"/>
      <c r="H63" s="124"/>
      <c r="I63" s="123">
        <v>625</v>
      </c>
      <c r="J63" s="123">
        <v>21</v>
      </c>
      <c r="K63" s="123">
        <v>0</v>
      </c>
      <c r="L63" s="173">
        <f t="shared" si="3"/>
        <v>21</v>
      </c>
      <c r="M63" s="174">
        <f t="shared" si="0"/>
        <v>13125</v>
      </c>
      <c r="N63" s="175">
        <f t="shared" si="13"/>
        <v>7218.7500000000009</v>
      </c>
      <c r="O63" s="174">
        <f t="shared" si="5"/>
        <v>5906.25</v>
      </c>
      <c r="P63" s="173">
        <v>84</v>
      </c>
      <c r="Q63" s="174">
        <f t="shared" si="6"/>
        <v>7218.75</v>
      </c>
      <c r="R63" s="173">
        <v>420</v>
      </c>
      <c r="S63" s="173">
        <v>270</v>
      </c>
      <c r="T63" s="173"/>
      <c r="U63" s="173"/>
      <c r="V63" s="173"/>
      <c r="W63" s="174">
        <f t="shared" si="14"/>
        <v>21033.75</v>
      </c>
      <c r="X63" s="174">
        <f t="shared" si="15"/>
        <v>15127.5</v>
      </c>
      <c r="Y63" s="174">
        <f t="shared" si="16"/>
        <v>866</v>
      </c>
      <c r="Z63" s="174">
        <f t="shared" si="17"/>
        <v>114</v>
      </c>
      <c r="AA63" s="173">
        <v>420</v>
      </c>
      <c r="AB63" s="123"/>
      <c r="AC63" s="175">
        <f t="shared" si="18"/>
        <v>19634</v>
      </c>
      <c r="AD63" s="176"/>
      <c r="AF63" s="178"/>
    </row>
    <row r="64" spans="1:32" s="177" customFormat="1" ht="30" customHeight="1" x14ac:dyDescent="0.3">
      <c r="A64" s="123">
        <f>A63+1</f>
        <v>59</v>
      </c>
      <c r="B64" s="208">
        <v>81608</v>
      </c>
      <c r="C64" s="208" t="s">
        <v>259</v>
      </c>
      <c r="D64" s="125"/>
      <c r="E64" s="172"/>
      <c r="F64" s="124" t="s">
        <v>1</v>
      </c>
      <c r="G64" s="124"/>
      <c r="H64" s="124"/>
      <c r="I64" s="123">
        <v>625</v>
      </c>
      <c r="J64" s="123">
        <v>22</v>
      </c>
      <c r="K64" s="123">
        <v>0</v>
      </c>
      <c r="L64" s="173">
        <f t="shared" si="3"/>
        <v>22</v>
      </c>
      <c r="M64" s="174">
        <f t="shared" si="0"/>
        <v>13750</v>
      </c>
      <c r="N64" s="175">
        <f t="shared" si="13"/>
        <v>7562.5000000000009</v>
      </c>
      <c r="O64" s="174">
        <f t="shared" si="5"/>
        <v>6187.5</v>
      </c>
      <c r="P64" s="173">
        <v>88</v>
      </c>
      <c r="Q64" s="174">
        <f t="shared" si="6"/>
        <v>7562.5</v>
      </c>
      <c r="R64" s="173">
        <v>440</v>
      </c>
      <c r="S64" s="173">
        <v>405</v>
      </c>
      <c r="T64" s="173"/>
      <c r="U64" s="173"/>
      <c r="V64" s="173"/>
      <c r="W64" s="174">
        <f t="shared" si="14"/>
        <v>22157.5</v>
      </c>
      <c r="X64" s="174">
        <f t="shared" si="15"/>
        <v>15970</v>
      </c>
      <c r="Y64" s="174">
        <f t="shared" si="16"/>
        <v>908</v>
      </c>
      <c r="Z64" s="174">
        <f t="shared" si="17"/>
        <v>120</v>
      </c>
      <c r="AA64" s="173">
        <v>440</v>
      </c>
      <c r="AB64" s="123"/>
      <c r="AC64" s="175">
        <f t="shared" si="18"/>
        <v>20690</v>
      </c>
      <c r="AD64" s="176"/>
      <c r="AF64" s="178"/>
    </row>
    <row r="65" spans="1:32" s="177" customFormat="1" ht="30" customHeight="1" x14ac:dyDescent="0.3">
      <c r="A65" s="123">
        <f t="shared" si="11"/>
        <v>60</v>
      </c>
      <c r="B65" s="208">
        <v>81609</v>
      </c>
      <c r="C65" s="208" t="s">
        <v>268</v>
      </c>
      <c r="D65" s="125"/>
      <c r="E65" s="172"/>
      <c r="F65" s="125" t="s">
        <v>3</v>
      </c>
      <c r="G65" s="124"/>
      <c r="H65" s="124"/>
      <c r="I65" s="123">
        <v>605</v>
      </c>
      <c r="J65" s="123">
        <v>14</v>
      </c>
      <c r="K65" s="123">
        <v>0</v>
      </c>
      <c r="L65" s="173">
        <f t="shared" si="3"/>
        <v>14</v>
      </c>
      <c r="M65" s="174">
        <f t="shared" ref="M65:M68" si="19">(+I65*(L65))</f>
        <v>8470</v>
      </c>
      <c r="N65" s="175">
        <f t="shared" ref="N65:N68" si="20">M65*55%</f>
        <v>4658.5</v>
      </c>
      <c r="O65" s="174">
        <f t="shared" ref="O65:O68" si="21">M65*45%</f>
        <v>3811.5</v>
      </c>
      <c r="P65" s="173">
        <v>52</v>
      </c>
      <c r="Q65" s="174">
        <f t="shared" si="6"/>
        <v>4325.75</v>
      </c>
      <c r="R65" s="173">
        <v>260</v>
      </c>
      <c r="S65" s="173">
        <v>0</v>
      </c>
      <c r="T65" s="173"/>
      <c r="U65" s="173"/>
      <c r="V65" s="173"/>
      <c r="W65" s="174">
        <f t="shared" ref="W65:W68" si="22">(M65+Q65+R65+S65+T65+U65+V65)</f>
        <v>13055.75</v>
      </c>
      <c r="X65" s="174">
        <f t="shared" ref="X65:X68" si="23">+W65-O65</f>
        <v>9244.25</v>
      </c>
      <c r="Y65" s="174">
        <f t="shared" ref="Y65:Y68" si="24">ROUND(N65*12%,0)</f>
        <v>559</v>
      </c>
      <c r="Z65" s="174">
        <f t="shared" ref="Z65:Z68" si="25">CEILING((X65-T65)*0.75%,1)</f>
        <v>70</v>
      </c>
      <c r="AA65" s="173">
        <v>280</v>
      </c>
      <c r="AB65" s="123"/>
      <c r="AC65" s="175">
        <f t="shared" si="18"/>
        <v>12147</v>
      </c>
      <c r="AD65" s="176"/>
      <c r="AF65" s="178"/>
    </row>
    <row r="66" spans="1:32" s="177" customFormat="1" ht="30" customHeight="1" x14ac:dyDescent="0.3">
      <c r="A66" s="123">
        <f t="shared" si="11"/>
        <v>61</v>
      </c>
      <c r="B66" s="208">
        <v>81610</v>
      </c>
      <c r="C66" s="208" t="s">
        <v>269</v>
      </c>
      <c r="D66" s="125"/>
      <c r="E66" s="172"/>
      <c r="F66" s="125" t="s">
        <v>3</v>
      </c>
      <c r="G66" s="124"/>
      <c r="H66" s="124"/>
      <c r="I66" s="123">
        <v>605</v>
      </c>
      <c r="J66" s="123">
        <v>14</v>
      </c>
      <c r="K66" s="123">
        <v>0</v>
      </c>
      <c r="L66" s="173">
        <f t="shared" si="3"/>
        <v>14</v>
      </c>
      <c r="M66" s="174">
        <f t="shared" si="19"/>
        <v>8470</v>
      </c>
      <c r="N66" s="175">
        <f t="shared" si="20"/>
        <v>4658.5</v>
      </c>
      <c r="O66" s="174">
        <f t="shared" si="21"/>
        <v>3811.5</v>
      </c>
      <c r="P66" s="173">
        <v>52</v>
      </c>
      <c r="Q66" s="174">
        <f t="shared" si="6"/>
        <v>4325.75</v>
      </c>
      <c r="R66" s="173">
        <v>260</v>
      </c>
      <c r="S66" s="173">
        <v>0</v>
      </c>
      <c r="T66" s="173"/>
      <c r="U66" s="173"/>
      <c r="V66" s="173"/>
      <c r="W66" s="174">
        <f t="shared" si="22"/>
        <v>13055.75</v>
      </c>
      <c r="X66" s="174">
        <f t="shared" si="23"/>
        <v>9244.25</v>
      </c>
      <c r="Y66" s="174">
        <f t="shared" si="24"/>
        <v>559</v>
      </c>
      <c r="Z66" s="174">
        <f t="shared" si="25"/>
        <v>70</v>
      </c>
      <c r="AA66" s="173">
        <v>280</v>
      </c>
      <c r="AB66" s="123"/>
      <c r="AC66" s="175">
        <f t="shared" si="18"/>
        <v>12147</v>
      </c>
      <c r="AD66" s="176"/>
      <c r="AF66" s="178"/>
    </row>
    <row r="67" spans="1:32" s="177" customFormat="1" ht="30" customHeight="1" x14ac:dyDescent="0.3">
      <c r="A67" s="123">
        <f t="shared" si="11"/>
        <v>62</v>
      </c>
      <c r="B67" s="208">
        <v>81611</v>
      </c>
      <c r="C67" s="208" t="s">
        <v>270</v>
      </c>
      <c r="D67" s="125"/>
      <c r="E67" s="172"/>
      <c r="F67" s="125" t="s">
        <v>1</v>
      </c>
      <c r="G67" s="124"/>
      <c r="H67" s="124"/>
      <c r="I67" s="123">
        <v>625</v>
      </c>
      <c r="J67" s="123">
        <v>10</v>
      </c>
      <c r="K67" s="123">
        <v>0</v>
      </c>
      <c r="L67" s="173">
        <f t="shared" si="3"/>
        <v>10</v>
      </c>
      <c r="M67" s="174">
        <f t="shared" si="19"/>
        <v>6250</v>
      </c>
      <c r="N67" s="175">
        <f t="shared" si="20"/>
        <v>3437.5000000000005</v>
      </c>
      <c r="O67" s="174">
        <f t="shared" si="21"/>
        <v>2812.5</v>
      </c>
      <c r="P67" s="173">
        <v>40</v>
      </c>
      <c r="Q67" s="174">
        <f t="shared" si="6"/>
        <v>3437.5</v>
      </c>
      <c r="R67" s="173">
        <v>200</v>
      </c>
      <c r="S67" s="173">
        <v>450</v>
      </c>
      <c r="T67" s="173"/>
      <c r="U67" s="173"/>
      <c r="V67" s="173"/>
      <c r="W67" s="174">
        <f t="shared" si="22"/>
        <v>10337.5</v>
      </c>
      <c r="X67" s="174">
        <f t="shared" si="23"/>
        <v>7525</v>
      </c>
      <c r="Y67" s="174">
        <f t="shared" si="24"/>
        <v>413</v>
      </c>
      <c r="Z67" s="174">
        <f t="shared" si="25"/>
        <v>57</v>
      </c>
      <c r="AA67" s="173">
        <v>200</v>
      </c>
      <c r="AB67" s="123"/>
      <c r="AC67" s="175">
        <f t="shared" si="18"/>
        <v>9668</v>
      </c>
      <c r="AD67" s="176"/>
      <c r="AF67" s="178"/>
    </row>
    <row r="68" spans="1:32" s="177" customFormat="1" ht="30" customHeight="1" x14ac:dyDescent="0.3">
      <c r="A68" s="123">
        <f t="shared" si="11"/>
        <v>63</v>
      </c>
      <c r="B68" s="208">
        <v>81612</v>
      </c>
      <c r="C68" s="208" t="s">
        <v>271</v>
      </c>
      <c r="D68" s="125"/>
      <c r="E68" s="172"/>
      <c r="F68" s="125" t="s">
        <v>169</v>
      </c>
      <c r="G68" s="124"/>
      <c r="H68" s="124"/>
      <c r="I68" s="123">
        <v>605</v>
      </c>
      <c r="J68" s="123">
        <v>4</v>
      </c>
      <c r="K68" s="123">
        <v>0</v>
      </c>
      <c r="L68" s="173">
        <f t="shared" si="3"/>
        <v>4</v>
      </c>
      <c r="M68" s="174">
        <f t="shared" si="19"/>
        <v>2420</v>
      </c>
      <c r="N68" s="175">
        <f t="shared" si="20"/>
        <v>1331</v>
      </c>
      <c r="O68" s="174">
        <f t="shared" si="21"/>
        <v>1089</v>
      </c>
      <c r="P68" s="173">
        <v>8</v>
      </c>
      <c r="Q68" s="174">
        <f t="shared" si="6"/>
        <v>665.5</v>
      </c>
      <c r="R68" s="173">
        <v>0</v>
      </c>
      <c r="S68" s="173">
        <v>0</v>
      </c>
      <c r="T68" s="173"/>
      <c r="U68" s="173"/>
      <c r="V68" s="173"/>
      <c r="W68" s="174">
        <f t="shared" si="22"/>
        <v>3085.5</v>
      </c>
      <c r="X68" s="174">
        <f t="shared" si="23"/>
        <v>1996.5</v>
      </c>
      <c r="Y68" s="174">
        <f t="shared" si="24"/>
        <v>160</v>
      </c>
      <c r="Z68" s="174">
        <f t="shared" si="25"/>
        <v>15</v>
      </c>
      <c r="AA68" s="173">
        <v>80</v>
      </c>
      <c r="AB68" s="123"/>
      <c r="AC68" s="175">
        <f t="shared" si="18"/>
        <v>2831</v>
      </c>
      <c r="AD68" s="176"/>
      <c r="AF68" s="178"/>
    </row>
    <row r="69" spans="1:32" s="169" customFormat="1" ht="30" customHeight="1" x14ac:dyDescent="0.25">
      <c r="A69" s="165" t="s">
        <v>160</v>
      </c>
      <c r="B69" s="165" t="s">
        <v>160</v>
      </c>
      <c r="C69" s="206" t="s">
        <v>24</v>
      </c>
      <c r="D69" s="166" t="s">
        <v>160</v>
      </c>
      <c r="E69" s="166" t="s">
        <v>160</v>
      </c>
      <c r="F69" s="166" t="s">
        <v>160</v>
      </c>
      <c r="G69" s="166"/>
      <c r="H69" s="166"/>
      <c r="I69" s="166" t="s">
        <v>160</v>
      </c>
      <c r="J69" s="167">
        <f>SUM(J6:J68)</f>
        <v>1194.5</v>
      </c>
      <c r="K69" s="167">
        <f t="shared" ref="K69:AC69" si="26">SUM(K6:K68)</f>
        <v>0</v>
      </c>
      <c r="L69" s="167">
        <f t="shared" si="26"/>
        <v>1194.5</v>
      </c>
      <c r="M69" s="167">
        <f t="shared" si="26"/>
        <v>735592.5</v>
      </c>
      <c r="N69" s="167">
        <f t="shared" si="26"/>
        <v>404575.875</v>
      </c>
      <c r="O69" s="167">
        <f t="shared" si="26"/>
        <v>331016.625</v>
      </c>
      <c r="P69" s="167">
        <f t="shared" si="26"/>
        <v>4237</v>
      </c>
      <c r="Q69" s="167">
        <f t="shared" si="26"/>
        <v>359598.9375</v>
      </c>
      <c r="R69" s="167">
        <f t="shared" si="26"/>
        <v>18760</v>
      </c>
      <c r="S69" s="167">
        <f t="shared" si="26"/>
        <v>19755</v>
      </c>
      <c r="T69" s="167">
        <f t="shared" si="26"/>
        <v>0</v>
      </c>
      <c r="U69" s="167">
        <f t="shared" si="26"/>
        <v>0</v>
      </c>
      <c r="V69" s="167">
        <f t="shared" si="26"/>
        <v>0</v>
      </c>
      <c r="W69" s="167">
        <f t="shared" si="26"/>
        <v>1133706.4375</v>
      </c>
      <c r="X69" s="167">
        <f t="shared" si="26"/>
        <v>802689.8125</v>
      </c>
      <c r="Y69" s="167">
        <f t="shared" si="26"/>
        <v>48550</v>
      </c>
      <c r="Z69" s="167">
        <f t="shared" si="26"/>
        <v>6055</v>
      </c>
      <c r="AA69" s="167">
        <f t="shared" si="26"/>
        <v>18080</v>
      </c>
      <c r="AB69" s="167">
        <f t="shared" si="26"/>
        <v>500</v>
      </c>
      <c r="AC69" s="167">
        <f t="shared" si="26"/>
        <v>1060530</v>
      </c>
      <c r="AD69" s="168"/>
    </row>
    <row r="71" spans="1:32" x14ac:dyDescent="0.25">
      <c r="M71" s="207"/>
      <c r="N71" s="207"/>
    </row>
    <row r="72" spans="1:32" x14ac:dyDescent="0.25">
      <c r="M72" s="207"/>
    </row>
    <row r="79" spans="1:32" x14ac:dyDescent="0.25">
      <c r="A79" s="196"/>
      <c r="B79" s="196"/>
      <c r="C79" s="197"/>
      <c r="D79" s="197"/>
      <c r="E79" s="197"/>
      <c r="F79" s="197"/>
      <c r="G79" s="197"/>
      <c r="H79" s="197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96"/>
      <c r="AC79" s="145"/>
    </row>
    <row r="80" spans="1:32" s="197" customFormat="1" x14ac:dyDescent="0.25">
      <c r="A80" s="196"/>
      <c r="B80" s="196"/>
      <c r="C80" s="211"/>
      <c r="D80" s="211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  <c r="Z80" s="145"/>
      <c r="AA80" s="145"/>
      <c r="AB80" s="196"/>
      <c r="AC80" s="145"/>
      <c r="AD80" s="145"/>
      <c r="AE80" s="145"/>
      <c r="AF80" s="145"/>
    </row>
    <row r="81" spans="1:32" s="197" customFormat="1" x14ac:dyDescent="0.25">
      <c r="A81" s="196"/>
      <c r="B81" s="196"/>
      <c r="C81" s="211"/>
      <c r="D81" s="211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96"/>
      <c r="AC81" s="145"/>
      <c r="AD81" s="145"/>
      <c r="AE81" s="145"/>
      <c r="AF81" s="145"/>
    </row>
    <row r="82" spans="1:32" s="197" customFormat="1" x14ac:dyDescent="0.25">
      <c r="A82" s="196"/>
      <c r="B82" s="196"/>
      <c r="C82" s="211"/>
      <c r="D82" s="211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  <c r="Z82" s="145"/>
      <c r="AA82" s="145"/>
      <c r="AB82" s="196"/>
      <c r="AC82" s="145"/>
      <c r="AD82" s="145"/>
      <c r="AE82" s="145"/>
      <c r="AF82" s="145"/>
    </row>
    <row r="83" spans="1:32" s="197" customFormat="1" x14ac:dyDescent="0.25">
      <c r="A83" s="196"/>
      <c r="B83" s="196"/>
      <c r="C83" s="211"/>
      <c r="D83" s="211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  <c r="Z83" s="145"/>
      <c r="AA83" s="145"/>
      <c r="AB83" s="196"/>
      <c r="AC83" s="145"/>
      <c r="AD83" s="145"/>
      <c r="AE83" s="145"/>
      <c r="AF83" s="145"/>
    </row>
    <row r="84" spans="1:32" s="197" customFormat="1" x14ac:dyDescent="0.25">
      <c r="A84" s="196"/>
      <c r="B84" s="196"/>
      <c r="C84" s="211"/>
      <c r="D84" s="211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96"/>
      <c r="AC84" s="145"/>
      <c r="AD84" s="145"/>
      <c r="AE84" s="145"/>
      <c r="AF84" s="145"/>
    </row>
    <row r="85" spans="1:32" s="197" customFormat="1" x14ac:dyDescent="0.25">
      <c r="A85" s="196"/>
      <c r="B85" s="196"/>
      <c r="C85" s="211"/>
      <c r="D85" s="211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  <c r="Z85" s="145"/>
      <c r="AA85" s="145"/>
      <c r="AB85" s="196"/>
      <c r="AC85" s="145"/>
      <c r="AD85" s="145"/>
      <c r="AE85" s="145"/>
      <c r="AF85" s="145"/>
    </row>
    <row r="86" spans="1:32" s="197" customFormat="1" x14ac:dyDescent="0.25">
      <c r="A86" s="196"/>
      <c r="B86" s="196"/>
      <c r="C86" s="211"/>
      <c r="D86" s="211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  <c r="Z86" s="145"/>
      <c r="AA86" s="145"/>
      <c r="AB86" s="196"/>
      <c r="AC86" s="145"/>
      <c r="AD86" s="145"/>
      <c r="AE86" s="145"/>
      <c r="AF86" s="145"/>
    </row>
    <row r="87" spans="1:32" s="197" customFormat="1" x14ac:dyDescent="0.25">
      <c r="A87" s="196"/>
      <c r="B87" s="196"/>
      <c r="C87" s="211"/>
      <c r="D87" s="211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  <c r="Z87" s="145"/>
      <c r="AA87" s="145"/>
      <c r="AB87" s="196"/>
      <c r="AC87" s="145"/>
      <c r="AD87" s="145"/>
      <c r="AE87" s="145"/>
      <c r="AF87" s="145"/>
    </row>
    <row r="88" spans="1:32" s="197" customFormat="1" x14ac:dyDescent="0.25">
      <c r="A88" s="196"/>
      <c r="B88" s="196"/>
      <c r="C88" s="211"/>
      <c r="D88" s="211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  <c r="T88" s="145"/>
      <c r="U88" s="145"/>
      <c r="V88" s="145"/>
      <c r="W88" s="145"/>
      <c r="X88" s="145"/>
      <c r="Y88" s="145"/>
      <c r="Z88" s="145"/>
      <c r="AA88" s="145"/>
      <c r="AB88" s="196"/>
      <c r="AC88" s="145"/>
      <c r="AD88" s="145"/>
      <c r="AE88" s="145"/>
      <c r="AF88" s="145"/>
    </row>
    <row r="89" spans="1:32" s="197" customFormat="1" x14ac:dyDescent="0.25">
      <c r="A89" s="196"/>
      <c r="B89" s="196"/>
      <c r="C89" s="211"/>
      <c r="D89" s="211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96"/>
      <c r="AC89" s="145"/>
      <c r="AD89" s="145"/>
      <c r="AE89" s="145"/>
      <c r="AF89" s="145"/>
    </row>
    <row r="90" spans="1:32" s="197" customFormat="1" x14ac:dyDescent="0.25">
      <c r="A90" s="196"/>
      <c r="B90" s="196"/>
      <c r="C90" s="211"/>
      <c r="D90" s="211"/>
      <c r="I90" s="145"/>
      <c r="J90" s="145"/>
      <c r="K90" s="145"/>
      <c r="L90" s="145"/>
      <c r="M90" s="145"/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  <c r="Z90" s="145"/>
      <c r="AA90" s="145"/>
      <c r="AB90" s="196"/>
      <c r="AC90" s="145"/>
      <c r="AD90" s="145"/>
      <c r="AE90" s="145"/>
      <c r="AF90" s="145"/>
    </row>
    <row r="91" spans="1:32" s="197" customFormat="1" x14ac:dyDescent="0.25">
      <c r="A91" s="196"/>
      <c r="B91" s="196"/>
      <c r="C91" s="211"/>
      <c r="D91" s="211"/>
      <c r="I91" s="145"/>
      <c r="J91" s="145"/>
      <c r="K91" s="145"/>
      <c r="L91" s="145"/>
      <c r="M91" s="145"/>
      <c r="N91" s="145"/>
      <c r="O91" s="145"/>
      <c r="P91" s="145"/>
      <c r="Q91" s="145"/>
      <c r="R91" s="145"/>
      <c r="S91" s="145"/>
      <c r="T91" s="145"/>
      <c r="U91" s="145"/>
      <c r="V91" s="145"/>
      <c r="W91" s="145"/>
      <c r="X91" s="145"/>
      <c r="Y91" s="145"/>
      <c r="Z91" s="145"/>
      <c r="AA91" s="145"/>
      <c r="AB91" s="196"/>
      <c r="AC91" s="145"/>
      <c r="AD91" s="145"/>
      <c r="AE91" s="145"/>
      <c r="AF91" s="145"/>
    </row>
    <row r="92" spans="1:32" s="197" customFormat="1" x14ac:dyDescent="0.25">
      <c r="A92" s="196"/>
      <c r="B92" s="196"/>
      <c r="C92" s="211"/>
      <c r="D92" s="211"/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96"/>
      <c r="AC92" s="145"/>
      <c r="AD92" s="145"/>
      <c r="AE92" s="145"/>
      <c r="AF92" s="145"/>
    </row>
    <row r="93" spans="1:32" s="197" customFormat="1" x14ac:dyDescent="0.25">
      <c r="A93" s="196"/>
      <c r="B93" s="196"/>
      <c r="C93" s="211"/>
      <c r="D93" s="211"/>
      <c r="I93" s="145"/>
      <c r="J93" s="145"/>
      <c r="K93" s="145"/>
      <c r="L93" s="145"/>
      <c r="M93" s="145"/>
      <c r="N93" s="145"/>
      <c r="O93" s="145"/>
      <c r="P93" s="145"/>
      <c r="Q93" s="145"/>
      <c r="R93" s="145"/>
      <c r="S93" s="145"/>
      <c r="T93" s="145"/>
      <c r="U93" s="145"/>
      <c r="V93" s="145"/>
      <c r="W93" s="145"/>
      <c r="X93" s="145"/>
      <c r="Y93" s="145"/>
      <c r="Z93" s="145"/>
      <c r="AA93" s="145"/>
      <c r="AB93" s="196"/>
      <c r="AC93" s="145"/>
      <c r="AD93" s="145"/>
      <c r="AE93" s="145"/>
      <c r="AF93" s="145"/>
    </row>
    <row r="94" spans="1:32" s="197" customFormat="1" x14ac:dyDescent="0.25">
      <c r="A94" s="196"/>
      <c r="B94" s="196"/>
      <c r="C94" s="211"/>
      <c r="D94" s="211"/>
      <c r="I94" s="145"/>
      <c r="J94" s="145"/>
      <c r="K94" s="145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  <c r="Z94" s="145"/>
      <c r="AA94" s="145"/>
      <c r="AB94" s="196"/>
      <c r="AC94" s="145"/>
      <c r="AD94" s="145"/>
      <c r="AE94" s="145"/>
      <c r="AF94" s="145"/>
    </row>
    <row r="95" spans="1:32" s="197" customFormat="1" x14ac:dyDescent="0.25">
      <c r="A95" s="196"/>
      <c r="B95" s="196"/>
      <c r="C95" s="211"/>
      <c r="D95" s="211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96"/>
      <c r="AC95" s="145"/>
      <c r="AD95" s="145"/>
      <c r="AE95" s="145"/>
      <c r="AF95" s="145"/>
    </row>
    <row r="96" spans="1:32" s="197" customFormat="1" x14ac:dyDescent="0.25">
      <c r="A96" s="196"/>
      <c r="B96" s="196"/>
      <c r="C96" s="211"/>
      <c r="D96" s="211"/>
      <c r="I96" s="145"/>
      <c r="J96" s="145"/>
      <c r="K96" s="145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96"/>
      <c r="AC96" s="145"/>
      <c r="AD96" s="145"/>
      <c r="AE96" s="145"/>
      <c r="AF96" s="145"/>
    </row>
    <row r="97" spans="1:32" s="197" customFormat="1" x14ac:dyDescent="0.25">
      <c r="A97" s="196"/>
      <c r="B97" s="196"/>
      <c r="C97" s="211"/>
      <c r="D97" s="211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96"/>
      <c r="AC97" s="145"/>
      <c r="AD97" s="145"/>
      <c r="AE97" s="145"/>
      <c r="AF97" s="145"/>
    </row>
    <row r="98" spans="1:32" s="197" customFormat="1" x14ac:dyDescent="0.25">
      <c r="A98" s="196"/>
      <c r="B98" s="196"/>
      <c r="C98" s="211"/>
      <c r="D98" s="211"/>
      <c r="I98" s="145"/>
      <c r="J98" s="145"/>
      <c r="K98" s="145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  <c r="Z98" s="145"/>
      <c r="AA98" s="145"/>
      <c r="AB98" s="196"/>
      <c r="AC98" s="145"/>
      <c r="AD98" s="145"/>
      <c r="AE98" s="145"/>
      <c r="AF98" s="145"/>
    </row>
    <row r="99" spans="1:32" s="197" customFormat="1" x14ac:dyDescent="0.25">
      <c r="A99" s="196"/>
      <c r="B99" s="196"/>
      <c r="C99" s="211"/>
      <c r="D99" s="211"/>
      <c r="I99" s="145"/>
      <c r="J99" s="145"/>
      <c r="K99" s="145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  <c r="Z99" s="145"/>
      <c r="AA99" s="145"/>
      <c r="AB99" s="196"/>
      <c r="AC99" s="145"/>
      <c r="AD99" s="145"/>
      <c r="AE99" s="145"/>
      <c r="AF99" s="145"/>
    </row>
    <row r="100" spans="1:32" s="197" customFormat="1" x14ac:dyDescent="0.25">
      <c r="A100" s="196"/>
      <c r="B100" s="196"/>
      <c r="C100" s="211"/>
      <c r="D100" s="211"/>
      <c r="I100" s="145"/>
      <c r="J100" s="145"/>
      <c r="K100" s="145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  <c r="Z100" s="145"/>
      <c r="AA100" s="145"/>
      <c r="AB100" s="196"/>
      <c r="AC100" s="145"/>
      <c r="AD100" s="145"/>
      <c r="AE100" s="145"/>
      <c r="AF100" s="145"/>
    </row>
    <row r="101" spans="1:32" s="197" customFormat="1" x14ac:dyDescent="0.25">
      <c r="A101" s="196"/>
      <c r="B101" s="196"/>
      <c r="C101" s="211"/>
      <c r="D101" s="211"/>
      <c r="I101" s="145"/>
      <c r="J101" s="145"/>
      <c r="K101" s="145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  <c r="Z101" s="145"/>
      <c r="AA101" s="145"/>
      <c r="AB101" s="196"/>
      <c r="AC101" s="145"/>
      <c r="AD101" s="145"/>
      <c r="AE101" s="145"/>
      <c r="AF101" s="145"/>
    </row>
    <row r="102" spans="1:32" s="197" customFormat="1" x14ac:dyDescent="0.25">
      <c r="A102" s="196"/>
      <c r="B102" s="196"/>
      <c r="C102" s="211"/>
      <c r="D102" s="211"/>
      <c r="I102" s="145"/>
      <c r="J102" s="145"/>
      <c r="K102" s="145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  <c r="AA102" s="145"/>
      <c r="AB102" s="196"/>
      <c r="AC102" s="145"/>
      <c r="AD102" s="145"/>
      <c r="AE102" s="145"/>
      <c r="AF102" s="145"/>
    </row>
    <row r="103" spans="1:32" s="197" customFormat="1" x14ac:dyDescent="0.25">
      <c r="A103" s="196"/>
      <c r="B103" s="196"/>
      <c r="C103" s="211"/>
      <c r="D103" s="211"/>
      <c r="I103" s="145"/>
      <c r="J103" s="145"/>
      <c r="K103" s="145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  <c r="Z103" s="145"/>
      <c r="AA103" s="145"/>
      <c r="AB103" s="196"/>
      <c r="AC103" s="145"/>
      <c r="AD103" s="145"/>
      <c r="AE103" s="145"/>
      <c r="AF103" s="145"/>
    </row>
    <row r="104" spans="1:32" s="197" customFormat="1" x14ac:dyDescent="0.25">
      <c r="A104" s="196"/>
      <c r="B104" s="196"/>
      <c r="C104" s="211"/>
      <c r="D104" s="211"/>
      <c r="I104" s="145"/>
      <c r="J104" s="145"/>
      <c r="K104" s="145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  <c r="Z104" s="145"/>
      <c r="AA104" s="145"/>
      <c r="AB104" s="196"/>
      <c r="AC104" s="145"/>
      <c r="AD104" s="145"/>
      <c r="AE104" s="145"/>
      <c r="AF104" s="145"/>
    </row>
    <row r="105" spans="1:32" s="197" customFormat="1" x14ac:dyDescent="0.25">
      <c r="A105" s="196"/>
      <c r="B105" s="196"/>
      <c r="C105" s="211"/>
      <c r="D105" s="211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96"/>
      <c r="AC105" s="145"/>
      <c r="AD105" s="145"/>
      <c r="AE105" s="145"/>
      <c r="AF105" s="145"/>
    </row>
    <row r="106" spans="1:32" s="197" customFormat="1" x14ac:dyDescent="0.25">
      <c r="A106" s="196"/>
      <c r="B106" s="196"/>
      <c r="C106" s="211"/>
      <c r="D106" s="211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96"/>
      <c r="AC106" s="145"/>
      <c r="AD106" s="145"/>
      <c r="AE106" s="145"/>
      <c r="AF106" s="145"/>
    </row>
    <row r="107" spans="1:32" s="197" customFormat="1" x14ac:dyDescent="0.25">
      <c r="A107" s="196"/>
      <c r="B107" s="196"/>
      <c r="C107" s="211"/>
      <c r="D107" s="211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96"/>
      <c r="AC107" s="145"/>
      <c r="AD107" s="145"/>
      <c r="AE107" s="145"/>
      <c r="AF107" s="145"/>
    </row>
    <row r="108" spans="1:32" s="197" customFormat="1" x14ac:dyDescent="0.25">
      <c r="A108" s="196"/>
      <c r="B108" s="196"/>
      <c r="C108" s="211"/>
      <c r="D108" s="211"/>
      <c r="I108" s="145"/>
      <c r="J108" s="145"/>
      <c r="K108" s="145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  <c r="Z108" s="145"/>
      <c r="AA108" s="145"/>
      <c r="AB108" s="196"/>
      <c r="AC108" s="145"/>
      <c r="AD108" s="145"/>
      <c r="AE108" s="145"/>
      <c r="AF108" s="145"/>
    </row>
    <row r="109" spans="1:32" s="197" customFormat="1" x14ac:dyDescent="0.25">
      <c r="A109" s="196"/>
      <c r="B109" s="196"/>
      <c r="C109" s="213"/>
      <c r="D109" s="213"/>
      <c r="I109" s="145"/>
      <c r="J109" s="145"/>
      <c r="K109" s="145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  <c r="AA109" s="145"/>
      <c r="AB109" s="196"/>
      <c r="AC109" s="145"/>
      <c r="AD109" s="145"/>
      <c r="AE109" s="145"/>
      <c r="AF109" s="145"/>
    </row>
    <row r="110" spans="1:32" s="200" customFormat="1" x14ac:dyDescent="0.25">
      <c r="A110" s="198"/>
      <c r="B110" s="198"/>
      <c r="C110" s="212"/>
      <c r="D110" s="212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  <c r="AA110" s="201"/>
      <c r="AB110" s="198"/>
      <c r="AC110" s="201"/>
      <c r="AD110" s="145"/>
      <c r="AE110" s="145"/>
      <c r="AF110" s="145"/>
    </row>
    <row r="111" spans="1:32" s="200" customFormat="1" x14ac:dyDescent="0.25">
      <c r="A111" s="198"/>
      <c r="B111" s="198"/>
      <c r="C111" s="212"/>
      <c r="D111" s="212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198"/>
      <c r="AC111" s="201"/>
      <c r="AD111" s="145"/>
      <c r="AE111" s="145"/>
      <c r="AF111" s="145"/>
    </row>
    <row r="112" spans="1:32" s="200" customFormat="1" x14ac:dyDescent="0.25">
      <c r="A112" s="198"/>
      <c r="B112" s="198"/>
      <c r="C112" s="212"/>
      <c r="D112" s="212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  <c r="AA112" s="201"/>
      <c r="AB112" s="198"/>
      <c r="AC112" s="201"/>
      <c r="AD112" s="145"/>
      <c r="AE112" s="145"/>
      <c r="AF112" s="145"/>
    </row>
    <row r="113" spans="1:32" s="200" customFormat="1" x14ac:dyDescent="0.25">
      <c r="A113" s="198"/>
      <c r="B113" s="198"/>
      <c r="C113" s="212"/>
      <c r="D113" s="212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  <c r="AA113" s="201"/>
      <c r="AB113" s="198"/>
      <c r="AC113" s="201"/>
      <c r="AD113" s="145"/>
      <c r="AE113" s="145"/>
      <c r="AF113" s="145"/>
    </row>
  </sheetData>
  <mergeCells count="2">
    <mergeCell ref="A2:AD2"/>
    <mergeCell ref="A4:AD4"/>
  </mergeCells>
  <conditionalFormatting sqref="A69">
    <cfRule type="duplicateValues" dxfId="85" priority="1"/>
  </conditionalFormatting>
  <conditionalFormatting sqref="B4">
    <cfRule type="duplicateValues" dxfId="84" priority="32"/>
  </conditionalFormatting>
  <conditionalFormatting sqref="B6:B12">
    <cfRule type="duplicateValues" dxfId="83" priority="243"/>
  </conditionalFormatting>
  <conditionalFormatting sqref="B9:B10">
    <cfRule type="duplicateValues" dxfId="82" priority="245"/>
  </conditionalFormatting>
  <conditionalFormatting sqref="B11">
    <cfRule type="duplicateValues" dxfId="81" priority="28"/>
    <cfRule type="duplicateValues" dxfId="80" priority="29"/>
    <cfRule type="duplicateValues" dxfId="79" priority="30"/>
  </conditionalFormatting>
  <conditionalFormatting sqref="B12">
    <cfRule type="duplicateValues" dxfId="78" priority="25"/>
    <cfRule type="duplicateValues" dxfId="77" priority="26"/>
    <cfRule type="duplicateValues" dxfId="76" priority="27"/>
  </conditionalFormatting>
  <conditionalFormatting sqref="B13:B16">
    <cfRule type="duplicateValues" dxfId="75" priority="7"/>
    <cfRule type="duplicateValues" dxfId="74" priority="8"/>
    <cfRule type="duplicateValues" dxfId="73" priority="9"/>
    <cfRule type="duplicateValues" dxfId="72" priority="10"/>
  </conditionalFormatting>
  <conditionalFormatting sqref="B17">
    <cfRule type="duplicateValues" dxfId="71" priority="21"/>
    <cfRule type="duplicateValues" dxfId="70" priority="22"/>
    <cfRule type="duplicateValues" dxfId="69" priority="23"/>
    <cfRule type="duplicateValues" dxfId="68" priority="24"/>
  </conditionalFormatting>
  <conditionalFormatting sqref="B18">
    <cfRule type="duplicateValues" dxfId="67" priority="17"/>
    <cfRule type="duplicateValues" dxfId="66" priority="18"/>
    <cfRule type="duplicateValues" dxfId="65" priority="19"/>
    <cfRule type="duplicateValues" dxfId="64" priority="20"/>
  </conditionalFormatting>
  <conditionalFormatting sqref="B23">
    <cfRule type="duplicateValues" dxfId="63" priority="13"/>
    <cfRule type="duplicateValues" dxfId="62" priority="14"/>
    <cfRule type="duplicateValues" dxfId="61" priority="15"/>
    <cfRule type="duplicateValues" dxfId="60" priority="16"/>
  </conditionalFormatting>
  <conditionalFormatting sqref="B24:B68 B19:B22">
    <cfRule type="duplicateValues" dxfId="59" priority="720"/>
    <cfRule type="duplicateValues" dxfId="58" priority="721"/>
    <cfRule type="duplicateValues" dxfId="57" priority="722"/>
    <cfRule type="duplicateValues" dxfId="56" priority="723"/>
  </conditionalFormatting>
  <conditionalFormatting sqref="B69:B1048576 B1:B12">
    <cfRule type="duplicateValues" dxfId="55" priority="12"/>
  </conditionalFormatting>
  <pageMargins left="0" right="0" top="0.39370078740157483" bottom="0.39370078740157483" header="0" footer="0"/>
  <pageSetup paperSize="9" scale="49" fitToHeight="0" orientation="landscape" blackAndWhite="1" horizontalDpi="360" verticalDpi="360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showGridLines="0" zoomScale="70" zoomScaleNormal="70" workbookViewId="0">
      <pane xSplit="4" ySplit="3" topLeftCell="E4" activePane="bottomRight" state="frozen"/>
      <selection pane="topRight" activeCell="G1" sqref="G1"/>
      <selection pane="bottomLeft" activeCell="A4" sqref="A4"/>
      <selection pane="bottomRight" sqref="A1:X1"/>
    </sheetView>
  </sheetViews>
  <sheetFormatPr defaultColWidth="9.140625" defaultRowHeight="15" x14ac:dyDescent="0.25"/>
  <cols>
    <col min="1" max="1" width="15.85546875" style="160" customWidth="1"/>
    <col min="2" max="2" width="10.7109375" style="160" customWidth="1"/>
    <col min="3" max="3" width="33.28515625" style="160" customWidth="1"/>
    <col min="4" max="4" width="19.85546875" style="160" bestFit="1" customWidth="1"/>
    <col min="5" max="5" width="15" style="160" bestFit="1" customWidth="1"/>
    <col min="6" max="7" width="9.42578125" style="160" hidden="1" customWidth="1"/>
    <col min="8" max="8" width="13.5703125" style="160" customWidth="1"/>
    <col min="9" max="9" width="18.5703125" style="160" customWidth="1"/>
    <col min="10" max="10" width="17.42578125" style="160" customWidth="1"/>
    <col min="11" max="11" width="13.42578125" style="160" customWidth="1"/>
    <col min="12" max="12" width="17.85546875" style="160" customWidth="1"/>
    <col min="13" max="13" width="14.5703125" style="160" customWidth="1"/>
    <col min="14" max="14" width="15" style="160" bestFit="1" customWidth="1"/>
    <col min="15" max="15" width="20.28515625" style="160" customWidth="1"/>
    <col min="16" max="16" width="13.42578125" style="160" hidden="1" customWidth="1"/>
    <col min="17" max="17" width="10.140625" style="160" hidden="1" customWidth="1"/>
    <col min="18" max="18" width="17.85546875" style="160" customWidth="1"/>
    <col min="19" max="19" width="14.42578125" style="160" bestFit="1" customWidth="1"/>
    <col min="20" max="20" width="10.85546875" style="160" bestFit="1" customWidth="1"/>
    <col min="21" max="21" width="16.5703125" style="160" hidden="1" customWidth="1"/>
    <col min="22" max="22" width="15.85546875" style="160" hidden="1" customWidth="1"/>
    <col min="23" max="23" width="11.85546875" style="160" customWidth="1"/>
    <col min="24" max="24" width="19.85546875" style="160" customWidth="1"/>
    <col min="25" max="16384" width="9.140625" style="160"/>
  </cols>
  <sheetData>
    <row r="1" spans="1:26" s="148" customFormat="1" ht="33" customHeight="1" x14ac:dyDescent="0.45">
      <c r="A1" s="372" t="s">
        <v>190</v>
      </c>
      <c r="B1" s="372"/>
      <c r="C1" s="372"/>
      <c r="D1" s="372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2"/>
      <c r="U1" s="372"/>
      <c r="V1" s="372"/>
      <c r="W1" s="372"/>
      <c r="X1" s="372"/>
    </row>
    <row r="2" spans="1:26" s="148" customFormat="1" ht="27.75" customHeight="1" x14ac:dyDescent="0.45">
      <c r="A2" s="373" t="s">
        <v>266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</row>
    <row r="3" spans="1:26" s="151" customFormat="1" ht="62.25" customHeight="1" x14ac:dyDescent="0.35">
      <c r="A3" s="149" t="s">
        <v>13</v>
      </c>
      <c r="B3" s="149" t="s">
        <v>31</v>
      </c>
      <c r="C3" s="149" t="s">
        <v>4</v>
      </c>
      <c r="D3" s="149" t="s">
        <v>5</v>
      </c>
      <c r="E3" s="149" t="s">
        <v>59</v>
      </c>
      <c r="F3" s="149" t="s">
        <v>14</v>
      </c>
      <c r="G3" s="149" t="s">
        <v>189</v>
      </c>
      <c r="H3" s="149" t="s">
        <v>173</v>
      </c>
      <c r="I3" s="149" t="s">
        <v>240</v>
      </c>
      <c r="J3" s="149" t="s">
        <v>241</v>
      </c>
      <c r="K3" s="149" t="s">
        <v>17</v>
      </c>
      <c r="L3" s="149" t="s">
        <v>11</v>
      </c>
      <c r="M3" s="149" t="s">
        <v>174</v>
      </c>
      <c r="N3" s="149" t="s">
        <v>175</v>
      </c>
      <c r="O3" s="149" t="s">
        <v>200</v>
      </c>
      <c r="P3" s="149" t="s">
        <v>193</v>
      </c>
      <c r="Q3" s="149" t="s">
        <v>176</v>
      </c>
      <c r="R3" s="149" t="s">
        <v>20</v>
      </c>
      <c r="S3" s="149" t="s">
        <v>7</v>
      </c>
      <c r="T3" s="149" t="s">
        <v>8</v>
      </c>
      <c r="U3" s="149" t="s">
        <v>21</v>
      </c>
      <c r="V3" s="149" t="s">
        <v>22</v>
      </c>
      <c r="W3" s="149" t="s">
        <v>177</v>
      </c>
      <c r="X3" s="150" t="s">
        <v>23</v>
      </c>
    </row>
    <row r="4" spans="1:26" s="156" customFormat="1" ht="31.5" customHeight="1" x14ac:dyDescent="0.35">
      <c r="A4" s="152">
        <v>1</v>
      </c>
      <c r="B4" s="153"/>
      <c r="C4" s="210" t="s">
        <v>209</v>
      </c>
      <c r="D4" s="209" t="s">
        <v>169</v>
      </c>
      <c r="E4" s="188">
        <v>400</v>
      </c>
      <c r="F4" s="189"/>
      <c r="G4" s="189"/>
      <c r="H4" s="187">
        <v>19</v>
      </c>
      <c r="I4" s="189">
        <f>ROUND((E4*(H4))*55%,0)</f>
        <v>4180</v>
      </c>
      <c r="J4" s="188">
        <f>ROUND((E4*(H4))*45%,0)</f>
        <v>3420</v>
      </c>
      <c r="K4" s="187">
        <v>0</v>
      </c>
      <c r="L4" s="190">
        <f t="shared" ref="L4" si="0">ROUND((E4/8)*K4,0)</f>
        <v>0</v>
      </c>
      <c r="M4" s="187">
        <v>0</v>
      </c>
      <c r="N4" s="187">
        <v>0</v>
      </c>
      <c r="O4" s="190"/>
      <c r="P4" s="190"/>
      <c r="Q4" s="188"/>
      <c r="R4" s="190">
        <f t="shared" ref="R4" si="1">ROUND(I4+J4+L4+M4+N4+P4,0)</f>
        <v>7600</v>
      </c>
      <c r="S4" s="187">
        <v>0</v>
      </c>
      <c r="T4" s="188">
        <v>0</v>
      </c>
      <c r="U4" s="190"/>
      <c r="V4" s="191"/>
      <c r="W4" s="188"/>
      <c r="X4" s="192">
        <f t="shared" ref="X4" si="2">ROUND(R4-S4-T4-U4-V4-W4,0)</f>
        <v>7600</v>
      </c>
      <c r="Y4" s="154"/>
      <c r="Z4" s="155"/>
    </row>
    <row r="5" spans="1:26" s="158" customFormat="1" ht="35.1" customHeight="1" x14ac:dyDescent="0.35">
      <c r="A5" s="157" t="s">
        <v>160</v>
      </c>
      <c r="B5" s="157" t="s">
        <v>160</v>
      </c>
      <c r="C5" s="193" t="s">
        <v>160</v>
      </c>
      <c r="D5" s="193" t="s">
        <v>160</v>
      </c>
      <c r="E5" s="193" t="s">
        <v>160</v>
      </c>
      <c r="F5" s="193" t="e">
        <f>SUM(#REF!)</f>
        <v>#REF!</v>
      </c>
      <c r="G5" s="193" t="e">
        <f>SUM(#REF!)</f>
        <v>#REF!</v>
      </c>
      <c r="H5" s="193">
        <f t="shared" ref="H5:O5" si="3">SUM(H4:H4)</f>
        <v>19</v>
      </c>
      <c r="I5" s="193">
        <f t="shared" si="3"/>
        <v>4180</v>
      </c>
      <c r="J5" s="193">
        <f t="shared" si="3"/>
        <v>3420</v>
      </c>
      <c r="K5" s="193">
        <f t="shared" si="3"/>
        <v>0</v>
      </c>
      <c r="L5" s="193">
        <f t="shared" si="3"/>
        <v>0</v>
      </c>
      <c r="M5" s="193">
        <f t="shared" si="3"/>
        <v>0</v>
      </c>
      <c r="N5" s="193">
        <f t="shared" si="3"/>
        <v>0</v>
      </c>
      <c r="O5" s="193">
        <f t="shared" si="3"/>
        <v>0</v>
      </c>
      <c r="P5" s="193" t="e">
        <f>SUM(#REF!)</f>
        <v>#REF!</v>
      </c>
      <c r="Q5" s="193" t="e">
        <f>SUM(#REF!)</f>
        <v>#REF!</v>
      </c>
      <c r="R5" s="193">
        <f>SUM(R4:R4)</f>
        <v>7600</v>
      </c>
      <c r="S5" s="193">
        <f>SUM(S4:S4)</f>
        <v>0</v>
      </c>
      <c r="T5" s="193">
        <f>SUM(T4:T4)</f>
        <v>0</v>
      </c>
      <c r="U5" s="193" t="e">
        <f>SUM(#REF!)</f>
        <v>#REF!</v>
      </c>
      <c r="V5" s="193" t="e">
        <f>SUM(#REF!)</f>
        <v>#REF!</v>
      </c>
      <c r="W5" s="193">
        <f>SUM(W4:W4)</f>
        <v>0</v>
      </c>
      <c r="X5" s="193">
        <f>SUM(X4:X4)</f>
        <v>7600</v>
      </c>
    </row>
    <row r="6" spans="1:26" s="158" customFormat="1" ht="35.1" customHeight="1" x14ac:dyDescent="0.35">
      <c r="A6" s="159"/>
      <c r="B6" s="160"/>
      <c r="C6" s="159"/>
      <c r="D6" s="159"/>
      <c r="E6" s="159"/>
      <c r="F6" s="159"/>
      <c r="G6" s="159"/>
      <c r="H6" s="161"/>
      <c r="I6" s="161"/>
      <c r="J6" s="161"/>
      <c r="K6" s="161"/>
      <c r="L6" s="162"/>
      <c r="M6" s="161"/>
      <c r="N6" s="161"/>
      <c r="O6" s="161"/>
      <c r="P6" s="162"/>
      <c r="Q6" s="159"/>
      <c r="R6" s="162"/>
      <c r="S6" s="162"/>
      <c r="T6" s="159"/>
      <c r="U6" s="159"/>
      <c r="V6" s="159"/>
      <c r="W6" s="159"/>
      <c r="X6" s="159"/>
    </row>
    <row r="13" spans="1:26" x14ac:dyDescent="0.25">
      <c r="M13" s="170"/>
      <c r="Q13" s="170"/>
    </row>
  </sheetData>
  <mergeCells count="2">
    <mergeCell ref="A1:X1"/>
    <mergeCell ref="A2:X2"/>
  </mergeCells>
  <conditionalFormatting sqref="B4">
    <cfRule type="duplicateValues" dxfId="54" priority="1"/>
  </conditionalFormatting>
  <pageMargins left="0.19685039370078741" right="0" top="0.39370078740157483" bottom="0" header="0.23622047244094491" footer="0"/>
  <pageSetup paperSize="9" scale="4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43"/>
  <sheetViews>
    <sheetView showGridLines="0" zoomScale="90" zoomScaleNormal="90" zoomScaleSheetLayoutView="100" workbookViewId="0">
      <selection activeCell="A3" sqref="A3:E4"/>
    </sheetView>
  </sheetViews>
  <sheetFormatPr defaultColWidth="9.140625" defaultRowHeight="15" x14ac:dyDescent="0.25"/>
  <cols>
    <col min="1" max="1" width="7.140625" style="121" bestFit="1" customWidth="1"/>
    <col min="2" max="2" width="14.140625" style="121" customWidth="1"/>
    <col min="3" max="3" width="29" style="122" customWidth="1"/>
    <col min="4" max="4" width="24" style="120" bestFit="1" customWidth="1"/>
    <col min="5" max="5" width="16.42578125" style="120" bestFit="1" customWidth="1"/>
    <col min="6" max="16384" width="9.140625" style="120"/>
  </cols>
  <sheetData>
    <row r="1" spans="1:6" ht="15.75" thickBot="1" x14ac:dyDescent="0.3"/>
    <row r="2" spans="1:6" s="117" customFormat="1" ht="27" customHeight="1" x14ac:dyDescent="0.4">
      <c r="A2" s="374" t="s">
        <v>0</v>
      </c>
      <c r="B2" s="375"/>
      <c r="C2" s="375"/>
      <c r="D2" s="375"/>
      <c r="E2" s="376"/>
    </row>
    <row r="3" spans="1:6" s="117" customFormat="1" ht="18.75" x14ac:dyDescent="0.3">
      <c r="A3" s="377" t="s">
        <v>267</v>
      </c>
      <c r="B3" s="378"/>
      <c r="C3" s="378"/>
      <c r="D3" s="378"/>
      <c r="E3" s="379"/>
    </row>
    <row r="4" spans="1:6" s="117" customFormat="1" ht="18.75" x14ac:dyDescent="0.3">
      <c r="A4" s="377"/>
      <c r="B4" s="378"/>
      <c r="C4" s="378"/>
      <c r="D4" s="378"/>
      <c r="E4" s="379"/>
    </row>
    <row r="5" spans="1:6" s="118" customFormat="1" ht="67.5" customHeight="1" x14ac:dyDescent="0.25">
      <c r="A5" s="246" t="s">
        <v>13</v>
      </c>
      <c r="B5" s="5" t="s">
        <v>31</v>
      </c>
      <c r="C5" s="5" t="s">
        <v>4</v>
      </c>
      <c r="D5" s="5" t="s">
        <v>5</v>
      </c>
      <c r="E5" s="247" t="s">
        <v>165</v>
      </c>
    </row>
    <row r="6" spans="1:6" s="119" customFormat="1" ht="21" x14ac:dyDescent="0.35">
      <c r="A6" s="248">
        <v>1</v>
      </c>
      <c r="B6" s="195">
        <v>81121</v>
      </c>
      <c r="C6" s="180" t="s">
        <v>86</v>
      </c>
      <c r="D6" s="180" t="s">
        <v>194</v>
      </c>
      <c r="E6" s="249">
        <v>250</v>
      </c>
    </row>
    <row r="7" spans="1:6" ht="21" x14ac:dyDescent="0.35">
      <c r="A7" s="248">
        <f t="shared" ref="A7:A37" si="0">A6+1</f>
        <v>2</v>
      </c>
      <c r="B7" s="195">
        <v>81367</v>
      </c>
      <c r="C7" s="180" t="s">
        <v>188</v>
      </c>
      <c r="D7" s="180" t="s">
        <v>1</v>
      </c>
      <c r="E7" s="249">
        <v>250</v>
      </c>
      <c r="F7" s="119"/>
    </row>
    <row r="8" spans="1:6" ht="21" x14ac:dyDescent="0.35">
      <c r="A8" s="248">
        <f t="shared" si="0"/>
        <v>3</v>
      </c>
      <c r="B8" s="195">
        <v>81413</v>
      </c>
      <c r="C8" s="180" t="s">
        <v>191</v>
      </c>
      <c r="D8" s="180" t="s">
        <v>192</v>
      </c>
      <c r="E8" s="249">
        <v>250</v>
      </c>
      <c r="F8" s="119"/>
    </row>
    <row r="9" spans="1:6" ht="21" x14ac:dyDescent="0.35">
      <c r="A9" s="248">
        <f t="shared" si="0"/>
        <v>4</v>
      </c>
      <c r="B9" s="195">
        <v>81458</v>
      </c>
      <c r="C9" s="180" t="s">
        <v>197</v>
      </c>
      <c r="D9" s="180" t="s">
        <v>192</v>
      </c>
      <c r="E9" s="249">
        <v>250</v>
      </c>
      <c r="F9" s="119"/>
    </row>
    <row r="10" spans="1:6" ht="21" x14ac:dyDescent="0.35">
      <c r="A10" s="248">
        <f t="shared" si="0"/>
        <v>5</v>
      </c>
      <c r="B10" s="195">
        <v>81501</v>
      </c>
      <c r="C10" s="180" t="s">
        <v>203</v>
      </c>
      <c r="D10" s="180" t="s">
        <v>1</v>
      </c>
      <c r="E10" s="249">
        <v>250</v>
      </c>
      <c r="F10" s="119"/>
    </row>
    <row r="11" spans="1:6" ht="21" x14ac:dyDescent="0.35">
      <c r="A11" s="248">
        <f t="shared" si="0"/>
        <v>6</v>
      </c>
      <c r="B11" s="195">
        <v>81514</v>
      </c>
      <c r="C11" s="180" t="s">
        <v>207</v>
      </c>
      <c r="D11" s="180" t="s">
        <v>1</v>
      </c>
      <c r="E11" s="249">
        <v>250</v>
      </c>
      <c r="F11" s="119"/>
    </row>
    <row r="12" spans="1:6" ht="21" x14ac:dyDescent="0.35">
      <c r="A12" s="248">
        <f t="shared" si="0"/>
        <v>7</v>
      </c>
      <c r="B12" s="195">
        <v>81515</v>
      </c>
      <c r="C12" s="180" t="s">
        <v>138</v>
      </c>
      <c r="D12" s="180" t="s">
        <v>192</v>
      </c>
      <c r="E12" s="249">
        <v>250</v>
      </c>
      <c r="F12" s="119"/>
    </row>
    <row r="13" spans="1:6" ht="21" x14ac:dyDescent="0.35">
      <c r="A13" s="248">
        <f t="shared" si="0"/>
        <v>8</v>
      </c>
      <c r="B13" s="195">
        <v>81528</v>
      </c>
      <c r="C13" s="180" t="s">
        <v>197</v>
      </c>
      <c r="D13" s="180" t="s">
        <v>1</v>
      </c>
      <c r="E13" s="249">
        <v>250</v>
      </c>
      <c r="F13" s="119"/>
    </row>
    <row r="14" spans="1:6" ht="21" x14ac:dyDescent="0.35">
      <c r="A14" s="248">
        <f t="shared" si="0"/>
        <v>9</v>
      </c>
      <c r="B14" s="195">
        <v>81532</v>
      </c>
      <c r="C14" s="180" t="s">
        <v>212</v>
      </c>
      <c r="D14" s="180" t="s">
        <v>192</v>
      </c>
      <c r="E14" s="249">
        <v>250</v>
      </c>
      <c r="F14" s="119"/>
    </row>
    <row r="15" spans="1:6" ht="21" x14ac:dyDescent="0.35">
      <c r="A15" s="248">
        <f t="shared" si="0"/>
        <v>10</v>
      </c>
      <c r="B15" s="195">
        <v>81533</v>
      </c>
      <c r="C15" s="180" t="s">
        <v>213</v>
      </c>
      <c r="D15" s="180" t="s">
        <v>1</v>
      </c>
      <c r="E15" s="249">
        <v>250</v>
      </c>
      <c r="F15" s="119"/>
    </row>
    <row r="16" spans="1:6" ht="21" x14ac:dyDescent="0.35">
      <c r="A16" s="248">
        <f t="shared" si="0"/>
        <v>11</v>
      </c>
      <c r="B16" s="195">
        <v>81534</v>
      </c>
      <c r="C16" s="180" t="s">
        <v>214</v>
      </c>
      <c r="D16" s="180" t="s">
        <v>192</v>
      </c>
      <c r="E16" s="249">
        <v>250</v>
      </c>
      <c r="F16" s="119"/>
    </row>
    <row r="17" spans="1:6" ht="21" x14ac:dyDescent="0.35">
      <c r="A17" s="248">
        <f t="shared" si="0"/>
        <v>12</v>
      </c>
      <c r="B17" s="195">
        <v>81536</v>
      </c>
      <c r="C17" s="180" t="s">
        <v>216</v>
      </c>
      <c r="D17" s="180" t="s">
        <v>2</v>
      </c>
      <c r="E17" s="249">
        <v>250</v>
      </c>
      <c r="F17" s="119"/>
    </row>
    <row r="18" spans="1:6" ht="21" x14ac:dyDescent="0.35">
      <c r="A18" s="248">
        <f t="shared" si="0"/>
        <v>13</v>
      </c>
      <c r="B18" s="195">
        <v>81538</v>
      </c>
      <c r="C18" s="180" t="s">
        <v>217</v>
      </c>
      <c r="D18" s="180" t="s">
        <v>2</v>
      </c>
      <c r="E18" s="249">
        <v>250</v>
      </c>
    </row>
    <row r="19" spans="1:6" ht="21" x14ac:dyDescent="0.35">
      <c r="A19" s="248">
        <f t="shared" si="0"/>
        <v>14</v>
      </c>
      <c r="B19" s="195">
        <v>81542</v>
      </c>
      <c r="C19" s="180" t="s">
        <v>221</v>
      </c>
      <c r="D19" s="180" t="s">
        <v>2</v>
      </c>
      <c r="E19" s="249">
        <v>250</v>
      </c>
    </row>
    <row r="20" spans="1:6" ht="21" x14ac:dyDescent="0.35">
      <c r="A20" s="248">
        <f t="shared" si="0"/>
        <v>15</v>
      </c>
      <c r="B20" s="195">
        <v>81543</v>
      </c>
      <c r="C20" s="180" t="s">
        <v>222</v>
      </c>
      <c r="D20" s="180" t="s">
        <v>2</v>
      </c>
      <c r="E20" s="249">
        <v>250</v>
      </c>
    </row>
    <row r="21" spans="1:6" ht="21" x14ac:dyDescent="0.35">
      <c r="A21" s="248">
        <f t="shared" si="0"/>
        <v>16</v>
      </c>
      <c r="B21" s="195">
        <v>81544</v>
      </c>
      <c r="C21" s="180" t="s">
        <v>223</v>
      </c>
      <c r="D21" s="180" t="s">
        <v>2</v>
      </c>
      <c r="E21" s="249">
        <v>250</v>
      </c>
    </row>
    <row r="22" spans="1:6" ht="21" x14ac:dyDescent="0.35">
      <c r="A22" s="248">
        <f t="shared" si="0"/>
        <v>17</v>
      </c>
      <c r="B22" s="195">
        <v>81545</v>
      </c>
      <c r="C22" s="180" t="s">
        <v>224</v>
      </c>
      <c r="D22" s="180" t="s">
        <v>1</v>
      </c>
      <c r="E22" s="249">
        <v>250</v>
      </c>
    </row>
    <row r="23" spans="1:6" ht="21" x14ac:dyDescent="0.35">
      <c r="A23" s="248">
        <f t="shared" si="0"/>
        <v>18</v>
      </c>
      <c r="B23" s="195">
        <v>81546</v>
      </c>
      <c r="C23" s="180" t="s">
        <v>225</v>
      </c>
      <c r="D23" s="180" t="s">
        <v>1</v>
      </c>
      <c r="E23" s="249">
        <v>250</v>
      </c>
    </row>
    <row r="24" spans="1:6" ht="21" x14ac:dyDescent="0.35">
      <c r="A24" s="248">
        <f t="shared" si="0"/>
        <v>19</v>
      </c>
      <c r="B24" s="195">
        <v>81547</v>
      </c>
      <c r="C24" s="180" t="s">
        <v>226</v>
      </c>
      <c r="D24" s="180" t="s">
        <v>1</v>
      </c>
      <c r="E24" s="249">
        <v>250</v>
      </c>
    </row>
    <row r="25" spans="1:6" ht="21" x14ac:dyDescent="0.35">
      <c r="A25" s="248">
        <f t="shared" si="0"/>
        <v>20</v>
      </c>
      <c r="B25" s="195">
        <v>81549</v>
      </c>
      <c r="C25" s="180" t="s">
        <v>228</v>
      </c>
      <c r="D25" s="180" t="s">
        <v>1</v>
      </c>
      <c r="E25" s="249">
        <v>250</v>
      </c>
    </row>
    <row r="26" spans="1:6" ht="21" x14ac:dyDescent="0.35">
      <c r="A26" s="248">
        <f t="shared" si="0"/>
        <v>21</v>
      </c>
      <c r="B26" s="195">
        <v>81550</v>
      </c>
      <c r="C26" s="180" t="s">
        <v>229</v>
      </c>
      <c r="D26" s="180" t="s">
        <v>1</v>
      </c>
      <c r="E26" s="249">
        <v>250</v>
      </c>
    </row>
    <row r="27" spans="1:6" ht="21" x14ac:dyDescent="0.35">
      <c r="A27" s="248">
        <f t="shared" si="0"/>
        <v>22</v>
      </c>
      <c r="B27" s="195">
        <v>81554</v>
      </c>
      <c r="C27" s="180" t="s">
        <v>231</v>
      </c>
      <c r="D27" s="180" t="s">
        <v>2</v>
      </c>
      <c r="E27" s="249">
        <v>250</v>
      </c>
    </row>
    <row r="28" spans="1:6" ht="21" x14ac:dyDescent="0.35">
      <c r="A28" s="248">
        <f t="shared" si="0"/>
        <v>23</v>
      </c>
      <c r="B28" s="195">
        <v>81555</v>
      </c>
      <c r="C28" s="180" t="s">
        <v>232</v>
      </c>
      <c r="D28" s="180" t="s">
        <v>194</v>
      </c>
      <c r="E28" s="249">
        <v>250</v>
      </c>
      <c r="F28" s="214"/>
    </row>
    <row r="29" spans="1:6" ht="21" x14ac:dyDescent="0.35">
      <c r="A29" s="248">
        <f t="shared" si="0"/>
        <v>24</v>
      </c>
      <c r="B29" s="195">
        <v>81559</v>
      </c>
      <c r="C29" s="180" t="s">
        <v>235</v>
      </c>
      <c r="D29" s="180" t="s">
        <v>1</v>
      </c>
      <c r="E29" s="249">
        <v>250</v>
      </c>
      <c r="F29" s="214"/>
    </row>
    <row r="30" spans="1:6" ht="21" x14ac:dyDescent="0.35">
      <c r="A30" s="248">
        <f t="shared" si="0"/>
        <v>25</v>
      </c>
      <c r="B30" s="195">
        <v>81560</v>
      </c>
      <c r="C30" s="180" t="s">
        <v>236</v>
      </c>
      <c r="D30" s="180" t="s">
        <v>2</v>
      </c>
      <c r="E30" s="249">
        <v>250</v>
      </c>
      <c r="F30" s="214"/>
    </row>
    <row r="31" spans="1:6" ht="21" x14ac:dyDescent="0.35">
      <c r="A31" s="248">
        <f t="shared" si="0"/>
        <v>26</v>
      </c>
      <c r="B31" s="195">
        <v>81561</v>
      </c>
      <c r="C31" s="180" t="s">
        <v>237</v>
      </c>
      <c r="D31" s="180" t="s">
        <v>2</v>
      </c>
      <c r="E31" s="249">
        <v>250</v>
      </c>
      <c r="F31" s="214"/>
    </row>
    <row r="32" spans="1:6" ht="21" x14ac:dyDescent="0.35">
      <c r="A32" s="248">
        <f t="shared" si="0"/>
        <v>27</v>
      </c>
      <c r="B32" s="195">
        <v>81562</v>
      </c>
      <c r="C32" s="180" t="s">
        <v>238</v>
      </c>
      <c r="D32" s="180" t="s">
        <v>2</v>
      </c>
      <c r="E32" s="249">
        <v>250</v>
      </c>
      <c r="F32" s="214"/>
    </row>
    <row r="33" spans="1:6" ht="21" x14ac:dyDescent="0.35">
      <c r="A33" s="248">
        <f t="shared" si="0"/>
        <v>28</v>
      </c>
      <c r="B33" s="195">
        <v>81573</v>
      </c>
      <c r="C33" s="180" t="s">
        <v>239</v>
      </c>
      <c r="D33" s="180" t="s">
        <v>2</v>
      </c>
      <c r="E33" s="249">
        <v>250</v>
      </c>
      <c r="F33" s="214"/>
    </row>
    <row r="34" spans="1:6" ht="21" x14ac:dyDescent="0.35">
      <c r="A34" s="248">
        <f t="shared" si="0"/>
        <v>29</v>
      </c>
      <c r="B34" s="195">
        <v>81590</v>
      </c>
      <c r="C34" s="180" t="s">
        <v>243</v>
      </c>
      <c r="D34" s="180" t="s">
        <v>2</v>
      </c>
      <c r="E34" s="249">
        <v>250</v>
      </c>
      <c r="F34" s="214"/>
    </row>
    <row r="35" spans="1:6" ht="21" x14ac:dyDescent="0.35">
      <c r="A35" s="248">
        <f t="shared" si="0"/>
        <v>30</v>
      </c>
      <c r="B35" s="195">
        <v>81604</v>
      </c>
      <c r="C35" s="180" t="s">
        <v>245</v>
      </c>
      <c r="D35" s="180" t="s">
        <v>2</v>
      </c>
      <c r="E35" s="249">
        <v>250</v>
      </c>
      <c r="F35" s="214"/>
    </row>
    <row r="36" spans="1:6" ht="21" x14ac:dyDescent="0.35">
      <c r="A36" s="248">
        <f t="shared" si="0"/>
        <v>31</v>
      </c>
      <c r="B36" s="195">
        <v>81607</v>
      </c>
      <c r="C36" s="180" t="s">
        <v>258</v>
      </c>
      <c r="D36" s="180" t="s">
        <v>1</v>
      </c>
      <c r="E36" s="249">
        <v>250</v>
      </c>
      <c r="F36" s="214"/>
    </row>
    <row r="37" spans="1:6" ht="21" x14ac:dyDescent="0.35">
      <c r="A37" s="248">
        <f t="shared" si="0"/>
        <v>32</v>
      </c>
      <c r="B37" s="195">
        <v>81608</v>
      </c>
      <c r="C37" s="180" t="s">
        <v>259</v>
      </c>
      <c r="D37" s="180" t="s">
        <v>1</v>
      </c>
      <c r="E37" s="249">
        <v>250</v>
      </c>
      <c r="F37" s="214"/>
    </row>
    <row r="38" spans="1:6" ht="21" x14ac:dyDescent="0.35">
      <c r="A38" s="250"/>
      <c r="E38" s="251">
        <f>SUM(E6:E37)</f>
        <v>8000</v>
      </c>
    </row>
    <row r="39" spans="1:6" x14ac:dyDescent="0.25">
      <c r="A39" s="250"/>
      <c r="E39" s="252"/>
    </row>
    <row r="40" spans="1:6" x14ac:dyDescent="0.25">
      <c r="A40" s="250"/>
      <c r="E40" s="252"/>
    </row>
    <row r="41" spans="1:6" x14ac:dyDescent="0.25">
      <c r="A41" s="250"/>
      <c r="E41" s="252"/>
    </row>
    <row r="42" spans="1:6" x14ac:dyDescent="0.25">
      <c r="A42" s="250"/>
      <c r="E42" s="252"/>
    </row>
    <row r="43" spans="1:6" ht="15.75" thickBot="1" x14ac:dyDescent="0.3">
      <c r="A43" s="253"/>
      <c r="B43" s="254"/>
      <c r="C43" s="255"/>
      <c r="D43" s="256"/>
      <c r="E43" s="257"/>
    </row>
  </sheetData>
  <mergeCells count="2">
    <mergeCell ref="A2:E2"/>
    <mergeCell ref="A3:E4"/>
  </mergeCells>
  <conditionalFormatting sqref="B1:B1048576">
    <cfRule type="duplicateValues" dxfId="53" priority="1554"/>
  </conditionalFormatting>
  <conditionalFormatting sqref="B7">
    <cfRule type="duplicateValues" dxfId="52" priority="167"/>
    <cfRule type="duplicateValues" dxfId="51" priority="168"/>
    <cfRule type="duplicateValues" dxfId="50" priority="169"/>
  </conditionalFormatting>
  <conditionalFormatting sqref="B8">
    <cfRule type="duplicateValues" dxfId="49" priority="164"/>
    <cfRule type="duplicateValues" dxfId="48" priority="165"/>
    <cfRule type="duplicateValues" dxfId="47" priority="166"/>
  </conditionalFormatting>
  <conditionalFormatting sqref="B9">
    <cfRule type="duplicateValues" dxfId="46" priority="161"/>
    <cfRule type="duplicateValues" dxfId="45" priority="162"/>
    <cfRule type="duplicateValues" dxfId="44" priority="163"/>
  </conditionalFormatting>
  <conditionalFormatting sqref="B11">
    <cfRule type="duplicateValues" dxfId="43" priority="157"/>
    <cfRule type="duplicateValues" dxfId="42" priority="158"/>
    <cfRule type="duplicateValues" dxfId="41" priority="159"/>
    <cfRule type="duplicateValues" dxfId="40" priority="160"/>
  </conditionalFormatting>
  <conditionalFormatting sqref="B12:B17">
    <cfRule type="duplicateValues" dxfId="39" priority="1282"/>
    <cfRule type="duplicateValues" dxfId="38" priority="1283"/>
    <cfRule type="duplicateValues" dxfId="37" priority="1284"/>
    <cfRule type="duplicateValues" dxfId="36" priority="1529"/>
    <cfRule type="duplicateValues" dxfId="35" priority="1530"/>
    <cfRule type="duplicateValues" dxfId="34" priority="1531"/>
    <cfRule type="duplicateValues" dxfId="33" priority="1532"/>
  </conditionalFormatting>
  <conditionalFormatting sqref="B17">
    <cfRule type="duplicateValues" dxfId="32" priority="113"/>
    <cfRule type="duplicateValues" dxfId="31" priority="114"/>
    <cfRule type="duplicateValues" dxfId="30" priority="115"/>
    <cfRule type="duplicateValues" dxfId="29" priority="116"/>
  </conditionalFormatting>
  <conditionalFormatting sqref="B28:B30">
    <cfRule type="duplicateValues" dxfId="28" priority="1577"/>
  </conditionalFormatting>
  <conditionalFormatting sqref="B29">
    <cfRule type="duplicateValues" dxfId="27" priority="55"/>
    <cfRule type="duplicateValues" dxfId="26" priority="56"/>
    <cfRule type="duplicateValues" dxfId="25" priority="57"/>
  </conditionalFormatting>
  <conditionalFormatting sqref="B30">
    <cfRule type="duplicateValues" dxfId="24" priority="52"/>
    <cfRule type="duplicateValues" dxfId="23" priority="53"/>
    <cfRule type="duplicateValues" dxfId="22" priority="54"/>
  </conditionalFormatting>
  <conditionalFormatting sqref="B31:B34">
    <cfRule type="duplicateValues" dxfId="21" priority="34"/>
    <cfRule type="duplicateValues" dxfId="20" priority="35"/>
    <cfRule type="duplicateValues" dxfId="19" priority="36"/>
    <cfRule type="duplicateValues" dxfId="18" priority="37"/>
  </conditionalFormatting>
  <conditionalFormatting sqref="B35">
    <cfRule type="duplicateValues" dxfId="17" priority="48"/>
    <cfRule type="duplicateValues" dxfId="16" priority="49"/>
    <cfRule type="duplicateValues" dxfId="15" priority="50"/>
    <cfRule type="duplicateValues" dxfId="14" priority="51"/>
  </conditionalFormatting>
  <conditionalFormatting sqref="B36:B37">
    <cfRule type="duplicateValues" dxfId="13" priority="3618"/>
    <cfRule type="duplicateValues" dxfId="12" priority="3619"/>
    <cfRule type="duplicateValues" dxfId="11" priority="3620"/>
    <cfRule type="duplicateValues" dxfId="10" priority="3621"/>
  </conditionalFormatting>
  <conditionalFormatting sqref="B6:B37">
    <cfRule type="duplicateValues" dxfId="6" priority="3625"/>
    <cfRule type="duplicateValues" dxfId="5" priority="3626"/>
    <cfRule type="duplicateValues" dxfId="4" priority="3627"/>
  </conditionalFormatting>
  <conditionalFormatting sqref="B10">
    <cfRule type="duplicateValues" dxfId="3" priority="3631"/>
    <cfRule type="duplicateValues" dxfId="2" priority="3632"/>
    <cfRule type="duplicateValues" dxfId="1" priority="3633"/>
    <cfRule type="duplicateValues" dxfId="0" priority="3634"/>
  </conditionalFormatting>
  <pageMargins left="1.1811023622047245" right="1.1811023622047245" top="0.39370078740157483" bottom="0.39370078740157483" header="0" footer="0"/>
  <pageSetup paperSize="9" scale="65" fitToHeight="0" orientation="portrait" blackAndWhite="1" horizontalDpi="360" verticalDpi="360" r:id="rId1"/>
  <headerFooter>
    <oddFooter>&amp;C&amp;P/&amp;N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  <pageSetUpPr fitToPage="1"/>
  </sheetPr>
  <dimension ref="A2:AB7"/>
  <sheetViews>
    <sheetView view="pageBreakPreview" zoomScale="60" workbookViewId="0">
      <selection activeCell="T5" sqref="T5"/>
    </sheetView>
  </sheetViews>
  <sheetFormatPr defaultRowHeight="15" x14ac:dyDescent="0.25"/>
  <cols>
    <col min="1" max="1" width="6.42578125" customWidth="1"/>
    <col min="2" max="2" width="9.85546875" bestFit="1" customWidth="1"/>
    <col min="3" max="3" width="41" bestFit="1" customWidth="1"/>
    <col min="4" max="4" width="9.140625" bestFit="1" customWidth="1"/>
    <col min="5" max="5" width="11" customWidth="1"/>
    <col min="6" max="7" width="9.85546875" hidden="1" customWidth="1"/>
    <col min="8" max="8" width="10" bestFit="1" customWidth="1"/>
    <col min="9" max="9" width="13.140625" bestFit="1" customWidth="1"/>
    <col min="10" max="10" width="11.140625" customWidth="1"/>
    <col min="11" max="11" width="12.85546875" bestFit="1" customWidth="1"/>
    <col min="12" max="12" width="10" bestFit="1" customWidth="1"/>
    <col min="13" max="13" width="13.140625" bestFit="1" customWidth="1"/>
    <col min="14" max="14" width="11.5703125" bestFit="1" customWidth="1"/>
    <col min="15" max="15" width="10" bestFit="1" customWidth="1"/>
    <col min="16" max="16" width="11.5703125" bestFit="1" customWidth="1"/>
    <col min="17" max="17" width="13.140625" bestFit="1" customWidth="1"/>
    <col min="18" max="18" width="11.5703125" bestFit="1" customWidth="1"/>
    <col min="19" max="19" width="12.85546875" customWidth="1"/>
    <col min="20" max="20" width="10.85546875" style="1" customWidth="1"/>
    <col min="21" max="21" width="10" bestFit="1" customWidth="1"/>
    <col min="22" max="22" width="13.85546875" customWidth="1"/>
    <col min="23" max="23" width="18.42578125" customWidth="1"/>
  </cols>
  <sheetData>
    <row r="2" spans="1:28" ht="23.25" x14ac:dyDescent="0.25">
      <c r="A2" s="380" t="s">
        <v>57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1"/>
      <c r="W2" s="382"/>
    </row>
    <row r="3" spans="1:28" ht="23.25" x14ac:dyDescent="0.35">
      <c r="A3" s="383" t="s">
        <v>149</v>
      </c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5"/>
    </row>
    <row r="4" spans="1:28" s="4" customFormat="1" ht="63" x14ac:dyDescent="0.35">
      <c r="A4" s="5" t="s">
        <v>13</v>
      </c>
      <c r="B4" s="5" t="s">
        <v>58</v>
      </c>
      <c r="C4" s="5" t="s">
        <v>4</v>
      </c>
      <c r="D4" s="5" t="s">
        <v>5</v>
      </c>
      <c r="E4" s="5" t="s">
        <v>59</v>
      </c>
      <c r="F4" s="5" t="s">
        <v>14</v>
      </c>
      <c r="G4" s="5" t="s">
        <v>143</v>
      </c>
      <c r="H4" s="5" t="s">
        <v>14</v>
      </c>
      <c r="I4" s="5" t="s">
        <v>6</v>
      </c>
      <c r="J4" s="5" t="s">
        <v>15</v>
      </c>
      <c r="K4" s="5" t="s">
        <v>16</v>
      </c>
      <c r="L4" s="5" t="s">
        <v>17</v>
      </c>
      <c r="M4" s="5" t="s">
        <v>11</v>
      </c>
      <c r="N4" s="5" t="s">
        <v>18</v>
      </c>
      <c r="O4" s="5" t="s">
        <v>19</v>
      </c>
      <c r="P4" s="5" t="s">
        <v>84</v>
      </c>
      <c r="Q4" s="5" t="s">
        <v>20</v>
      </c>
      <c r="R4" s="5" t="s">
        <v>21</v>
      </c>
      <c r="S4" s="5" t="s">
        <v>22</v>
      </c>
      <c r="T4" s="5" t="s">
        <v>7</v>
      </c>
      <c r="U4" s="5" t="s">
        <v>8</v>
      </c>
      <c r="V4" s="3" t="s">
        <v>23</v>
      </c>
      <c r="W4" s="3" t="s">
        <v>60</v>
      </c>
    </row>
    <row r="5" spans="1:28" s="16" customFormat="1" ht="30" customHeight="1" x14ac:dyDescent="0.25">
      <c r="A5" s="7">
        <v>1</v>
      </c>
      <c r="B5" s="8"/>
      <c r="C5" s="9"/>
      <c r="D5" s="9" t="s">
        <v>2</v>
      </c>
      <c r="E5" s="10">
        <v>10264</v>
      </c>
      <c r="F5" s="10">
        <v>26</v>
      </c>
      <c r="G5" s="10">
        <v>2</v>
      </c>
      <c r="H5" s="11"/>
      <c r="I5" s="10">
        <f>E5/31*H5</f>
        <v>0</v>
      </c>
      <c r="J5" s="12">
        <f>I5*70/100</f>
        <v>0</v>
      </c>
      <c r="K5" s="12">
        <f>I5*30/100</f>
        <v>0</v>
      </c>
      <c r="L5" s="11"/>
      <c r="M5" s="10">
        <f>E5/31/8*L5</f>
        <v>0</v>
      </c>
      <c r="N5" s="13"/>
      <c r="O5" s="13">
        <v>0</v>
      </c>
      <c r="P5" s="12">
        <v>0</v>
      </c>
      <c r="Q5" s="12">
        <f>+P5+O5+N5+M5+I5</f>
        <v>0</v>
      </c>
      <c r="R5" s="12">
        <f>+J5*12%</f>
        <v>0</v>
      </c>
      <c r="S5" s="14">
        <f>CEILING((Q5-P5)*0.75%,1)</f>
        <v>0</v>
      </c>
      <c r="T5" s="14"/>
      <c r="U5" s="10">
        <v>0</v>
      </c>
      <c r="V5" s="12">
        <f>+Q5-R5-S5-T5-U5</f>
        <v>0</v>
      </c>
      <c r="W5" s="15"/>
      <c r="Y5" s="17"/>
      <c r="Z5" s="18"/>
      <c r="AA5" s="19"/>
      <c r="AB5" s="17"/>
    </row>
    <row r="6" spans="1:28" s="22" customFormat="1" ht="30" customHeight="1" x14ac:dyDescent="0.25">
      <c r="A6" s="20"/>
      <c r="B6" s="20"/>
      <c r="C6" s="23" t="s">
        <v>24</v>
      </c>
      <c r="D6" s="20"/>
      <c r="E6" s="20"/>
      <c r="F6" s="21">
        <f t="shared" ref="F6:V6" si="0">SUM(F5:F5)</f>
        <v>26</v>
      </c>
      <c r="G6" s="21">
        <f t="shared" si="0"/>
        <v>2</v>
      </c>
      <c r="H6" s="21">
        <f t="shared" si="0"/>
        <v>0</v>
      </c>
      <c r="I6" s="21">
        <f t="shared" si="0"/>
        <v>0</v>
      </c>
      <c r="J6" s="21">
        <f t="shared" si="0"/>
        <v>0</v>
      </c>
      <c r="K6" s="21">
        <f t="shared" si="0"/>
        <v>0</v>
      </c>
      <c r="L6" s="21">
        <f t="shared" si="0"/>
        <v>0</v>
      </c>
      <c r="M6" s="21">
        <f t="shared" si="0"/>
        <v>0</v>
      </c>
      <c r="N6" s="21">
        <f t="shared" si="0"/>
        <v>0</v>
      </c>
      <c r="O6" s="21">
        <f t="shared" si="0"/>
        <v>0</v>
      </c>
      <c r="P6" s="21">
        <f t="shared" si="0"/>
        <v>0</v>
      </c>
      <c r="Q6" s="21">
        <f t="shared" si="0"/>
        <v>0</v>
      </c>
      <c r="R6" s="21">
        <f t="shared" si="0"/>
        <v>0</v>
      </c>
      <c r="S6" s="21">
        <f t="shared" si="0"/>
        <v>0</v>
      </c>
      <c r="T6" s="21">
        <f t="shared" si="0"/>
        <v>0</v>
      </c>
      <c r="U6" s="21">
        <f t="shared" si="0"/>
        <v>0</v>
      </c>
      <c r="V6" s="21">
        <f t="shared" si="0"/>
        <v>0</v>
      </c>
      <c r="W6" s="20"/>
    </row>
    <row r="7" spans="1:28" x14ac:dyDescent="0.25">
      <c r="Q7" s="6"/>
      <c r="T7" s="2"/>
    </row>
  </sheetData>
  <mergeCells count="2">
    <mergeCell ref="A2:W2"/>
    <mergeCell ref="A3:W3"/>
  </mergeCells>
  <pageMargins left="0" right="0" top="0.19685039370078741" bottom="0" header="0" footer="0"/>
  <pageSetup paperSize="9" scale="54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2:W88"/>
  <sheetViews>
    <sheetView zoomScaleSheetLayoutView="85"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F26" sqref="F26"/>
    </sheetView>
  </sheetViews>
  <sheetFormatPr defaultColWidth="9.140625" defaultRowHeight="15" x14ac:dyDescent="0.25"/>
  <cols>
    <col min="1" max="1" width="6.140625" style="54" customWidth="1"/>
    <col min="2" max="2" width="11.140625" style="54" customWidth="1"/>
    <col min="3" max="3" width="46.85546875" style="55" bestFit="1" customWidth="1"/>
    <col min="4" max="4" width="15.140625" style="57" customWidth="1"/>
    <col min="5" max="5" width="11.85546875" style="58" bestFit="1" customWidth="1"/>
    <col min="6" max="7" width="11.85546875" style="58" customWidth="1"/>
    <col min="8" max="8" width="14.42578125" style="58" customWidth="1"/>
    <col min="9" max="9" width="14.140625" style="57" customWidth="1"/>
    <col min="10" max="10" width="12.85546875" style="57" customWidth="1"/>
    <col min="11" max="11" width="16.42578125" style="57" bestFit="1" customWidth="1"/>
    <col min="12" max="12" width="13.140625" style="58" bestFit="1" customWidth="1"/>
    <col min="13" max="14" width="11.85546875" style="57" customWidth="1"/>
    <col min="15" max="15" width="12.140625" style="57" customWidth="1"/>
    <col min="16" max="16" width="10.140625" style="57" customWidth="1"/>
    <col min="17" max="17" width="11.140625" style="57" customWidth="1"/>
    <col min="18" max="18" width="10.140625" style="57" customWidth="1"/>
    <col min="19" max="19" width="8.140625" style="57" customWidth="1"/>
    <col min="20" max="20" width="12.85546875" style="59" customWidth="1"/>
    <col min="21" max="21" width="12.42578125" style="57" bestFit="1" customWidth="1"/>
    <col min="22" max="22" width="12.140625" style="57" customWidth="1"/>
    <col min="23" max="23" width="18.5703125" style="60" customWidth="1"/>
    <col min="24" max="16384" width="9.140625" style="60"/>
  </cols>
  <sheetData>
    <row r="2" spans="1:23" s="24" customFormat="1" ht="27" customHeight="1" x14ac:dyDescent="0.3">
      <c r="A2" s="388" t="s">
        <v>0</v>
      </c>
      <c r="B2" s="389"/>
      <c r="C2" s="390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91"/>
    </row>
    <row r="3" spans="1:23" s="24" customFormat="1" ht="30.75" customHeight="1" x14ac:dyDescent="0.3">
      <c r="A3" s="392" t="s">
        <v>113</v>
      </c>
      <c r="B3" s="393"/>
      <c r="C3" s="394"/>
      <c r="D3" s="393"/>
      <c r="E3" s="393"/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5"/>
    </row>
    <row r="4" spans="1:23" s="27" customFormat="1" ht="67.5" customHeight="1" x14ac:dyDescent="0.25">
      <c r="A4" s="25" t="s">
        <v>13</v>
      </c>
      <c r="B4" s="25" t="s">
        <v>31</v>
      </c>
      <c r="C4" s="66" t="s">
        <v>4</v>
      </c>
      <c r="D4" s="25" t="s">
        <v>5</v>
      </c>
      <c r="E4" s="25" t="s">
        <v>76</v>
      </c>
      <c r="F4" s="25" t="s">
        <v>14</v>
      </c>
      <c r="G4" s="25" t="s">
        <v>143</v>
      </c>
      <c r="H4" s="25" t="s">
        <v>144</v>
      </c>
      <c r="I4" s="25" t="s">
        <v>76</v>
      </c>
      <c r="J4" s="25" t="s">
        <v>15</v>
      </c>
      <c r="K4" s="25" t="s">
        <v>16</v>
      </c>
      <c r="L4" s="25" t="s">
        <v>17</v>
      </c>
      <c r="M4" s="25" t="s">
        <v>77</v>
      </c>
      <c r="N4" s="25" t="s">
        <v>147</v>
      </c>
      <c r="O4" s="25" t="s">
        <v>146</v>
      </c>
      <c r="P4" s="25" t="s">
        <v>145</v>
      </c>
      <c r="Q4" s="25" t="s">
        <v>20</v>
      </c>
      <c r="R4" s="25" t="s">
        <v>21</v>
      </c>
      <c r="S4" s="25" t="s">
        <v>22</v>
      </c>
      <c r="T4" s="25" t="s">
        <v>7</v>
      </c>
      <c r="U4" s="25" t="s">
        <v>8</v>
      </c>
      <c r="V4" s="26" t="s">
        <v>78</v>
      </c>
      <c r="W4" s="26" t="s">
        <v>62</v>
      </c>
    </row>
    <row r="5" spans="1:23" s="37" customFormat="1" ht="30" customHeight="1" x14ac:dyDescent="0.3">
      <c r="A5" s="28">
        <v>1</v>
      </c>
      <c r="B5" s="29">
        <v>80331</v>
      </c>
      <c r="C5" s="30" t="s">
        <v>83</v>
      </c>
      <c r="D5" s="30" t="s">
        <v>2</v>
      </c>
      <c r="E5" s="30">
        <v>324</v>
      </c>
      <c r="F5" s="30">
        <v>17</v>
      </c>
      <c r="G5" s="30">
        <v>2</v>
      </c>
      <c r="H5" s="31">
        <f t="shared" ref="H5:H43" si="0">F5+G5</f>
        <v>19</v>
      </c>
      <c r="I5" s="32">
        <f t="shared" ref="I5:I40" si="1">+E5*(H5)</f>
        <v>6156</v>
      </c>
      <c r="J5" s="33">
        <f t="shared" ref="J5:J40" si="2">ROUND(I5*70%,0)</f>
        <v>4309</v>
      </c>
      <c r="K5" s="32">
        <f t="shared" ref="K5:K40" si="3">ROUND(I5*30%,0)</f>
        <v>1847</v>
      </c>
      <c r="L5" s="31">
        <v>76</v>
      </c>
      <c r="M5" s="32">
        <f t="shared" ref="M5:M40" si="4">E5/8*L5</f>
        <v>3078</v>
      </c>
      <c r="N5" s="34">
        <v>380</v>
      </c>
      <c r="O5" s="34">
        <v>280</v>
      </c>
      <c r="P5" s="32">
        <v>0</v>
      </c>
      <c r="Q5" s="32">
        <f t="shared" ref="Q5:Q43" si="5">+P5+O5+N5+M5+I5</f>
        <v>9894</v>
      </c>
      <c r="R5" s="33">
        <f t="shared" ref="R5:R40" si="6">+J5*12%</f>
        <v>517.07999999999993</v>
      </c>
      <c r="S5" s="35">
        <f t="shared" ref="S5:S40" si="7">CEILING((Q5-P5)*0.75%,1)</f>
        <v>75</v>
      </c>
      <c r="T5" s="34">
        <v>40</v>
      </c>
      <c r="U5" s="35"/>
      <c r="V5" s="33">
        <f t="shared" ref="V5:V40" si="8">Q5-R5-S5-T5-U5</f>
        <v>9261.92</v>
      </c>
      <c r="W5" s="36"/>
    </row>
    <row r="6" spans="1:23" s="37" customFormat="1" ht="30" customHeight="1" x14ac:dyDescent="0.3">
      <c r="A6" s="28">
        <v>2</v>
      </c>
      <c r="B6" s="29">
        <v>80388</v>
      </c>
      <c r="C6" s="30" t="s">
        <v>61</v>
      </c>
      <c r="D6" s="30" t="s">
        <v>12</v>
      </c>
      <c r="E6" s="30">
        <v>378</v>
      </c>
      <c r="F6" s="30">
        <v>23</v>
      </c>
      <c r="G6" s="30">
        <v>1</v>
      </c>
      <c r="H6" s="31">
        <f t="shared" si="0"/>
        <v>24</v>
      </c>
      <c r="I6" s="32">
        <f t="shared" si="1"/>
        <v>9072</v>
      </c>
      <c r="J6" s="33">
        <f t="shared" si="2"/>
        <v>6350</v>
      </c>
      <c r="K6" s="32">
        <f t="shared" si="3"/>
        <v>2722</v>
      </c>
      <c r="L6" s="31">
        <v>92</v>
      </c>
      <c r="M6" s="32">
        <f t="shared" si="4"/>
        <v>4347</v>
      </c>
      <c r="N6" s="34">
        <v>460</v>
      </c>
      <c r="O6" s="34">
        <v>240</v>
      </c>
      <c r="P6" s="32">
        <v>500</v>
      </c>
      <c r="Q6" s="32">
        <f t="shared" si="5"/>
        <v>14619</v>
      </c>
      <c r="R6" s="33">
        <f t="shared" si="6"/>
        <v>762</v>
      </c>
      <c r="S6" s="35">
        <f t="shared" si="7"/>
        <v>106</v>
      </c>
      <c r="T6" s="34">
        <v>110</v>
      </c>
      <c r="U6" s="35"/>
      <c r="V6" s="33">
        <f t="shared" si="8"/>
        <v>13641</v>
      </c>
      <c r="W6" s="36"/>
    </row>
    <row r="7" spans="1:23" s="37" customFormat="1" ht="30" customHeight="1" x14ac:dyDescent="0.3">
      <c r="A7" s="28">
        <v>3</v>
      </c>
      <c r="B7" s="29">
        <v>80436</v>
      </c>
      <c r="C7" s="30" t="s">
        <v>63</v>
      </c>
      <c r="D7" s="30" t="s">
        <v>2</v>
      </c>
      <c r="E7" s="30">
        <v>324</v>
      </c>
      <c r="F7" s="30">
        <v>22</v>
      </c>
      <c r="G7" s="30">
        <v>0</v>
      </c>
      <c r="H7" s="31">
        <f t="shared" si="0"/>
        <v>22</v>
      </c>
      <c r="I7" s="32">
        <f t="shared" si="1"/>
        <v>7128</v>
      </c>
      <c r="J7" s="33">
        <f t="shared" si="2"/>
        <v>4990</v>
      </c>
      <c r="K7" s="32">
        <f t="shared" si="3"/>
        <v>2138</v>
      </c>
      <c r="L7" s="31">
        <v>84</v>
      </c>
      <c r="M7" s="32">
        <f t="shared" si="4"/>
        <v>3402</v>
      </c>
      <c r="N7" s="34">
        <v>420</v>
      </c>
      <c r="O7" s="34">
        <v>220</v>
      </c>
      <c r="P7" s="32">
        <v>0</v>
      </c>
      <c r="Q7" s="32">
        <f t="shared" si="5"/>
        <v>11170</v>
      </c>
      <c r="R7" s="33">
        <f t="shared" si="6"/>
        <v>598.79999999999995</v>
      </c>
      <c r="S7" s="35">
        <f t="shared" si="7"/>
        <v>84</v>
      </c>
      <c r="T7" s="34">
        <v>110</v>
      </c>
      <c r="U7" s="35"/>
      <c r="V7" s="33">
        <f t="shared" si="8"/>
        <v>10377.200000000001</v>
      </c>
      <c r="W7" s="36"/>
    </row>
    <row r="8" spans="1:23" s="37" customFormat="1" ht="30" customHeight="1" x14ac:dyDescent="0.3">
      <c r="A8" s="28">
        <v>4</v>
      </c>
      <c r="B8" s="29">
        <v>80512</v>
      </c>
      <c r="C8" s="30" t="s">
        <v>65</v>
      </c>
      <c r="D8" s="30" t="s">
        <v>2</v>
      </c>
      <c r="E8" s="30">
        <v>324</v>
      </c>
      <c r="F8" s="30">
        <v>22</v>
      </c>
      <c r="G8" s="30">
        <v>0</v>
      </c>
      <c r="H8" s="31">
        <f t="shared" si="0"/>
        <v>22</v>
      </c>
      <c r="I8" s="32">
        <f t="shared" si="1"/>
        <v>7128</v>
      </c>
      <c r="J8" s="33">
        <f t="shared" si="2"/>
        <v>4990</v>
      </c>
      <c r="K8" s="32">
        <f t="shared" si="3"/>
        <v>2138</v>
      </c>
      <c r="L8" s="31">
        <v>84</v>
      </c>
      <c r="M8" s="32">
        <f t="shared" si="4"/>
        <v>3402</v>
      </c>
      <c r="N8" s="34">
        <v>420</v>
      </c>
      <c r="O8" s="34">
        <v>220</v>
      </c>
      <c r="P8" s="32">
        <v>0</v>
      </c>
      <c r="Q8" s="32">
        <f t="shared" si="5"/>
        <v>11170</v>
      </c>
      <c r="R8" s="33">
        <f t="shared" si="6"/>
        <v>598.79999999999995</v>
      </c>
      <c r="S8" s="35">
        <f t="shared" si="7"/>
        <v>84</v>
      </c>
      <c r="T8" s="34">
        <v>110</v>
      </c>
      <c r="U8" s="35"/>
      <c r="V8" s="33">
        <f t="shared" si="8"/>
        <v>10377.200000000001</v>
      </c>
      <c r="W8" s="36"/>
    </row>
    <row r="9" spans="1:23" s="37" customFormat="1" ht="30" customHeight="1" x14ac:dyDescent="0.3">
      <c r="A9" s="28">
        <v>5</v>
      </c>
      <c r="B9" s="29">
        <v>80513</v>
      </c>
      <c r="C9" s="30" t="s">
        <v>66</v>
      </c>
      <c r="D9" s="30" t="s">
        <v>112</v>
      </c>
      <c r="E9" s="30">
        <v>378</v>
      </c>
      <c r="F9" s="30">
        <v>21</v>
      </c>
      <c r="G9" s="30">
        <v>1</v>
      </c>
      <c r="H9" s="31">
        <f t="shared" si="0"/>
        <v>22</v>
      </c>
      <c r="I9" s="32">
        <f t="shared" si="1"/>
        <v>8316</v>
      </c>
      <c r="J9" s="33">
        <f t="shared" si="2"/>
        <v>5821</v>
      </c>
      <c r="K9" s="32">
        <f t="shared" si="3"/>
        <v>2495</v>
      </c>
      <c r="L9" s="31">
        <v>84</v>
      </c>
      <c r="M9" s="32">
        <f t="shared" si="4"/>
        <v>3969</v>
      </c>
      <c r="N9" s="34">
        <v>420</v>
      </c>
      <c r="O9" s="34">
        <v>0</v>
      </c>
      <c r="P9" s="32">
        <v>0</v>
      </c>
      <c r="Q9" s="32">
        <f t="shared" si="5"/>
        <v>12705</v>
      </c>
      <c r="R9" s="33">
        <f t="shared" si="6"/>
        <v>698.52</v>
      </c>
      <c r="S9" s="35">
        <f t="shared" si="7"/>
        <v>96</v>
      </c>
      <c r="T9" s="34">
        <v>210</v>
      </c>
      <c r="U9" s="35"/>
      <c r="V9" s="33">
        <f t="shared" si="8"/>
        <v>11700.48</v>
      </c>
      <c r="W9" s="36"/>
    </row>
    <row r="10" spans="1:23" s="37" customFormat="1" ht="30" customHeight="1" x14ac:dyDescent="0.3">
      <c r="A10" s="28">
        <v>6</v>
      </c>
      <c r="B10" s="29">
        <v>80514</v>
      </c>
      <c r="C10" s="30" t="s">
        <v>67</v>
      </c>
      <c r="D10" s="30" t="s">
        <v>2</v>
      </c>
      <c r="E10" s="30">
        <v>324</v>
      </c>
      <c r="F10" s="30">
        <v>23</v>
      </c>
      <c r="G10" s="30">
        <v>1</v>
      </c>
      <c r="H10" s="31">
        <f t="shared" si="0"/>
        <v>24</v>
      </c>
      <c r="I10" s="32">
        <f t="shared" si="1"/>
        <v>7776</v>
      </c>
      <c r="J10" s="33">
        <f t="shared" si="2"/>
        <v>5443</v>
      </c>
      <c r="K10" s="32">
        <f t="shared" si="3"/>
        <v>2333</v>
      </c>
      <c r="L10" s="31">
        <v>92</v>
      </c>
      <c r="M10" s="32">
        <f t="shared" si="4"/>
        <v>3726</v>
      </c>
      <c r="N10" s="34">
        <v>460</v>
      </c>
      <c r="O10" s="34">
        <v>240</v>
      </c>
      <c r="P10" s="32">
        <v>500</v>
      </c>
      <c r="Q10" s="32">
        <f t="shared" si="5"/>
        <v>12702</v>
      </c>
      <c r="R10" s="33">
        <f t="shared" si="6"/>
        <v>653.16</v>
      </c>
      <c r="S10" s="35">
        <f t="shared" si="7"/>
        <v>92</v>
      </c>
      <c r="T10" s="34">
        <v>110</v>
      </c>
      <c r="U10" s="35"/>
      <c r="V10" s="33">
        <f t="shared" si="8"/>
        <v>11846.84</v>
      </c>
      <c r="W10" s="36"/>
    </row>
    <row r="11" spans="1:23" s="37" customFormat="1" ht="30" customHeight="1" x14ac:dyDescent="0.3">
      <c r="A11" s="28">
        <v>7</v>
      </c>
      <c r="B11" s="29">
        <v>80535</v>
      </c>
      <c r="C11" s="30" t="s">
        <v>68</v>
      </c>
      <c r="D11" s="30" t="s">
        <v>1</v>
      </c>
      <c r="E11" s="30">
        <v>346</v>
      </c>
      <c r="F11" s="30">
        <v>19</v>
      </c>
      <c r="G11" s="30">
        <v>0</v>
      </c>
      <c r="H11" s="31">
        <f t="shared" si="0"/>
        <v>19</v>
      </c>
      <c r="I11" s="32">
        <f t="shared" si="1"/>
        <v>6574</v>
      </c>
      <c r="J11" s="33">
        <f t="shared" si="2"/>
        <v>4602</v>
      </c>
      <c r="K11" s="32">
        <f t="shared" si="3"/>
        <v>1972</v>
      </c>
      <c r="L11" s="31">
        <v>76</v>
      </c>
      <c r="M11" s="32">
        <f t="shared" si="4"/>
        <v>3287</v>
      </c>
      <c r="N11" s="34">
        <v>380</v>
      </c>
      <c r="O11" s="34">
        <v>180</v>
      </c>
      <c r="P11" s="32">
        <v>0</v>
      </c>
      <c r="Q11" s="32">
        <f t="shared" si="5"/>
        <v>10421</v>
      </c>
      <c r="R11" s="33">
        <f t="shared" si="6"/>
        <v>552.24</v>
      </c>
      <c r="S11" s="35">
        <f t="shared" si="7"/>
        <v>79</v>
      </c>
      <c r="T11" s="34">
        <v>100</v>
      </c>
      <c r="U11" s="35"/>
      <c r="V11" s="33">
        <f t="shared" si="8"/>
        <v>9689.76</v>
      </c>
      <c r="W11" s="36"/>
    </row>
    <row r="12" spans="1:23" s="37" customFormat="1" ht="30" customHeight="1" x14ac:dyDescent="0.3">
      <c r="A12" s="28">
        <v>8</v>
      </c>
      <c r="B12" s="29">
        <v>80536</v>
      </c>
      <c r="C12" s="30" t="s">
        <v>69</v>
      </c>
      <c r="D12" s="30" t="s">
        <v>1</v>
      </c>
      <c r="E12" s="30">
        <v>346</v>
      </c>
      <c r="F12" s="30">
        <v>22</v>
      </c>
      <c r="G12" s="30">
        <v>1</v>
      </c>
      <c r="H12" s="31">
        <f t="shared" si="0"/>
        <v>23</v>
      </c>
      <c r="I12" s="32">
        <f t="shared" si="1"/>
        <v>7958</v>
      </c>
      <c r="J12" s="33">
        <f t="shared" si="2"/>
        <v>5571</v>
      </c>
      <c r="K12" s="32">
        <f t="shared" si="3"/>
        <v>2387</v>
      </c>
      <c r="L12" s="31">
        <v>92</v>
      </c>
      <c r="M12" s="32">
        <f t="shared" si="4"/>
        <v>3979</v>
      </c>
      <c r="N12" s="34">
        <v>460</v>
      </c>
      <c r="O12" s="34">
        <v>240</v>
      </c>
      <c r="P12" s="32">
        <v>200</v>
      </c>
      <c r="Q12" s="32">
        <f t="shared" si="5"/>
        <v>12837</v>
      </c>
      <c r="R12" s="33">
        <f t="shared" si="6"/>
        <v>668.52</v>
      </c>
      <c r="S12" s="35">
        <f t="shared" si="7"/>
        <v>95</v>
      </c>
      <c r="T12" s="34">
        <v>100</v>
      </c>
      <c r="U12" s="35"/>
      <c r="V12" s="33">
        <f t="shared" si="8"/>
        <v>11973.48</v>
      </c>
      <c r="W12" s="36"/>
    </row>
    <row r="13" spans="1:23" s="37" customFormat="1" ht="30" customHeight="1" x14ac:dyDescent="0.3">
      <c r="A13" s="28">
        <v>9</v>
      </c>
      <c r="B13" s="29">
        <v>80539</v>
      </c>
      <c r="C13" s="30" t="s">
        <v>70</v>
      </c>
      <c r="D13" s="30" t="s">
        <v>1</v>
      </c>
      <c r="E13" s="30">
        <v>346</v>
      </c>
      <c r="F13" s="30">
        <v>21</v>
      </c>
      <c r="G13" s="30">
        <v>1</v>
      </c>
      <c r="H13" s="31">
        <f t="shared" si="0"/>
        <v>22</v>
      </c>
      <c r="I13" s="32">
        <f t="shared" si="1"/>
        <v>7612</v>
      </c>
      <c r="J13" s="33">
        <f t="shared" si="2"/>
        <v>5328</v>
      </c>
      <c r="K13" s="32">
        <f t="shared" si="3"/>
        <v>2284</v>
      </c>
      <c r="L13" s="31">
        <v>80</v>
      </c>
      <c r="M13" s="32">
        <f t="shared" si="4"/>
        <v>3460</v>
      </c>
      <c r="N13" s="34">
        <v>400</v>
      </c>
      <c r="O13" s="34">
        <v>220</v>
      </c>
      <c r="P13" s="32">
        <v>0</v>
      </c>
      <c r="Q13" s="32">
        <f t="shared" si="5"/>
        <v>11692</v>
      </c>
      <c r="R13" s="33">
        <f t="shared" si="6"/>
        <v>639.36</v>
      </c>
      <c r="S13" s="35">
        <f t="shared" si="7"/>
        <v>88</v>
      </c>
      <c r="T13" s="34">
        <v>100</v>
      </c>
      <c r="U13" s="35"/>
      <c r="V13" s="33">
        <f t="shared" si="8"/>
        <v>10864.64</v>
      </c>
      <c r="W13" s="36"/>
    </row>
    <row r="14" spans="1:23" s="37" customFormat="1" ht="30" customHeight="1" x14ac:dyDescent="0.3">
      <c r="A14" s="28">
        <v>10</v>
      </c>
      <c r="B14" s="29">
        <v>80540</v>
      </c>
      <c r="C14" s="30" t="s">
        <v>71</v>
      </c>
      <c r="D14" s="30" t="s">
        <v>1</v>
      </c>
      <c r="E14" s="30">
        <v>346</v>
      </c>
      <c r="F14" s="30">
        <v>21</v>
      </c>
      <c r="G14" s="30">
        <v>1</v>
      </c>
      <c r="H14" s="31">
        <f t="shared" si="0"/>
        <v>22</v>
      </c>
      <c r="I14" s="32">
        <f t="shared" si="1"/>
        <v>7612</v>
      </c>
      <c r="J14" s="33">
        <f t="shared" si="2"/>
        <v>5328</v>
      </c>
      <c r="K14" s="32">
        <f t="shared" si="3"/>
        <v>2284</v>
      </c>
      <c r="L14" s="31">
        <v>88</v>
      </c>
      <c r="M14" s="32">
        <f t="shared" si="4"/>
        <v>3806</v>
      </c>
      <c r="N14" s="34">
        <v>440</v>
      </c>
      <c r="O14" s="34">
        <v>240</v>
      </c>
      <c r="P14" s="32">
        <v>0</v>
      </c>
      <c r="Q14" s="32">
        <f t="shared" si="5"/>
        <v>12098</v>
      </c>
      <c r="R14" s="33">
        <f t="shared" si="6"/>
        <v>639.36</v>
      </c>
      <c r="S14" s="35">
        <f t="shared" si="7"/>
        <v>91</v>
      </c>
      <c r="T14" s="34">
        <v>90</v>
      </c>
      <c r="U14" s="35"/>
      <c r="V14" s="33">
        <f t="shared" si="8"/>
        <v>11277.64</v>
      </c>
      <c r="W14" s="36"/>
    </row>
    <row r="15" spans="1:23" s="37" customFormat="1" ht="30" customHeight="1" x14ac:dyDescent="0.3">
      <c r="A15" s="28">
        <v>11</v>
      </c>
      <c r="B15" s="29">
        <v>80542</v>
      </c>
      <c r="C15" s="30" t="s">
        <v>72</v>
      </c>
      <c r="D15" s="30" t="s">
        <v>2</v>
      </c>
      <c r="E15" s="30">
        <v>324</v>
      </c>
      <c r="F15" s="30">
        <v>23</v>
      </c>
      <c r="G15" s="30">
        <v>1</v>
      </c>
      <c r="H15" s="31">
        <f t="shared" si="0"/>
        <v>24</v>
      </c>
      <c r="I15" s="32">
        <f t="shared" si="1"/>
        <v>7776</v>
      </c>
      <c r="J15" s="33">
        <f t="shared" si="2"/>
        <v>5443</v>
      </c>
      <c r="K15" s="32">
        <f t="shared" si="3"/>
        <v>2333</v>
      </c>
      <c r="L15" s="31">
        <v>92</v>
      </c>
      <c r="M15" s="32">
        <f t="shared" si="4"/>
        <v>3726</v>
      </c>
      <c r="N15" s="34">
        <v>460</v>
      </c>
      <c r="O15" s="34">
        <v>240</v>
      </c>
      <c r="P15" s="32">
        <v>500</v>
      </c>
      <c r="Q15" s="32">
        <f t="shared" si="5"/>
        <v>12702</v>
      </c>
      <c r="R15" s="33">
        <f t="shared" si="6"/>
        <v>653.16</v>
      </c>
      <c r="S15" s="35">
        <f t="shared" si="7"/>
        <v>92</v>
      </c>
      <c r="T15" s="34">
        <v>110</v>
      </c>
      <c r="U15" s="35"/>
      <c r="V15" s="33">
        <f t="shared" si="8"/>
        <v>11846.84</v>
      </c>
      <c r="W15" s="36"/>
    </row>
    <row r="16" spans="1:23" s="37" customFormat="1" ht="30" customHeight="1" x14ac:dyDescent="0.3">
      <c r="A16" s="28">
        <v>12</v>
      </c>
      <c r="B16" s="29">
        <v>80544</v>
      </c>
      <c r="C16" s="30" t="s">
        <v>73</v>
      </c>
      <c r="D16" s="30" t="s">
        <v>1</v>
      </c>
      <c r="E16" s="30">
        <v>346</v>
      </c>
      <c r="F16" s="30">
        <v>22</v>
      </c>
      <c r="G16" s="30">
        <v>2</v>
      </c>
      <c r="H16" s="31">
        <f t="shared" si="0"/>
        <v>24</v>
      </c>
      <c r="I16" s="32">
        <f t="shared" si="1"/>
        <v>8304</v>
      </c>
      <c r="J16" s="33">
        <f t="shared" si="2"/>
        <v>5813</v>
      </c>
      <c r="K16" s="32">
        <f t="shared" si="3"/>
        <v>2491</v>
      </c>
      <c r="L16" s="31">
        <v>96</v>
      </c>
      <c r="M16" s="32">
        <f t="shared" si="4"/>
        <v>4152</v>
      </c>
      <c r="N16" s="34">
        <v>480</v>
      </c>
      <c r="O16" s="34">
        <v>220</v>
      </c>
      <c r="P16" s="32">
        <v>500</v>
      </c>
      <c r="Q16" s="32">
        <f t="shared" si="5"/>
        <v>13656</v>
      </c>
      <c r="R16" s="33">
        <f t="shared" si="6"/>
        <v>697.56</v>
      </c>
      <c r="S16" s="35">
        <f t="shared" si="7"/>
        <v>99</v>
      </c>
      <c r="T16" s="34">
        <v>120</v>
      </c>
      <c r="U16" s="35"/>
      <c r="V16" s="33">
        <f t="shared" si="8"/>
        <v>12739.44</v>
      </c>
      <c r="W16" s="36"/>
    </row>
    <row r="17" spans="1:23" s="37" customFormat="1" ht="30" customHeight="1" x14ac:dyDescent="0.3">
      <c r="A17" s="28">
        <v>13</v>
      </c>
      <c r="B17" s="29">
        <v>80545</v>
      </c>
      <c r="C17" s="30" t="s">
        <v>74</v>
      </c>
      <c r="D17" s="30" t="s">
        <v>1</v>
      </c>
      <c r="E17" s="30">
        <v>346</v>
      </c>
      <c r="F17" s="30">
        <v>21</v>
      </c>
      <c r="G17" s="30">
        <v>2</v>
      </c>
      <c r="H17" s="31">
        <f t="shared" si="0"/>
        <v>23</v>
      </c>
      <c r="I17" s="32">
        <f t="shared" si="1"/>
        <v>7958</v>
      </c>
      <c r="J17" s="33">
        <f t="shared" si="2"/>
        <v>5571</v>
      </c>
      <c r="K17" s="32">
        <f t="shared" si="3"/>
        <v>2387</v>
      </c>
      <c r="L17" s="31">
        <v>92</v>
      </c>
      <c r="M17" s="32">
        <f t="shared" si="4"/>
        <v>3979</v>
      </c>
      <c r="N17" s="34">
        <v>460</v>
      </c>
      <c r="O17" s="34">
        <v>200</v>
      </c>
      <c r="P17" s="32">
        <v>200</v>
      </c>
      <c r="Q17" s="32">
        <f t="shared" si="5"/>
        <v>12797</v>
      </c>
      <c r="R17" s="33">
        <f t="shared" si="6"/>
        <v>668.52</v>
      </c>
      <c r="S17" s="35">
        <f t="shared" si="7"/>
        <v>95</v>
      </c>
      <c r="T17" s="34">
        <v>120</v>
      </c>
      <c r="U17" s="35"/>
      <c r="V17" s="33">
        <f t="shared" si="8"/>
        <v>11913.48</v>
      </c>
      <c r="W17" s="36"/>
    </row>
    <row r="18" spans="1:23" s="37" customFormat="1" ht="30" customHeight="1" x14ac:dyDescent="0.3">
      <c r="A18" s="28">
        <v>14</v>
      </c>
      <c r="B18" s="29">
        <v>80546</v>
      </c>
      <c r="C18" s="30" t="s">
        <v>75</v>
      </c>
      <c r="D18" s="30" t="s">
        <v>1</v>
      </c>
      <c r="E18" s="30">
        <v>346</v>
      </c>
      <c r="F18" s="30">
        <v>20</v>
      </c>
      <c r="G18" s="30">
        <v>1</v>
      </c>
      <c r="H18" s="31">
        <f t="shared" si="0"/>
        <v>21</v>
      </c>
      <c r="I18" s="32">
        <f t="shared" si="1"/>
        <v>7266</v>
      </c>
      <c r="J18" s="33">
        <f t="shared" si="2"/>
        <v>5086</v>
      </c>
      <c r="K18" s="32">
        <f t="shared" si="3"/>
        <v>2180</v>
      </c>
      <c r="L18" s="31">
        <v>84</v>
      </c>
      <c r="M18" s="32">
        <f t="shared" si="4"/>
        <v>3633</v>
      </c>
      <c r="N18" s="34">
        <v>420</v>
      </c>
      <c r="O18" s="34">
        <v>200</v>
      </c>
      <c r="P18" s="32">
        <v>0</v>
      </c>
      <c r="Q18" s="32">
        <f t="shared" si="5"/>
        <v>11519</v>
      </c>
      <c r="R18" s="33">
        <f t="shared" si="6"/>
        <v>610.31999999999994</v>
      </c>
      <c r="S18" s="35">
        <f t="shared" si="7"/>
        <v>87</v>
      </c>
      <c r="T18" s="34">
        <v>100</v>
      </c>
      <c r="U18" s="35"/>
      <c r="V18" s="33">
        <f t="shared" si="8"/>
        <v>10721.68</v>
      </c>
      <c r="W18" s="36"/>
    </row>
    <row r="19" spans="1:23" s="37" customFormat="1" ht="30" customHeight="1" x14ac:dyDescent="0.3">
      <c r="A19" s="28">
        <v>15</v>
      </c>
      <c r="B19" s="29">
        <v>80585</v>
      </c>
      <c r="C19" s="30" t="s">
        <v>79</v>
      </c>
      <c r="D19" s="30" t="s">
        <v>1</v>
      </c>
      <c r="E19" s="30">
        <v>346</v>
      </c>
      <c r="F19" s="30">
        <v>23</v>
      </c>
      <c r="G19" s="30">
        <v>1</v>
      </c>
      <c r="H19" s="31">
        <f t="shared" si="0"/>
        <v>24</v>
      </c>
      <c r="I19" s="32">
        <f t="shared" si="1"/>
        <v>8304</v>
      </c>
      <c r="J19" s="33">
        <f t="shared" si="2"/>
        <v>5813</v>
      </c>
      <c r="K19" s="32">
        <f t="shared" si="3"/>
        <v>2491</v>
      </c>
      <c r="L19" s="31">
        <v>92</v>
      </c>
      <c r="M19" s="32">
        <f t="shared" si="4"/>
        <v>3979</v>
      </c>
      <c r="N19" s="34">
        <v>460</v>
      </c>
      <c r="O19" s="34">
        <v>240</v>
      </c>
      <c r="P19" s="32">
        <v>500</v>
      </c>
      <c r="Q19" s="32">
        <f t="shared" si="5"/>
        <v>13483</v>
      </c>
      <c r="R19" s="33">
        <f t="shared" si="6"/>
        <v>697.56</v>
      </c>
      <c r="S19" s="35">
        <f t="shared" si="7"/>
        <v>98</v>
      </c>
      <c r="T19" s="34">
        <v>120</v>
      </c>
      <c r="U19" s="35"/>
      <c r="V19" s="33">
        <f t="shared" si="8"/>
        <v>12567.44</v>
      </c>
      <c r="W19" s="36"/>
    </row>
    <row r="20" spans="1:23" s="37" customFormat="1" ht="30" customHeight="1" x14ac:dyDescent="0.3">
      <c r="A20" s="28">
        <v>16</v>
      </c>
      <c r="B20" s="29">
        <v>80586</v>
      </c>
      <c r="C20" s="30" t="s">
        <v>80</v>
      </c>
      <c r="D20" s="30" t="s">
        <v>1</v>
      </c>
      <c r="E20" s="30">
        <v>346</v>
      </c>
      <c r="F20" s="30">
        <v>19</v>
      </c>
      <c r="G20" s="30">
        <v>2</v>
      </c>
      <c r="H20" s="31">
        <f t="shared" si="0"/>
        <v>21</v>
      </c>
      <c r="I20" s="32">
        <f t="shared" si="1"/>
        <v>7266</v>
      </c>
      <c r="J20" s="33">
        <f t="shared" si="2"/>
        <v>5086</v>
      </c>
      <c r="K20" s="32">
        <f t="shared" si="3"/>
        <v>2180</v>
      </c>
      <c r="L20" s="31">
        <v>84</v>
      </c>
      <c r="M20" s="32">
        <f t="shared" si="4"/>
        <v>3633</v>
      </c>
      <c r="N20" s="34">
        <v>420</v>
      </c>
      <c r="O20" s="34">
        <v>200</v>
      </c>
      <c r="P20" s="32">
        <v>0</v>
      </c>
      <c r="Q20" s="32">
        <f t="shared" si="5"/>
        <v>11519</v>
      </c>
      <c r="R20" s="33">
        <f t="shared" si="6"/>
        <v>610.31999999999994</v>
      </c>
      <c r="S20" s="35">
        <f t="shared" si="7"/>
        <v>87</v>
      </c>
      <c r="T20" s="34">
        <v>90</v>
      </c>
      <c r="U20" s="35"/>
      <c r="V20" s="33">
        <f t="shared" si="8"/>
        <v>10731.68</v>
      </c>
      <c r="W20" s="36"/>
    </row>
    <row r="21" spans="1:23" s="37" customFormat="1" ht="30" customHeight="1" x14ac:dyDescent="0.3">
      <c r="A21" s="28">
        <v>17</v>
      </c>
      <c r="B21" s="29">
        <v>80587</v>
      </c>
      <c r="C21" s="30" t="s">
        <v>81</v>
      </c>
      <c r="D21" s="30" t="s">
        <v>1</v>
      </c>
      <c r="E21" s="30">
        <v>346</v>
      </c>
      <c r="F21" s="30">
        <v>20</v>
      </c>
      <c r="G21" s="30">
        <v>2</v>
      </c>
      <c r="H21" s="31">
        <f t="shared" si="0"/>
        <v>22</v>
      </c>
      <c r="I21" s="32">
        <f t="shared" si="1"/>
        <v>7612</v>
      </c>
      <c r="J21" s="33">
        <f t="shared" si="2"/>
        <v>5328</v>
      </c>
      <c r="K21" s="32">
        <f t="shared" si="3"/>
        <v>2284</v>
      </c>
      <c r="L21" s="31">
        <v>88</v>
      </c>
      <c r="M21" s="32">
        <f t="shared" si="4"/>
        <v>3806</v>
      </c>
      <c r="N21" s="34">
        <v>440</v>
      </c>
      <c r="O21" s="34">
        <v>220</v>
      </c>
      <c r="P21" s="32">
        <v>0</v>
      </c>
      <c r="Q21" s="32">
        <f t="shared" si="5"/>
        <v>12078</v>
      </c>
      <c r="R21" s="33">
        <f t="shared" si="6"/>
        <v>639.36</v>
      </c>
      <c r="S21" s="35">
        <f t="shared" si="7"/>
        <v>91</v>
      </c>
      <c r="T21" s="34">
        <v>100</v>
      </c>
      <c r="U21" s="35"/>
      <c r="V21" s="33">
        <f t="shared" si="8"/>
        <v>11247.64</v>
      </c>
      <c r="W21" s="36"/>
    </row>
    <row r="22" spans="1:23" s="37" customFormat="1" ht="30" customHeight="1" x14ac:dyDescent="0.3">
      <c r="A22" s="28">
        <v>18</v>
      </c>
      <c r="B22" s="29">
        <v>80590</v>
      </c>
      <c r="C22" s="30" t="s">
        <v>94</v>
      </c>
      <c r="D22" s="30" t="s">
        <v>12</v>
      </c>
      <c r="E22" s="30">
        <v>378</v>
      </c>
      <c r="F22" s="30">
        <v>22</v>
      </c>
      <c r="G22" s="30">
        <v>2</v>
      </c>
      <c r="H22" s="31">
        <f t="shared" si="0"/>
        <v>24</v>
      </c>
      <c r="I22" s="32">
        <f t="shared" si="1"/>
        <v>9072</v>
      </c>
      <c r="J22" s="33">
        <f t="shared" si="2"/>
        <v>6350</v>
      </c>
      <c r="K22" s="32">
        <f t="shared" si="3"/>
        <v>2722</v>
      </c>
      <c r="L22" s="31">
        <v>96</v>
      </c>
      <c r="M22" s="32">
        <f t="shared" si="4"/>
        <v>4536</v>
      </c>
      <c r="N22" s="34">
        <v>480</v>
      </c>
      <c r="O22" s="34">
        <v>220</v>
      </c>
      <c r="P22" s="32">
        <v>500</v>
      </c>
      <c r="Q22" s="32">
        <f t="shared" si="5"/>
        <v>14808</v>
      </c>
      <c r="R22" s="33">
        <f t="shared" si="6"/>
        <v>762</v>
      </c>
      <c r="S22" s="35">
        <f t="shared" si="7"/>
        <v>108</v>
      </c>
      <c r="T22" s="34">
        <v>120</v>
      </c>
      <c r="U22" s="35"/>
      <c r="V22" s="33">
        <f t="shared" si="8"/>
        <v>13818</v>
      </c>
      <c r="W22" s="36"/>
    </row>
    <row r="23" spans="1:23" s="37" customFormat="1" ht="30" customHeight="1" x14ac:dyDescent="0.3">
      <c r="A23" s="28">
        <v>19</v>
      </c>
      <c r="B23" s="29">
        <v>80591</v>
      </c>
      <c r="C23" s="30" t="s">
        <v>93</v>
      </c>
      <c r="D23" s="30" t="s">
        <v>12</v>
      </c>
      <c r="E23" s="30">
        <v>378</v>
      </c>
      <c r="F23" s="30">
        <v>22</v>
      </c>
      <c r="G23" s="30">
        <v>2</v>
      </c>
      <c r="H23" s="31">
        <f t="shared" si="0"/>
        <v>24</v>
      </c>
      <c r="I23" s="32">
        <f t="shared" si="1"/>
        <v>9072</v>
      </c>
      <c r="J23" s="33">
        <f t="shared" si="2"/>
        <v>6350</v>
      </c>
      <c r="K23" s="32">
        <f t="shared" si="3"/>
        <v>2722</v>
      </c>
      <c r="L23" s="31">
        <v>96</v>
      </c>
      <c r="M23" s="32">
        <f t="shared" si="4"/>
        <v>4536</v>
      </c>
      <c r="N23" s="34">
        <v>480</v>
      </c>
      <c r="O23" s="34">
        <v>220</v>
      </c>
      <c r="P23" s="32">
        <v>500</v>
      </c>
      <c r="Q23" s="32">
        <f t="shared" si="5"/>
        <v>14808</v>
      </c>
      <c r="R23" s="33">
        <f t="shared" si="6"/>
        <v>762</v>
      </c>
      <c r="S23" s="35">
        <f t="shared" si="7"/>
        <v>108</v>
      </c>
      <c r="T23" s="34">
        <v>120</v>
      </c>
      <c r="U23" s="35"/>
      <c r="V23" s="33">
        <f t="shared" si="8"/>
        <v>13818</v>
      </c>
      <c r="W23" s="36"/>
    </row>
    <row r="24" spans="1:23" s="37" customFormat="1" ht="30" customHeight="1" x14ac:dyDescent="0.3">
      <c r="A24" s="28">
        <v>20</v>
      </c>
      <c r="B24" s="29">
        <v>80594</v>
      </c>
      <c r="C24" s="30" t="s">
        <v>92</v>
      </c>
      <c r="D24" s="30" t="s">
        <v>32</v>
      </c>
      <c r="E24" s="30">
        <v>378</v>
      </c>
      <c r="F24" s="30">
        <v>20</v>
      </c>
      <c r="G24" s="30">
        <v>1</v>
      </c>
      <c r="H24" s="31">
        <f t="shared" si="0"/>
        <v>21</v>
      </c>
      <c r="I24" s="32">
        <f t="shared" si="1"/>
        <v>7938</v>
      </c>
      <c r="J24" s="33">
        <f t="shared" si="2"/>
        <v>5557</v>
      </c>
      <c r="K24" s="32">
        <f t="shared" si="3"/>
        <v>2381</v>
      </c>
      <c r="L24" s="31">
        <v>84</v>
      </c>
      <c r="M24" s="32">
        <f t="shared" si="4"/>
        <v>3969</v>
      </c>
      <c r="N24" s="34">
        <v>420</v>
      </c>
      <c r="O24" s="34">
        <v>180</v>
      </c>
      <c r="P24" s="32">
        <v>0</v>
      </c>
      <c r="Q24" s="32">
        <f t="shared" si="5"/>
        <v>12507</v>
      </c>
      <c r="R24" s="33">
        <f t="shared" si="6"/>
        <v>666.84</v>
      </c>
      <c r="S24" s="35">
        <f t="shared" si="7"/>
        <v>94</v>
      </c>
      <c r="T24" s="34">
        <v>110</v>
      </c>
      <c r="U24" s="35"/>
      <c r="V24" s="33">
        <f t="shared" si="8"/>
        <v>11636.16</v>
      </c>
      <c r="W24" s="36"/>
    </row>
    <row r="25" spans="1:23" s="37" customFormat="1" ht="30" customHeight="1" x14ac:dyDescent="0.3">
      <c r="A25" s="28">
        <v>21</v>
      </c>
      <c r="B25" s="29">
        <v>80597</v>
      </c>
      <c r="C25" s="30" t="s">
        <v>91</v>
      </c>
      <c r="D25" s="30" t="s">
        <v>3</v>
      </c>
      <c r="E25" s="30">
        <v>324</v>
      </c>
      <c r="F25" s="30">
        <v>23</v>
      </c>
      <c r="G25" s="30">
        <v>1</v>
      </c>
      <c r="H25" s="31">
        <f t="shared" si="0"/>
        <v>24</v>
      </c>
      <c r="I25" s="32">
        <f t="shared" si="1"/>
        <v>7776</v>
      </c>
      <c r="J25" s="33">
        <f t="shared" si="2"/>
        <v>5443</v>
      </c>
      <c r="K25" s="32">
        <f t="shared" si="3"/>
        <v>2333</v>
      </c>
      <c r="L25" s="31">
        <v>92</v>
      </c>
      <c r="M25" s="32">
        <f t="shared" si="4"/>
        <v>3726</v>
      </c>
      <c r="N25" s="34">
        <v>460</v>
      </c>
      <c r="O25" s="34">
        <v>0</v>
      </c>
      <c r="P25" s="32">
        <v>500</v>
      </c>
      <c r="Q25" s="32">
        <f t="shared" si="5"/>
        <v>12462</v>
      </c>
      <c r="R25" s="33">
        <f t="shared" si="6"/>
        <v>653.16</v>
      </c>
      <c r="S25" s="35">
        <f t="shared" si="7"/>
        <v>90</v>
      </c>
      <c r="T25" s="34">
        <v>230</v>
      </c>
      <c r="U25" s="35"/>
      <c r="V25" s="33">
        <f t="shared" si="8"/>
        <v>11488.84</v>
      </c>
      <c r="W25" s="36"/>
    </row>
    <row r="26" spans="1:23" s="37" customFormat="1" ht="30" customHeight="1" x14ac:dyDescent="0.3">
      <c r="A26" s="28">
        <v>22</v>
      </c>
      <c r="B26" s="29">
        <v>80602</v>
      </c>
      <c r="C26" s="67" t="s">
        <v>90</v>
      </c>
      <c r="D26" s="30" t="s">
        <v>2</v>
      </c>
      <c r="E26" s="30">
        <v>324</v>
      </c>
      <c r="F26" s="30">
        <v>3</v>
      </c>
      <c r="G26" s="30">
        <v>2</v>
      </c>
      <c r="H26" s="31">
        <f t="shared" si="0"/>
        <v>5</v>
      </c>
      <c r="I26" s="32">
        <f t="shared" si="1"/>
        <v>1620</v>
      </c>
      <c r="J26" s="33">
        <f t="shared" si="2"/>
        <v>1134</v>
      </c>
      <c r="K26" s="32">
        <f t="shared" si="3"/>
        <v>486</v>
      </c>
      <c r="L26" s="31">
        <v>20</v>
      </c>
      <c r="M26" s="32">
        <f t="shared" si="4"/>
        <v>810</v>
      </c>
      <c r="N26" s="34">
        <v>100</v>
      </c>
      <c r="O26" s="34">
        <v>60</v>
      </c>
      <c r="P26" s="32">
        <v>0</v>
      </c>
      <c r="Q26" s="32">
        <f t="shared" si="5"/>
        <v>2590</v>
      </c>
      <c r="R26" s="33">
        <f t="shared" si="6"/>
        <v>136.07999999999998</v>
      </c>
      <c r="S26" s="35">
        <f t="shared" si="7"/>
        <v>20</v>
      </c>
      <c r="T26" s="34">
        <v>10</v>
      </c>
      <c r="U26" s="35"/>
      <c r="V26" s="33">
        <f t="shared" si="8"/>
        <v>2423.92</v>
      </c>
      <c r="W26" s="36"/>
    </row>
    <row r="27" spans="1:23" s="37" customFormat="1" ht="30" customHeight="1" x14ac:dyDescent="0.3">
      <c r="A27" s="28">
        <v>23</v>
      </c>
      <c r="B27" s="29">
        <v>80604</v>
      </c>
      <c r="C27" s="30" t="s">
        <v>89</v>
      </c>
      <c r="D27" s="30" t="s">
        <v>2</v>
      </c>
      <c r="E27" s="30">
        <v>324</v>
      </c>
      <c r="F27" s="30">
        <v>20</v>
      </c>
      <c r="G27" s="30">
        <v>2</v>
      </c>
      <c r="H27" s="31">
        <f t="shared" si="0"/>
        <v>22</v>
      </c>
      <c r="I27" s="32">
        <f t="shared" si="1"/>
        <v>7128</v>
      </c>
      <c r="J27" s="33">
        <f t="shared" si="2"/>
        <v>4990</v>
      </c>
      <c r="K27" s="32">
        <f t="shared" si="3"/>
        <v>2138</v>
      </c>
      <c r="L27" s="31">
        <v>88</v>
      </c>
      <c r="M27" s="32">
        <f t="shared" si="4"/>
        <v>3564</v>
      </c>
      <c r="N27" s="34">
        <v>440</v>
      </c>
      <c r="O27" s="34">
        <v>200</v>
      </c>
      <c r="P27" s="32">
        <v>0</v>
      </c>
      <c r="Q27" s="32">
        <f t="shared" si="5"/>
        <v>11332</v>
      </c>
      <c r="R27" s="33">
        <f t="shared" si="6"/>
        <v>598.79999999999995</v>
      </c>
      <c r="S27" s="35">
        <f t="shared" si="7"/>
        <v>85</v>
      </c>
      <c r="T27" s="34">
        <v>110</v>
      </c>
      <c r="U27" s="35"/>
      <c r="V27" s="33">
        <f t="shared" si="8"/>
        <v>10538.2</v>
      </c>
      <c r="W27" s="36"/>
    </row>
    <row r="28" spans="1:23" s="37" customFormat="1" ht="30" customHeight="1" x14ac:dyDescent="0.3">
      <c r="A28" s="28">
        <v>24</v>
      </c>
      <c r="B28" s="29">
        <v>80607</v>
      </c>
      <c r="C28" s="30" t="s">
        <v>88</v>
      </c>
      <c r="D28" s="30" t="s">
        <v>3</v>
      </c>
      <c r="E28" s="30">
        <v>324</v>
      </c>
      <c r="F28" s="30">
        <v>23</v>
      </c>
      <c r="G28" s="30">
        <v>1</v>
      </c>
      <c r="H28" s="31">
        <f t="shared" si="0"/>
        <v>24</v>
      </c>
      <c r="I28" s="32">
        <f t="shared" si="1"/>
        <v>7776</v>
      </c>
      <c r="J28" s="33">
        <f t="shared" si="2"/>
        <v>5443</v>
      </c>
      <c r="K28" s="32">
        <f t="shared" si="3"/>
        <v>2333</v>
      </c>
      <c r="L28" s="31">
        <v>92</v>
      </c>
      <c r="M28" s="32">
        <f t="shared" si="4"/>
        <v>3726</v>
      </c>
      <c r="N28" s="34">
        <v>460</v>
      </c>
      <c r="O28" s="34">
        <v>0</v>
      </c>
      <c r="P28" s="32">
        <v>500</v>
      </c>
      <c r="Q28" s="32">
        <f t="shared" si="5"/>
        <v>12462</v>
      </c>
      <c r="R28" s="33">
        <f t="shared" si="6"/>
        <v>653.16</v>
      </c>
      <c r="S28" s="35">
        <f t="shared" si="7"/>
        <v>90</v>
      </c>
      <c r="T28" s="34">
        <v>230</v>
      </c>
      <c r="U28" s="35"/>
      <c r="V28" s="33">
        <f t="shared" si="8"/>
        <v>11488.84</v>
      </c>
      <c r="W28" s="36"/>
    </row>
    <row r="29" spans="1:23" s="37" customFormat="1" ht="30" customHeight="1" x14ac:dyDescent="0.3">
      <c r="A29" s="28">
        <v>25</v>
      </c>
      <c r="B29" s="29">
        <v>80609</v>
      </c>
      <c r="C29" s="30" t="s">
        <v>87</v>
      </c>
      <c r="D29" s="30" t="s">
        <v>1</v>
      </c>
      <c r="E29" s="30">
        <v>346</v>
      </c>
      <c r="F29" s="30">
        <v>22</v>
      </c>
      <c r="G29" s="30">
        <v>1</v>
      </c>
      <c r="H29" s="31">
        <f t="shared" si="0"/>
        <v>23</v>
      </c>
      <c r="I29" s="32">
        <f t="shared" si="1"/>
        <v>7958</v>
      </c>
      <c r="J29" s="33">
        <f t="shared" si="2"/>
        <v>5571</v>
      </c>
      <c r="K29" s="32">
        <f t="shared" si="3"/>
        <v>2387</v>
      </c>
      <c r="L29" s="31">
        <v>88</v>
      </c>
      <c r="M29" s="32">
        <f t="shared" si="4"/>
        <v>3806</v>
      </c>
      <c r="N29" s="34">
        <v>440</v>
      </c>
      <c r="O29" s="34">
        <v>240</v>
      </c>
      <c r="P29" s="32">
        <v>200</v>
      </c>
      <c r="Q29" s="32">
        <f t="shared" si="5"/>
        <v>12644</v>
      </c>
      <c r="R29" s="33">
        <f t="shared" si="6"/>
        <v>668.52</v>
      </c>
      <c r="S29" s="35">
        <f t="shared" si="7"/>
        <v>94</v>
      </c>
      <c r="T29" s="34">
        <v>100</v>
      </c>
      <c r="U29" s="35"/>
      <c r="V29" s="33">
        <f t="shared" si="8"/>
        <v>11781.48</v>
      </c>
      <c r="W29" s="36"/>
    </row>
    <row r="30" spans="1:23" s="37" customFormat="1" ht="30" customHeight="1" x14ac:dyDescent="0.3">
      <c r="A30" s="28">
        <v>26</v>
      </c>
      <c r="B30" s="29">
        <v>80612</v>
      </c>
      <c r="C30" s="30" t="s">
        <v>82</v>
      </c>
      <c r="D30" s="30" t="s">
        <v>1</v>
      </c>
      <c r="E30" s="30">
        <v>346</v>
      </c>
      <c r="F30" s="30">
        <v>23</v>
      </c>
      <c r="G30" s="30">
        <v>1</v>
      </c>
      <c r="H30" s="31">
        <f t="shared" si="0"/>
        <v>24</v>
      </c>
      <c r="I30" s="32">
        <f t="shared" si="1"/>
        <v>8304</v>
      </c>
      <c r="J30" s="33">
        <f t="shared" si="2"/>
        <v>5813</v>
      </c>
      <c r="K30" s="32">
        <f t="shared" si="3"/>
        <v>2491</v>
      </c>
      <c r="L30" s="31">
        <v>92</v>
      </c>
      <c r="M30" s="32">
        <f t="shared" si="4"/>
        <v>3979</v>
      </c>
      <c r="N30" s="34">
        <v>460</v>
      </c>
      <c r="O30" s="34">
        <v>240</v>
      </c>
      <c r="P30" s="32">
        <v>500</v>
      </c>
      <c r="Q30" s="32">
        <f t="shared" si="5"/>
        <v>13483</v>
      </c>
      <c r="R30" s="33">
        <f t="shared" si="6"/>
        <v>697.56</v>
      </c>
      <c r="S30" s="35">
        <f t="shared" si="7"/>
        <v>98</v>
      </c>
      <c r="T30" s="34">
        <v>110</v>
      </c>
      <c r="U30" s="35"/>
      <c r="V30" s="33">
        <f t="shared" si="8"/>
        <v>12577.44</v>
      </c>
      <c r="W30" s="36"/>
    </row>
    <row r="31" spans="1:23" s="37" customFormat="1" ht="30" customHeight="1" x14ac:dyDescent="0.3">
      <c r="A31" s="28">
        <v>27</v>
      </c>
      <c r="B31" s="29">
        <v>80613</v>
      </c>
      <c r="C31" s="30" t="s">
        <v>86</v>
      </c>
      <c r="D31" s="30" t="s">
        <v>1</v>
      </c>
      <c r="E31" s="30">
        <v>346</v>
      </c>
      <c r="F31" s="30">
        <v>20.5</v>
      </c>
      <c r="G31" s="30">
        <v>1</v>
      </c>
      <c r="H31" s="31">
        <f t="shared" si="0"/>
        <v>21.5</v>
      </c>
      <c r="I31" s="32">
        <f t="shared" si="1"/>
        <v>7439</v>
      </c>
      <c r="J31" s="33">
        <f t="shared" si="2"/>
        <v>5207</v>
      </c>
      <c r="K31" s="32">
        <f t="shared" si="3"/>
        <v>2232</v>
      </c>
      <c r="L31" s="31">
        <v>88</v>
      </c>
      <c r="M31" s="32">
        <f t="shared" si="4"/>
        <v>3806</v>
      </c>
      <c r="N31" s="34">
        <v>440</v>
      </c>
      <c r="O31" s="34">
        <v>200</v>
      </c>
      <c r="P31" s="32">
        <v>0</v>
      </c>
      <c r="Q31" s="32">
        <f t="shared" si="5"/>
        <v>11885</v>
      </c>
      <c r="R31" s="33">
        <f t="shared" si="6"/>
        <v>624.84</v>
      </c>
      <c r="S31" s="35">
        <f t="shared" si="7"/>
        <v>90</v>
      </c>
      <c r="T31" s="34">
        <v>110</v>
      </c>
      <c r="U31" s="35"/>
      <c r="V31" s="33">
        <f t="shared" si="8"/>
        <v>11060.16</v>
      </c>
      <c r="W31" s="36"/>
    </row>
    <row r="32" spans="1:23" s="37" customFormat="1" ht="30" customHeight="1" x14ac:dyDescent="0.3">
      <c r="A32" s="28">
        <v>28</v>
      </c>
      <c r="B32" s="29">
        <v>80614</v>
      </c>
      <c r="C32" s="30" t="s">
        <v>85</v>
      </c>
      <c r="D32" s="30" t="s">
        <v>1</v>
      </c>
      <c r="E32" s="30">
        <v>346</v>
      </c>
      <c r="F32" s="30">
        <v>21</v>
      </c>
      <c r="G32" s="30">
        <v>1</v>
      </c>
      <c r="H32" s="31">
        <f t="shared" si="0"/>
        <v>22</v>
      </c>
      <c r="I32" s="32">
        <f t="shared" si="1"/>
        <v>7612</v>
      </c>
      <c r="J32" s="33">
        <f t="shared" si="2"/>
        <v>5328</v>
      </c>
      <c r="K32" s="32">
        <f t="shared" si="3"/>
        <v>2284</v>
      </c>
      <c r="L32" s="31">
        <v>88</v>
      </c>
      <c r="M32" s="32">
        <f t="shared" si="4"/>
        <v>3806</v>
      </c>
      <c r="N32" s="34">
        <v>440</v>
      </c>
      <c r="O32" s="34">
        <v>200</v>
      </c>
      <c r="P32" s="32">
        <v>0</v>
      </c>
      <c r="Q32" s="32">
        <f t="shared" si="5"/>
        <v>12058</v>
      </c>
      <c r="R32" s="33">
        <f t="shared" si="6"/>
        <v>639.36</v>
      </c>
      <c r="S32" s="35">
        <f t="shared" si="7"/>
        <v>91</v>
      </c>
      <c r="T32" s="34">
        <v>110</v>
      </c>
      <c r="U32" s="35"/>
      <c r="V32" s="33">
        <f t="shared" si="8"/>
        <v>11217.64</v>
      </c>
      <c r="W32" s="36"/>
    </row>
    <row r="33" spans="1:23" s="37" customFormat="1" ht="30" customHeight="1" x14ac:dyDescent="0.3">
      <c r="A33" s="28">
        <v>29</v>
      </c>
      <c r="B33" s="29">
        <v>80615</v>
      </c>
      <c r="C33" s="65" t="s">
        <v>95</v>
      </c>
      <c r="D33" s="30" t="s">
        <v>3</v>
      </c>
      <c r="E33" s="30">
        <v>324</v>
      </c>
      <c r="F33" s="30">
        <v>21</v>
      </c>
      <c r="G33" s="30">
        <v>1</v>
      </c>
      <c r="H33" s="31">
        <f t="shared" si="0"/>
        <v>22</v>
      </c>
      <c r="I33" s="32">
        <f t="shared" si="1"/>
        <v>7128</v>
      </c>
      <c r="J33" s="33">
        <f t="shared" si="2"/>
        <v>4990</v>
      </c>
      <c r="K33" s="32">
        <f t="shared" si="3"/>
        <v>2138</v>
      </c>
      <c r="L33" s="31">
        <v>88</v>
      </c>
      <c r="M33" s="32">
        <f t="shared" si="4"/>
        <v>3564</v>
      </c>
      <c r="N33" s="34">
        <v>440</v>
      </c>
      <c r="O33" s="34">
        <v>0</v>
      </c>
      <c r="P33" s="32">
        <v>0</v>
      </c>
      <c r="Q33" s="32">
        <f t="shared" si="5"/>
        <v>11132</v>
      </c>
      <c r="R33" s="33">
        <f t="shared" si="6"/>
        <v>598.79999999999995</v>
      </c>
      <c r="S33" s="35">
        <f t="shared" si="7"/>
        <v>84</v>
      </c>
      <c r="T33" s="34">
        <v>210</v>
      </c>
      <c r="U33" s="35"/>
      <c r="V33" s="33">
        <f t="shared" si="8"/>
        <v>10239.200000000001</v>
      </c>
      <c r="W33" s="36"/>
    </row>
    <row r="34" spans="1:23" s="37" customFormat="1" ht="30" customHeight="1" x14ac:dyDescent="0.3">
      <c r="A34" s="28">
        <v>30</v>
      </c>
      <c r="B34" s="29">
        <v>80619</v>
      </c>
      <c r="C34" s="30" t="s">
        <v>96</v>
      </c>
      <c r="D34" s="30" t="s">
        <v>12</v>
      </c>
      <c r="E34" s="30">
        <v>378</v>
      </c>
      <c r="F34" s="30">
        <v>21</v>
      </c>
      <c r="G34" s="30">
        <v>2</v>
      </c>
      <c r="H34" s="31">
        <f t="shared" si="0"/>
        <v>23</v>
      </c>
      <c r="I34" s="32">
        <f t="shared" si="1"/>
        <v>8694</v>
      </c>
      <c r="J34" s="33">
        <f t="shared" si="2"/>
        <v>6086</v>
      </c>
      <c r="K34" s="32">
        <f t="shared" si="3"/>
        <v>2608</v>
      </c>
      <c r="L34" s="31">
        <v>92</v>
      </c>
      <c r="M34" s="32">
        <f t="shared" si="4"/>
        <v>4347</v>
      </c>
      <c r="N34" s="34">
        <v>460</v>
      </c>
      <c r="O34" s="34">
        <v>160</v>
      </c>
      <c r="P34" s="32">
        <v>200</v>
      </c>
      <c r="Q34" s="32">
        <f t="shared" si="5"/>
        <v>13861</v>
      </c>
      <c r="R34" s="33">
        <f t="shared" si="6"/>
        <v>730.31999999999994</v>
      </c>
      <c r="S34" s="35">
        <f t="shared" si="7"/>
        <v>103</v>
      </c>
      <c r="T34" s="34">
        <v>140</v>
      </c>
      <c r="U34" s="35"/>
      <c r="V34" s="33">
        <f t="shared" si="8"/>
        <v>12887.68</v>
      </c>
      <c r="W34" s="36"/>
    </row>
    <row r="35" spans="1:23" s="37" customFormat="1" ht="30" customHeight="1" x14ac:dyDescent="0.3">
      <c r="A35" s="28">
        <v>31</v>
      </c>
      <c r="B35" s="29">
        <v>80620</v>
      </c>
      <c r="C35" s="30" t="s">
        <v>97</v>
      </c>
      <c r="D35" s="30" t="s">
        <v>1</v>
      </c>
      <c r="E35" s="30">
        <v>346</v>
      </c>
      <c r="F35" s="30">
        <v>9</v>
      </c>
      <c r="G35" s="30">
        <v>1</v>
      </c>
      <c r="H35" s="31">
        <f t="shared" si="0"/>
        <v>10</v>
      </c>
      <c r="I35" s="32">
        <f t="shared" si="1"/>
        <v>3460</v>
      </c>
      <c r="J35" s="33">
        <f t="shared" si="2"/>
        <v>2422</v>
      </c>
      <c r="K35" s="32">
        <f t="shared" si="3"/>
        <v>1038</v>
      </c>
      <c r="L35" s="31">
        <v>36</v>
      </c>
      <c r="M35" s="32">
        <f t="shared" si="4"/>
        <v>1557</v>
      </c>
      <c r="N35" s="34">
        <v>180</v>
      </c>
      <c r="O35" s="34">
        <v>120</v>
      </c>
      <c r="P35" s="32">
        <v>0</v>
      </c>
      <c r="Q35" s="32">
        <f t="shared" si="5"/>
        <v>5317</v>
      </c>
      <c r="R35" s="33">
        <f t="shared" si="6"/>
        <v>290.64</v>
      </c>
      <c r="S35" s="35">
        <f t="shared" si="7"/>
        <v>40</v>
      </c>
      <c r="T35" s="34">
        <v>30</v>
      </c>
      <c r="U35" s="35"/>
      <c r="V35" s="33">
        <f t="shared" si="8"/>
        <v>4956.3599999999997</v>
      </c>
      <c r="W35" s="36"/>
    </row>
    <row r="36" spans="1:23" s="37" customFormat="1" ht="30" customHeight="1" x14ac:dyDescent="0.3">
      <c r="A36" s="28">
        <v>32</v>
      </c>
      <c r="B36" s="29">
        <v>80622</v>
      </c>
      <c r="C36" s="30" t="s">
        <v>98</v>
      </c>
      <c r="D36" s="30" t="s">
        <v>12</v>
      </c>
      <c r="E36" s="30">
        <v>378</v>
      </c>
      <c r="F36" s="30">
        <v>22</v>
      </c>
      <c r="G36" s="30">
        <v>1</v>
      </c>
      <c r="H36" s="31">
        <f t="shared" si="0"/>
        <v>23</v>
      </c>
      <c r="I36" s="32">
        <f t="shared" si="1"/>
        <v>8694</v>
      </c>
      <c r="J36" s="33">
        <f t="shared" si="2"/>
        <v>6086</v>
      </c>
      <c r="K36" s="32">
        <f t="shared" si="3"/>
        <v>2608</v>
      </c>
      <c r="L36" s="31">
        <v>88</v>
      </c>
      <c r="M36" s="32">
        <f t="shared" si="4"/>
        <v>4158</v>
      </c>
      <c r="N36" s="34">
        <v>440</v>
      </c>
      <c r="O36" s="34">
        <v>160</v>
      </c>
      <c r="P36" s="32">
        <v>200</v>
      </c>
      <c r="Q36" s="32">
        <f t="shared" si="5"/>
        <v>13652</v>
      </c>
      <c r="R36" s="33">
        <f t="shared" si="6"/>
        <v>730.31999999999994</v>
      </c>
      <c r="S36" s="35">
        <f t="shared" si="7"/>
        <v>101</v>
      </c>
      <c r="T36" s="34">
        <v>140</v>
      </c>
      <c r="U36" s="35"/>
      <c r="V36" s="33">
        <f t="shared" si="8"/>
        <v>12680.68</v>
      </c>
      <c r="W36" s="36"/>
    </row>
    <row r="37" spans="1:23" s="37" customFormat="1" ht="30" customHeight="1" x14ac:dyDescent="0.3">
      <c r="A37" s="28">
        <v>33</v>
      </c>
      <c r="B37" s="29">
        <v>80623</v>
      </c>
      <c r="C37" s="30" t="s">
        <v>99</v>
      </c>
      <c r="D37" s="30" t="s">
        <v>1</v>
      </c>
      <c r="E37" s="30">
        <v>346</v>
      </c>
      <c r="F37" s="30">
        <v>22</v>
      </c>
      <c r="G37" s="30">
        <v>2</v>
      </c>
      <c r="H37" s="31">
        <f t="shared" si="0"/>
        <v>24</v>
      </c>
      <c r="I37" s="32">
        <f t="shared" si="1"/>
        <v>8304</v>
      </c>
      <c r="J37" s="33">
        <f t="shared" si="2"/>
        <v>5813</v>
      </c>
      <c r="K37" s="32">
        <f t="shared" si="3"/>
        <v>2491</v>
      </c>
      <c r="L37" s="31">
        <v>96</v>
      </c>
      <c r="M37" s="32">
        <f t="shared" si="4"/>
        <v>4152</v>
      </c>
      <c r="N37" s="34">
        <v>480</v>
      </c>
      <c r="O37" s="34">
        <v>220</v>
      </c>
      <c r="P37" s="32">
        <v>500</v>
      </c>
      <c r="Q37" s="32">
        <f t="shared" si="5"/>
        <v>13656</v>
      </c>
      <c r="R37" s="33">
        <f t="shared" si="6"/>
        <v>697.56</v>
      </c>
      <c r="S37" s="35">
        <f t="shared" si="7"/>
        <v>99</v>
      </c>
      <c r="T37" s="34">
        <v>120</v>
      </c>
      <c r="U37" s="35"/>
      <c r="V37" s="33">
        <f t="shared" si="8"/>
        <v>12739.44</v>
      </c>
      <c r="W37" s="36"/>
    </row>
    <row r="38" spans="1:23" s="37" customFormat="1" ht="30" customHeight="1" x14ac:dyDescent="0.3">
      <c r="A38" s="28">
        <v>34</v>
      </c>
      <c r="B38" s="29">
        <v>80632</v>
      </c>
      <c r="C38" s="30" t="s">
        <v>100</v>
      </c>
      <c r="D38" s="30" t="s">
        <v>1</v>
      </c>
      <c r="E38" s="30">
        <v>346</v>
      </c>
      <c r="F38" s="30">
        <v>23</v>
      </c>
      <c r="G38" s="30">
        <v>1</v>
      </c>
      <c r="H38" s="31">
        <f t="shared" si="0"/>
        <v>24</v>
      </c>
      <c r="I38" s="32">
        <f t="shared" si="1"/>
        <v>8304</v>
      </c>
      <c r="J38" s="33">
        <f t="shared" si="2"/>
        <v>5813</v>
      </c>
      <c r="K38" s="32">
        <f t="shared" si="3"/>
        <v>2491</v>
      </c>
      <c r="L38" s="31">
        <v>92</v>
      </c>
      <c r="M38" s="32">
        <f t="shared" si="4"/>
        <v>3979</v>
      </c>
      <c r="N38" s="34">
        <v>460</v>
      </c>
      <c r="O38" s="34">
        <v>240</v>
      </c>
      <c r="P38" s="32">
        <v>500</v>
      </c>
      <c r="Q38" s="32">
        <f t="shared" si="5"/>
        <v>13483</v>
      </c>
      <c r="R38" s="33">
        <f t="shared" si="6"/>
        <v>697.56</v>
      </c>
      <c r="S38" s="35">
        <f t="shared" si="7"/>
        <v>98</v>
      </c>
      <c r="T38" s="34">
        <v>110</v>
      </c>
      <c r="U38" s="35"/>
      <c r="V38" s="33">
        <f t="shared" si="8"/>
        <v>12577.44</v>
      </c>
      <c r="W38" s="36"/>
    </row>
    <row r="39" spans="1:23" s="37" customFormat="1" ht="30" customHeight="1" x14ac:dyDescent="0.3">
      <c r="A39" s="28">
        <v>35</v>
      </c>
      <c r="B39" s="29">
        <v>80633</v>
      </c>
      <c r="C39" s="30" t="s">
        <v>101</v>
      </c>
      <c r="D39" s="30" t="s">
        <v>1</v>
      </c>
      <c r="E39" s="30">
        <v>346</v>
      </c>
      <c r="F39" s="30">
        <v>19</v>
      </c>
      <c r="G39" s="30">
        <v>1</v>
      </c>
      <c r="H39" s="31">
        <f t="shared" si="0"/>
        <v>20</v>
      </c>
      <c r="I39" s="32">
        <f t="shared" si="1"/>
        <v>6920</v>
      </c>
      <c r="J39" s="33">
        <f t="shared" si="2"/>
        <v>4844</v>
      </c>
      <c r="K39" s="32">
        <f t="shared" si="3"/>
        <v>2076</v>
      </c>
      <c r="L39" s="31">
        <v>76</v>
      </c>
      <c r="M39" s="32">
        <f t="shared" si="4"/>
        <v>3287</v>
      </c>
      <c r="N39" s="34">
        <v>380</v>
      </c>
      <c r="O39" s="34">
        <v>200</v>
      </c>
      <c r="P39" s="32">
        <v>0</v>
      </c>
      <c r="Q39" s="32">
        <f t="shared" si="5"/>
        <v>10787</v>
      </c>
      <c r="R39" s="33">
        <f t="shared" si="6"/>
        <v>581.28</v>
      </c>
      <c r="S39" s="35">
        <f t="shared" si="7"/>
        <v>81</v>
      </c>
      <c r="T39" s="34">
        <v>90</v>
      </c>
      <c r="U39" s="35"/>
      <c r="V39" s="33">
        <f t="shared" si="8"/>
        <v>10034.719999999999</v>
      </c>
      <c r="W39" s="36"/>
    </row>
    <row r="40" spans="1:23" s="37" customFormat="1" ht="30" customHeight="1" x14ac:dyDescent="0.3">
      <c r="A40" s="28">
        <v>36</v>
      </c>
      <c r="B40" s="29">
        <v>80634</v>
      </c>
      <c r="C40" s="30" t="s">
        <v>102</v>
      </c>
      <c r="D40" s="30" t="s">
        <v>32</v>
      </c>
      <c r="E40" s="30">
        <v>378</v>
      </c>
      <c r="F40" s="30">
        <v>23</v>
      </c>
      <c r="G40" s="30">
        <v>1</v>
      </c>
      <c r="H40" s="31">
        <f t="shared" si="0"/>
        <v>24</v>
      </c>
      <c r="I40" s="32">
        <f t="shared" si="1"/>
        <v>9072</v>
      </c>
      <c r="J40" s="33">
        <f t="shared" si="2"/>
        <v>6350</v>
      </c>
      <c r="K40" s="32">
        <f t="shared" si="3"/>
        <v>2722</v>
      </c>
      <c r="L40" s="31">
        <v>92</v>
      </c>
      <c r="M40" s="32">
        <f t="shared" si="4"/>
        <v>4347</v>
      </c>
      <c r="N40" s="34">
        <v>460</v>
      </c>
      <c r="O40" s="34">
        <v>240</v>
      </c>
      <c r="P40" s="32">
        <v>500</v>
      </c>
      <c r="Q40" s="32">
        <f t="shared" si="5"/>
        <v>14619</v>
      </c>
      <c r="R40" s="33">
        <f t="shared" si="6"/>
        <v>762</v>
      </c>
      <c r="S40" s="35">
        <f t="shared" si="7"/>
        <v>106</v>
      </c>
      <c r="T40" s="34">
        <v>110</v>
      </c>
      <c r="U40" s="35"/>
      <c r="V40" s="33">
        <f t="shared" si="8"/>
        <v>13641</v>
      </c>
      <c r="W40" s="36"/>
    </row>
    <row r="41" spans="1:23" s="37" customFormat="1" ht="30" customHeight="1" x14ac:dyDescent="0.3">
      <c r="A41" s="28">
        <v>37</v>
      </c>
      <c r="B41" s="29">
        <v>80636</v>
      </c>
      <c r="C41" s="30" t="s">
        <v>103</v>
      </c>
      <c r="D41" s="30" t="s">
        <v>32</v>
      </c>
      <c r="E41" s="30">
        <v>378</v>
      </c>
      <c r="F41" s="30">
        <v>17</v>
      </c>
      <c r="G41" s="30">
        <v>1</v>
      </c>
      <c r="H41" s="31">
        <f t="shared" si="0"/>
        <v>18</v>
      </c>
      <c r="I41" s="32">
        <f t="shared" ref="I41:I79" si="9">+E41*(H41)</f>
        <v>6804</v>
      </c>
      <c r="J41" s="33">
        <f t="shared" ref="J41:J79" si="10">ROUND(I41*70%,0)</f>
        <v>4763</v>
      </c>
      <c r="K41" s="32">
        <f t="shared" ref="K41:K79" si="11">ROUND(I41*30%,0)</f>
        <v>2041</v>
      </c>
      <c r="L41" s="31">
        <v>68</v>
      </c>
      <c r="M41" s="32">
        <f t="shared" ref="M41:M79" si="12">E41/8*L41</f>
        <v>3213</v>
      </c>
      <c r="N41" s="34">
        <v>340</v>
      </c>
      <c r="O41" s="34">
        <v>160</v>
      </c>
      <c r="P41" s="32">
        <v>0</v>
      </c>
      <c r="Q41" s="32">
        <f t="shared" si="5"/>
        <v>10517</v>
      </c>
      <c r="R41" s="33">
        <f t="shared" ref="R41:R79" si="13">+J41*12%</f>
        <v>571.55999999999995</v>
      </c>
      <c r="S41" s="35">
        <f t="shared" ref="S41:S79" si="14">CEILING((Q41-P41)*0.75%,1)</f>
        <v>79</v>
      </c>
      <c r="T41" s="34">
        <v>90</v>
      </c>
      <c r="U41" s="35"/>
      <c r="V41" s="33">
        <f t="shared" ref="V41:V79" si="15">Q41-R41-S41-T41-U41</f>
        <v>9776.44</v>
      </c>
      <c r="W41" s="36"/>
    </row>
    <row r="42" spans="1:23" s="37" customFormat="1" ht="30" customHeight="1" x14ac:dyDescent="0.3">
      <c r="A42" s="28">
        <v>38</v>
      </c>
      <c r="B42" s="29">
        <v>80637</v>
      </c>
      <c r="C42" s="30" t="s">
        <v>104</v>
      </c>
      <c r="D42" s="30" t="s">
        <v>12</v>
      </c>
      <c r="E42" s="30">
        <v>378</v>
      </c>
      <c r="F42" s="30">
        <v>23</v>
      </c>
      <c r="G42" s="30">
        <v>1</v>
      </c>
      <c r="H42" s="31">
        <f t="shared" si="0"/>
        <v>24</v>
      </c>
      <c r="I42" s="32">
        <f t="shared" si="9"/>
        <v>9072</v>
      </c>
      <c r="J42" s="33">
        <f t="shared" si="10"/>
        <v>6350</v>
      </c>
      <c r="K42" s="32">
        <f t="shared" si="11"/>
        <v>2722</v>
      </c>
      <c r="L42" s="31">
        <v>92</v>
      </c>
      <c r="M42" s="32">
        <f t="shared" si="12"/>
        <v>4347</v>
      </c>
      <c r="N42" s="34">
        <v>460</v>
      </c>
      <c r="O42" s="34">
        <v>0</v>
      </c>
      <c r="P42" s="32">
        <v>500</v>
      </c>
      <c r="Q42" s="32">
        <f t="shared" si="5"/>
        <v>14379</v>
      </c>
      <c r="R42" s="33">
        <f t="shared" si="13"/>
        <v>762</v>
      </c>
      <c r="S42" s="35">
        <f t="shared" si="14"/>
        <v>105</v>
      </c>
      <c r="T42" s="34">
        <v>230</v>
      </c>
      <c r="U42" s="35"/>
      <c r="V42" s="33">
        <f t="shared" si="15"/>
        <v>13282</v>
      </c>
      <c r="W42" s="36"/>
    </row>
    <row r="43" spans="1:23" s="37" customFormat="1" ht="30" customHeight="1" x14ac:dyDescent="0.3">
      <c r="A43" s="28">
        <v>39</v>
      </c>
      <c r="B43" s="29">
        <v>80639</v>
      </c>
      <c r="C43" s="30" t="s">
        <v>105</v>
      </c>
      <c r="D43" s="30" t="s">
        <v>12</v>
      </c>
      <c r="E43" s="30">
        <v>378</v>
      </c>
      <c r="F43" s="30">
        <v>22</v>
      </c>
      <c r="G43" s="30">
        <v>1</v>
      </c>
      <c r="H43" s="31">
        <f t="shared" si="0"/>
        <v>23</v>
      </c>
      <c r="I43" s="32">
        <f t="shared" si="9"/>
        <v>8694</v>
      </c>
      <c r="J43" s="33">
        <f t="shared" si="10"/>
        <v>6086</v>
      </c>
      <c r="K43" s="32">
        <f t="shared" si="11"/>
        <v>2608</v>
      </c>
      <c r="L43" s="31">
        <v>88</v>
      </c>
      <c r="M43" s="32">
        <f t="shared" si="12"/>
        <v>4158</v>
      </c>
      <c r="N43" s="34">
        <v>440</v>
      </c>
      <c r="O43" s="34">
        <v>220</v>
      </c>
      <c r="P43" s="32">
        <v>200</v>
      </c>
      <c r="Q43" s="32">
        <f t="shared" si="5"/>
        <v>13712</v>
      </c>
      <c r="R43" s="33">
        <f t="shared" si="13"/>
        <v>730.31999999999994</v>
      </c>
      <c r="S43" s="35">
        <f t="shared" si="14"/>
        <v>102</v>
      </c>
      <c r="T43" s="34">
        <v>110</v>
      </c>
      <c r="U43" s="35"/>
      <c r="V43" s="33">
        <f t="shared" si="15"/>
        <v>12769.68</v>
      </c>
      <c r="W43" s="36"/>
    </row>
    <row r="44" spans="1:23" s="37" customFormat="1" ht="30" customHeight="1" x14ac:dyDescent="0.3">
      <c r="A44" s="28">
        <v>40</v>
      </c>
      <c r="B44" s="29">
        <v>80641</v>
      </c>
      <c r="C44" s="30" t="s">
        <v>106</v>
      </c>
      <c r="D44" s="30" t="s">
        <v>1</v>
      </c>
      <c r="E44" s="30">
        <v>346</v>
      </c>
      <c r="F44" s="30">
        <v>21</v>
      </c>
      <c r="G44" s="30">
        <v>2</v>
      </c>
      <c r="H44" s="31">
        <f t="shared" ref="H44:H79" si="16">F44+G44</f>
        <v>23</v>
      </c>
      <c r="I44" s="32">
        <f t="shared" si="9"/>
        <v>7958</v>
      </c>
      <c r="J44" s="33">
        <f t="shared" si="10"/>
        <v>5571</v>
      </c>
      <c r="K44" s="32">
        <f t="shared" si="11"/>
        <v>2387</v>
      </c>
      <c r="L44" s="31">
        <v>92</v>
      </c>
      <c r="M44" s="32">
        <f t="shared" si="12"/>
        <v>3979</v>
      </c>
      <c r="N44" s="34">
        <v>460</v>
      </c>
      <c r="O44" s="34">
        <v>200</v>
      </c>
      <c r="P44" s="32">
        <v>200</v>
      </c>
      <c r="Q44" s="32">
        <f t="shared" ref="Q44:Q79" si="17">+P44+O44+N44+M44+I44</f>
        <v>12797</v>
      </c>
      <c r="R44" s="33">
        <f t="shared" si="13"/>
        <v>668.52</v>
      </c>
      <c r="S44" s="35">
        <f t="shared" si="14"/>
        <v>95</v>
      </c>
      <c r="T44" s="34">
        <v>120</v>
      </c>
      <c r="U44" s="35"/>
      <c r="V44" s="33">
        <f t="shared" si="15"/>
        <v>11913.48</v>
      </c>
      <c r="W44" s="36"/>
    </row>
    <row r="45" spans="1:23" s="37" customFormat="1" ht="30" customHeight="1" x14ac:dyDescent="0.3">
      <c r="A45" s="28">
        <v>41</v>
      </c>
      <c r="B45" s="68">
        <v>80643</v>
      </c>
      <c r="C45" s="30" t="s">
        <v>107</v>
      </c>
      <c r="D45" s="30" t="s">
        <v>1</v>
      </c>
      <c r="E45" s="30">
        <v>346</v>
      </c>
      <c r="F45" s="30">
        <v>22</v>
      </c>
      <c r="G45" s="30">
        <v>1</v>
      </c>
      <c r="H45" s="31">
        <f t="shared" si="16"/>
        <v>23</v>
      </c>
      <c r="I45" s="32">
        <f t="shared" si="9"/>
        <v>7958</v>
      </c>
      <c r="J45" s="33">
        <f t="shared" si="10"/>
        <v>5571</v>
      </c>
      <c r="K45" s="32">
        <f t="shared" si="11"/>
        <v>2387</v>
      </c>
      <c r="L45" s="31">
        <v>92</v>
      </c>
      <c r="M45" s="32">
        <f t="shared" si="12"/>
        <v>3979</v>
      </c>
      <c r="N45" s="34">
        <v>460</v>
      </c>
      <c r="O45" s="34">
        <v>220</v>
      </c>
      <c r="P45" s="32">
        <v>200</v>
      </c>
      <c r="Q45" s="32">
        <f t="shared" si="17"/>
        <v>12817</v>
      </c>
      <c r="R45" s="33">
        <f t="shared" si="13"/>
        <v>668.52</v>
      </c>
      <c r="S45" s="35">
        <f t="shared" si="14"/>
        <v>95</v>
      </c>
      <c r="T45" s="34">
        <v>120</v>
      </c>
      <c r="U45" s="35"/>
      <c r="V45" s="33">
        <f t="shared" si="15"/>
        <v>11933.48</v>
      </c>
      <c r="W45" s="36"/>
    </row>
    <row r="46" spans="1:23" s="37" customFormat="1" ht="30" customHeight="1" x14ac:dyDescent="0.3">
      <c r="A46" s="28">
        <v>42</v>
      </c>
      <c r="B46" s="29">
        <v>80645</v>
      </c>
      <c r="C46" s="30" t="s">
        <v>108</v>
      </c>
      <c r="D46" s="30" t="s">
        <v>2</v>
      </c>
      <c r="E46" s="30">
        <v>324</v>
      </c>
      <c r="F46" s="30">
        <v>23</v>
      </c>
      <c r="G46" s="30">
        <v>1</v>
      </c>
      <c r="H46" s="31">
        <f t="shared" si="16"/>
        <v>24</v>
      </c>
      <c r="I46" s="32">
        <f t="shared" si="9"/>
        <v>7776</v>
      </c>
      <c r="J46" s="33">
        <f t="shared" si="10"/>
        <v>5443</v>
      </c>
      <c r="K46" s="32">
        <f t="shared" si="11"/>
        <v>2333</v>
      </c>
      <c r="L46" s="31">
        <v>92</v>
      </c>
      <c r="M46" s="32">
        <f t="shared" si="12"/>
        <v>3726</v>
      </c>
      <c r="N46" s="34">
        <v>460</v>
      </c>
      <c r="O46" s="34">
        <v>240</v>
      </c>
      <c r="P46" s="32">
        <v>500</v>
      </c>
      <c r="Q46" s="32">
        <f t="shared" si="17"/>
        <v>12702</v>
      </c>
      <c r="R46" s="33">
        <f t="shared" si="13"/>
        <v>653.16</v>
      </c>
      <c r="S46" s="35">
        <f t="shared" si="14"/>
        <v>92</v>
      </c>
      <c r="T46" s="34">
        <v>110</v>
      </c>
      <c r="U46" s="35"/>
      <c r="V46" s="33">
        <f t="shared" si="15"/>
        <v>11846.84</v>
      </c>
      <c r="W46" s="36"/>
    </row>
    <row r="47" spans="1:23" s="37" customFormat="1" ht="30" customHeight="1" x14ac:dyDescent="0.3">
      <c r="A47" s="28">
        <v>43</v>
      </c>
      <c r="B47" s="29">
        <v>80649</v>
      </c>
      <c r="C47" s="30" t="s">
        <v>109</v>
      </c>
      <c r="D47" s="30" t="s">
        <v>1</v>
      </c>
      <c r="E47" s="30">
        <v>346</v>
      </c>
      <c r="F47" s="30">
        <v>22</v>
      </c>
      <c r="G47" s="30">
        <v>1</v>
      </c>
      <c r="H47" s="31">
        <f t="shared" si="16"/>
        <v>23</v>
      </c>
      <c r="I47" s="32">
        <f t="shared" si="9"/>
        <v>7958</v>
      </c>
      <c r="J47" s="33">
        <f t="shared" si="10"/>
        <v>5571</v>
      </c>
      <c r="K47" s="32">
        <f t="shared" si="11"/>
        <v>2387</v>
      </c>
      <c r="L47" s="31">
        <v>88</v>
      </c>
      <c r="M47" s="32">
        <f t="shared" si="12"/>
        <v>3806</v>
      </c>
      <c r="N47" s="34">
        <v>440</v>
      </c>
      <c r="O47" s="34">
        <v>240</v>
      </c>
      <c r="P47" s="32">
        <v>200</v>
      </c>
      <c r="Q47" s="32">
        <f t="shared" si="17"/>
        <v>12644</v>
      </c>
      <c r="R47" s="33">
        <f t="shared" si="13"/>
        <v>668.52</v>
      </c>
      <c r="S47" s="35">
        <f t="shared" si="14"/>
        <v>94</v>
      </c>
      <c r="T47" s="34">
        <v>100</v>
      </c>
      <c r="U47" s="35"/>
      <c r="V47" s="33">
        <f t="shared" si="15"/>
        <v>11781.48</v>
      </c>
      <c r="W47" s="36"/>
    </row>
    <row r="48" spans="1:23" s="37" customFormat="1" ht="30" customHeight="1" x14ac:dyDescent="0.3">
      <c r="A48" s="28">
        <v>44</v>
      </c>
      <c r="B48" s="29">
        <v>80650</v>
      </c>
      <c r="C48" s="30" t="s">
        <v>110</v>
      </c>
      <c r="D48" s="30" t="s">
        <v>1</v>
      </c>
      <c r="E48" s="30">
        <v>346</v>
      </c>
      <c r="F48" s="30">
        <v>21</v>
      </c>
      <c r="G48" s="30">
        <v>1</v>
      </c>
      <c r="H48" s="31">
        <f t="shared" si="16"/>
        <v>22</v>
      </c>
      <c r="I48" s="32">
        <f t="shared" si="9"/>
        <v>7612</v>
      </c>
      <c r="J48" s="33">
        <f t="shared" si="10"/>
        <v>5328</v>
      </c>
      <c r="K48" s="32">
        <f t="shared" si="11"/>
        <v>2284</v>
      </c>
      <c r="L48" s="31">
        <v>84</v>
      </c>
      <c r="M48" s="32">
        <f t="shared" si="12"/>
        <v>3633</v>
      </c>
      <c r="N48" s="34">
        <v>420</v>
      </c>
      <c r="O48" s="34">
        <v>140</v>
      </c>
      <c r="P48" s="32">
        <v>0</v>
      </c>
      <c r="Q48" s="32">
        <f t="shared" si="17"/>
        <v>11805</v>
      </c>
      <c r="R48" s="33">
        <f t="shared" si="13"/>
        <v>639.36</v>
      </c>
      <c r="S48" s="35">
        <f t="shared" si="14"/>
        <v>89</v>
      </c>
      <c r="T48" s="34">
        <v>140</v>
      </c>
      <c r="U48" s="35"/>
      <c r="V48" s="33">
        <f t="shared" si="15"/>
        <v>10936.64</v>
      </c>
      <c r="W48" s="36"/>
    </row>
    <row r="49" spans="1:23" s="37" customFormat="1" ht="30" customHeight="1" x14ac:dyDescent="0.3">
      <c r="A49" s="28">
        <v>45</v>
      </c>
      <c r="B49" s="29">
        <v>80651</v>
      </c>
      <c r="C49" s="30" t="s">
        <v>111</v>
      </c>
      <c r="D49" s="30" t="s">
        <v>12</v>
      </c>
      <c r="E49" s="30">
        <v>378</v>
      </c>
      <c r="F49" s="30">
        <v>21</v>
      </c>
      <c r="G49" s="30">
        <v>1</v>
      </c>
      <c r="H49" s="31">
        <f t="shared" si="16"/>
        <v>22</v>
      </c>
      <c r="I49" s="32">
        <f t="shared" si="9"/>
        <v>8316</v>
      </c>
      <c r="J49" s="33">
        <f t="shared" si="10"/>
        <v>5821</v>
      </c>
      <c r="K49" s="32">
        <f t="shared" si="11"/>
        <v>2495</v>
      </c>
      <c r="L49" s="31">
        <v>84</v>
      </c>
      <c r="M49" s="32">
        <f t="shared" si="12"/>
        <v>3969</v>
      </c>
      <c r="N49" s="34">
        <v>420</v>
      </c>
      <c r="O49" s="34">
        <v>0</v>
      </c>
      <c r="P49" s="32">
        <v>0</v>
      </c>
      <c r="Q49" s="32">
        <f t="shared" si="17"/>
        <v>12705</v>
      </c>
      <c r="R49" s="33">
        <f t="shared" si="13"/>
        <v>698.52</v>
      </c>
      <c r="S49" s="35">
        <f t="shared" si="14"/>
        <v>96</v>
      </c>
      <c r="T49" s="34">
        <v>210</v>
      </c>
      <c r="U49" s="35"/>
      <c r="V49" s="33">
        <f t="shared" si="15"/>
        <v>11700.48</v>
      </c>
      <c r="W49" s="36"/>
    </row>
    <row r="50" spans="1:23" s="37" customFormat="1" ht="30" customHeight="1" x14ac:dyDescent="0.3">
      <c r="A50" s="28">
        <v>46</v>
      </c>
      <c r="B50" s="29">
        <v>80652</v>
      </c>
      <c r="C50" s="30" t="s">
        <v>114</v>
      </c>
      <c r="D50" s="30" t="s">
        <v>12</v>
      </c>
      <c r="E50" s="30">
        <v>378</v>
      </c>
      <c r="F50" s="30">
        <v>18</v>
      </c>
      <c r="G50" s="30">
        <v>0</v>
      </c>
      <c r="H50" s="31">
        <f t="shared" si="16"/>
        <v>18</v>
      </c>
      <c r="I50" s="32">
        <f t="shared" si="9"/>
        <v>6804</v>
      </c>
      <c r="J50" s="33">
        <f t="shared" si="10"/>
        <v>4763</v>
      </c>
      <c r="K50" s="32">
        <f t="shared" si="11"/>
        <v>2041</v>
      </c>
      <c r="L50" s="31">
        <v>70</v>
      </c>
      <c r="M50" s="32">
        <f t="shared" si="12"/>
        <v>3307.5</v>
      </c>
      <c r="N50" s="34">
        <v>340</v>
      </c>
      <c r="O50" s="34">
        <v>0</v>
      </c>
      <c r="P50" s="32">
        <v>0</v>
      </c>
      <c r="Q50" s="32">
        <f t="shared" si="17"/>
        <v>10451.5</v>
      </c>
      <c r="R50" s="33">
        <f t="shared" si="13"/>
        <v>571.55999999999995</v>
      </c>
      <c r="S50" s="35">
        <f t="shared" si="14"/>
        <v>79</v>
      </c>
      <c r="T50" s="34">
        <v>180</v>
      </c>
      <c r="U50" s="35"/>
      <c r="V50" s="33">
        <f t="shared" si="15"/>
        <v>9620.94</v>
      </c>
      <c r="W50" s="36"/>
    </row>
    <row r="51" spans="1:23" s="37" customFormat="1" ht="30" customHeight="1" x14ac:dyDescent="0.3">
      <c r="A51" s="28">
        <v>47</v>
      </c>
      <c r="B51" s="29">
        <v>80653</v>
      </c>
      <c r="C51" s="30" t="s">
        <v>115</v>
      </c>
      <c r="D51" s="30" t="s">
        <v>1</v>
      </c>
      <c r="E51" s="30">
        <v>346</v>
      </c>
      <c r="F51" s="30">
        <v>17.5</v>
      </c>
      <c r="G51" s="30">
        <v>0</v>
      </c>
      <c r="H51" s="31">
        <f t="shared" si="16"/>
        <v>17.5</v>
      </c>
      <c r="I51" s="32">
        <f t="shared" si="9"/>
        <v>6055</v>
      </c>
      <c r="J51" s="33">
        <f t="shared" si="10"/>
        <v>4239</v>
      </c>
      <c r="K51" s="32">
        <f t="shared" si="11"/>
        <v>1817</v>
      </c>
      <c r="L51" s="31">
        <v>70</v>
      </c>
      <c r="M51" s="32">
        <f t="shared" si="12"/>
        <v>3027.5</v>
      </c>
      <c r="N51" s="34">
        <v>340</v>
      </c>
      <c r="O51" s="34">
        <v>120</v>
      </c>
      <c r="P51" s="32">
        <v>0</v>
      </c>
      <c r="Q51" s="32">
        <f t="shared" si="17"/>
        <v>9542.5</v>
      </c>
      <c r="R51" s="33">
        <f t="shared" si="13"/>
        <v>508.68</v>
      </c>
      <c r="S51" s="35">
        <f t="shared" si="14"/>
        <v>72</v>
      </c>
      <c r="T51" s="34">
        <v>120</v>
      </c>
      <c r="U51" s="35"/>
      <c r="V51" s="33">
        <f t="shared" si="15"/>
        <v>8841.82</v>
      </c>
      <c r="W51" s="36"/>
    </row>
    <row r="52" spans="1:23" s="37" customFormat="1" ht="30" customHeight="1" x14ac:dyDescent="0.3">
      <c r="A52" s="28">
        <v>48</v>
      </c>
      <c r="B52" s="29">
        <v>80654</v>
      </c>
      <c r="C52" s="30" t="s">
        <v>116</v>
      </c>
      <c r="D52" s="30" t="s">
        <v>1</v>
      </c>
      <c r="E52" s="30">
        <v>346</v>
      </c>
      <c r="F52" s="30">
        <v>17.5</v>
      </c>
      <c r="G52" s="30">
        <v>0</v>
      </c>
      <c r="H52" s="31">
        <f t="shared" si="16"/>
        <v>17.5</v>
      </c>
      <c r="I52" s="32">
        <f t="shared" si="9"/>
        <v>6055</v>
      </c>
      <c r="J52" s="33">
        <f t="shared" si="10"/>
        <v>4239</v>
      </c>
      <c r="K52" s="32">
        <f t="shared" si="11"/>
        <v>1817</v>
      </c>
      <c r="L52" s="31">
        <v>70</v>
      </c>
      <c r="M52" s="32">
        <f t="shared" si="12"/>
        <v>3027.5</v>
      </c>
      <c r="N52" s="34">
        <v>340</v>
      </c>
      <c r="O52" s="34">
        <v>180</v>
      </c>
      <c r="P52" s="32">
        <v>0</v>
      </c>
      <c r="Q52" s="32">
        <f t="shared" si="17"/>
        <v>9602.5</v>
      </c>
      <c r="R52" s="33">
        <f t="shared" si="13"/>
        <v>508.68</v>
      </c>
      <c r="S52" s="35">
        <f t="shared" si="14"/>
        <v>73</v>
      </c>
      <c r="T52" s="34">
        <v>90</v>
      </c>
      <c r="U52" s="35"/>
      <c r="V52" s="33">
        <f t="shared" si="15"/>
        <v>8930.82</v>
      </c>
      <c r="W52" s="36"/>
    </row>
    <row r="53" spans="1:23" s="37" customFormat="1" ht="30" customHeight="1" x14ac:dyDescent="0.3">
      <c r="A53" s="28">
        <v>49</v>
      </c>
      <c r="B53" s="29">
        <v>80655</v>
      </c>
      <c r="C53" s="30" t="s">
        <v>117</v>
      </c>
      <c r="D53" s="30" t="s">
        <v>1</v>
      </c>
      <c r="E53" s="30">
        <v>346</v>
      </c>
      <c r="F53" s="30">
        <v>18</v>
      </c>
      <c r="G53" s="30">
        <v>0</v>
      </c>
      <c r="H53" s="31">
        <f t="shared" si="16"/>
        <v>18</v>
      </c>
      <c r="I53" s="32">
        <f t="shared" si="9"/>
        <v>6228</v>
      </c>
      <c r="J53" s="33">
        <f t="shared" si="10"/>
        <v>4360</v>
      </c>
      <c r="K53" s="32">
        <f t="shared" si="11"/>
        <v>1868</v>
      </c>
      <c r="L53" s="31">
        <v>70</v>
      </c>
      <c r="M53" s="32">
        <f t="shared" si="12"/>
        <v>3027.5</v>
      </c>
      <c r="N53" s="34">
        <v>340</v>
      </c>
      <c r="O53" s="34">
        <v>180</v>
      </c>
      <c r="P53" s="32">
        <v>0</v>
      </c>
      <c r="Q53" s="32">
        <f t="shared" si="17"/>
        <v>9775.5</v>
      </c>
      <c r="R53" s="33">
        <f t="shared" si="13"/>
        <v>523.19999999999993</v>
      </c>
      <c r="S53" s="35">
        <f t="shared" si="14"/>
        <v>74</v>
      </c>
      <c r="T53" s="34">
        <v>90</v>
      </c>
      <c r="U53" s="35"/>
      <c r="V53" s="33">
        <f t="shared" si="15"/>
        <v>9088.2999999999993</v>
      </c>
      <c r="W53" s="36"/>
    </row>
    <row r="54" spans="1:23" s="37" customFormat="1" ht="30" customHeight="1" x14ac:dyDescent="0.3">
      <c r="A54" s="28">
        <v>50</v>
      </c>
      <c r="B54" s="29">
        <v>80656</v>
      </c>
      <c r="C54" s="30" t="s">
        <v>118</v>
      </c>
      <c r="D54" s="30" t="s">
        <v>1</v>
      </c>
      <c r="E54" s="30">
        <v>346</v>
      </c>
      <c r="F54" s="30">
        <v>18</v>
      </c>
      <c r="G54" s="30">
        <v>0</v>
      </c>
      <c r="H54" s="31">
        <f t="shared" si="16"/>
        <v>18</v>
      </c>
      <c r="I54" s="32">
        <f t="shared" si="9"/>
        <v>6228</v>
      </c>
      <c r="J54" s="33">
        <f t="shared" si="10"/>
        <v>4360</v>
      </c>
      <c r="K54" s="32">
        <f t="shared" si="11"/>
        <v>1868</v>
      </c>
      <c r="L54" s="31">
        <v>70</v>
      </c>
      <c r="M54" s="32">
        <f t="shared" si="12"/>
        <v>3027.5</v>
      </c>
      <c r="N54" s="34">
        <v>340</v>
      </c>
      <c r="O54" s="34">
        <v>260</v>
      </c>
      <c r="P54" s="32">
        <v>0</v>
      </c>
      <c r="Q54" s="32">
        <f t="shared" si="17"/>
        <v>9855.5</v>
      </c>
      <c r="R54" s="33">
        <f t="shared" si="13"/>
        <v>523.19999999999993</v>
      </c>
      <c r="S54" s="35">
        <f t="shared" si="14"/>
        <v>74</v>
      </c>
      <c r="T54" s="34">
        <v>50</v>
      </c>
      <c r="U54" s="35"/>
      <c r="V54" s="33">
        <f t="shared" si="15"/>
        <v>9208.2999999999993</v>
      </c>
      <c r="W54" s="36"/>
    </row>
    <row r="55" spans="1:23" s="37" customFormat="1" ht="30" customHeight="1" x14ac:dyDescent="0.3">
      <c r="A55" s="28">
        <v>51</v>
      </c>
      <c r="B55" s="29">
        <v>80657</v>
      </c>
      <c r="C55" s="30" t="s">
        <v>119</v>
      </c>
      <c r="D55" s="30" t="s">
        <v>12</v>
      </c>
      <c r="E55" s="30">
        <v>378</v>
      </c>
      <c r="F55" s="30">
        <v>17</v>
      </c>
      <c r="G55" s="30">
        <v>0</v>
      </c>
      <c r="H55" s="31">
        <f t="shared" si="16"/>
        <v>17</v>
      </c>
      <c r="I55" s="32">
        <f t="shared" si="9"/>
        <v>6426</v>
      </c>
      <c r="J55" s="33">
        <f t="shared" si="10"/>
        <v>4498</v>
      </c>
      <c r="K55" s="32">
        <f t="shared" si="11"/>
        <v>1928</v>
      </c>
      <c r="L55" s="31">
        <v>66</v>
      </c>
      <c r="M55" s="32">
        <f t="shared" si="12"/>
        <v>3118.5</v>
      </c>
      <c r="N55" s="34">
        <v>320</v>
      </c>
      <c r="O55" s="34">
        <v>0</v>
      </c>
      <c r="P55" s="32">
        <v>0</v>
      </c>
      <c r="Q55" s="32">
        <f t="shared" si="17"/>
        <v>9864.5</v>
      </c>
      <c r="R55" s="33">
        <f t="shared" si="13"/>
        <v>539.76</v>
      </c>
      <c r="S55" s="35">
        <f t="shared" si="14"/>
        <v>74</v>
      </c>
      <c r="T55" s="34">
        <v>170</v>
      </c>
      <c r="U55" s="35"/>
      <c r="V55" s="33">
        <f t="shared" si="15"/>
        <v>9080.74</v>
      </c>
      <c r="W55" s="36"/>
    </row>
    <row r="56" spans="1:23" s="37" customFormat="1" ht="30" customHeight="1" x14ac:dyDescent="0.3">
      <c r="A56" s="28">
        <v>52</v>
      </c>
      <c r="B56" s="29">
        <v>80658</v>
      </c>
      <c r="C56" s="30" t="s">
        <v>120</v>
      </c>
      <c r="D56" s="30" t="s">
        <v>3</v>
      </c>
      <c r="E56" s="30">
        <v>324</v>
      </c>
      <c r="F56" s="30">
        <v>17</v>
      </c>
      <c r="G56" s="30">
        <v>0</v>
      </c>
      <c r="H56" s="31">
        <f t="shared" si="16"/>
        <v>17</v>
      </c>
      <c r="I56" s="32">
        <f t="shared" si="9"/>
        <v>5508</v>
      </c>
      <c r="J56" s="33">
        <f t="shared" si="10"/>
        <v>3856</v>
      </c>
      <c r="K56" s="32">
        <f t="shared" si="11"/>
        <v>1652</v>
      </c>
      <c r="L56" s="31">
        <v>66</v>
      </c>
      <c r="M56" s="32">
        <f t="shared" si="12"/>
        <v>2673</v>
      </c>
      <c r="N56" s="34">
        <v>320</v>
      </c>
      <c r="O56" s="34">
        <v>0</v>
      </c>
      <c r="P56" s="32">
        <v>0</v>
      </c>
      <c r="Q56" s="32">
        <f t="shared" si="17"/>
        <v>8501</v>
      </c>
      <c r="R56" s="33">
        <f t="shared" si="13"/>
        <v>462.71999999999997</v>
      </c>
      <c r="S56" s="35">
        <f t="shared" si="14"/>
        <v>64</v>
      </c>
      <c r="T56" s="34">
        <v>170</v>
      </c>
      <c r="U56" s="35"/>
      <c r="V56" s="33">
        <f t="shared" si="15"/>
        <v>7804.28</v>
      </c>
      <c r="W56" s="36"/>
    </row>
    <row r="57" spans="1:23" s="37" customFormat="1" ht="30" customHeight="1" x14ac:dyDescent="0.3">
      <c r="A57" s="28">
        <v>53</v>
      </c>
      <c r="B57" s="29">
        <v>80659</v>
      </c>
      <c r="C57" s="30" t="s">
        <v>121</v>
      </c>
      <c r="D57" s="30" t="s">
        <v>3</v>
      </c>
      <c r="E57" s="30">
        <v>324</v>
      </c>
      <c r="F57" s="30">
        <v>17</v>
      </c>
      <c r="G57" s="30">
        <v>0</v>
      </c>
      <c r="H57" s="31">
        <f t="shared" si="16"/>
        <v>17</v>
      </c>
      <c r="I57" s="32">
        <f t="shared" si="9"/>
        <v>5508</v>
      </c>
      <c r="J57" s="33">
        <f t="shared" si="10"/>
        <v>3856</v>
      </c>
      <c r="K57" s="32">
        <f t="shared" si="11"/>
        <v>1652</v>
      </c>
      <c r="L57" s="31">
        <v>66</v>
      </c>
      <c r="M57" s="32">
        <f t="shared" si="12"/>
        <v>2673</v>
      </c>
      <c r="N57" s="34">
        <v>320</v>
      </c>
      <c r="O57" s="34">
        <v>0</v>
      </c>
      <c r="P57" s="32">
        <v>0</v>
      </c>
      <c r="Q57" s="32">
        <f t="shared" si="17"/>
        <v>8501</v>
      </c>
      <c r="R57" s="33">
        <f t="shared" si="13"/>
        <v>462.71999999999997</v>
      </c>
      <c r="S57" s="35">
        <f t="shared" si="14"/>
        <v>64</v>
      </c>
      <c r="T57" s="34">
        <v>170</v>
      </c>
      <c r="U57" s="35"/>
      <c r="V57" s="33">
        <f t="shared" si="15"/>
        <v>7804.28</v>
      </c>
      <c r="W57" s="36"/>
    </row>
    <row r="58" spans="1:23" s="37" customFormat="1" ht="30" customHeight="1" x14ac:dyDescent="0.3">
      <c r="A58" s="28">
        <v>54</v>
      </c>
      <c r="B58" s="29">
        <v>80660</v>
      </c>
      <c r="C58" s="30" t="s">
        <v>122</v>
      </c>
      <c r="D58" s="30" t="s">
        <v>1</v>
      </c>
      <c r="E58" s="30">
        <v>346</v>
      </c>
      <c r="F58" s="30">
        <v>14.5</v>
      </c>
      <c r="G58" s="30">
        <v>0</v>
      </c>
      <c r="H58" s="31">
        <f t="shared" si="16"/>
        <v>14.5</v>
      </c>
      <c r="I58" s="32">
        <f t="shared" si="9"/>
        <v>5017</v>
      </c>
      <c r="J58" s="33">
        <f t="shared" si="10"/>
        <v>3512</v>
      </c>
      <c r="K58" s="32">
        <f t="shared" si="11"/>
        <v>1505</v>
      </c>
      <c r="L58" s="31">
        <v>60</v>
      </c>
      <c r="M58" s="32">
        <f t="shared" si="12"/>
        <v>2595</v>
      </c>
      <c r="N58" s="34">
        <v>300</v>
      </c>
      <c r="O58" s="34">
        <v>160</v>
      </c>
      <c r="P58" s="32">
        <v>0</v>
      </c>
      <c r="Q58" s="32">
        <f t="shared" si="17"/>
        <v>8072</v>
      </c>
      <c r="R58" s="33">
        <f t="shared" si="13"/>
        <v>421.44</v>
      </c>
      <c r="S58" s="35">
        <f t="shared" si="14"/>
        <v>61</v>
      </c>
      <c r="T58" s="34">
        <v>70</v>
      </c>
      <c r="U58" s="35"/>
      <c r="V58" s="33">
        <f t="shared" si="15"/>
        <v>7519.56</v>
      </c>
      <c r="W58" s="36"/>
    </row>
    <row r="59" spans="1:23" s="37" customFormat="1" ht="30" customHeight="1" x14ac:dyDescent="0.3">
      <c r="A59" s="28">
        <v>55</v>
      </c>
      <c r="B59" s="29">
        <v>80661</v>
      </c>
      <c r="C59" s="30" t="s">
        <v>123</v>
      </c>
      <c r="D59" s="30" t="s">
        <v>32</v>
      </c>
      <c r="E59" s="30">
        <v>378</v>
      </c>
      <c r="F59" s="30">
        <v>14.5</v>
      </c>
      <c r="G59" s="30">
        <v>0</v>
      </c>
      <c r="H59" s="31">
        <f t="shared" si="16"/>
        <v>14.5</v>
      </c>
      <c r="I59" s="32">
        <f t="shared" si="9"/>
        <v>5481</v>
      </c>
      <c r="J59" s="33">
        <f t="shared" si="10"/>
        <v>3837</v>
      </c>
      <c r="K59" s="32">
        <f t="shared" si="11"/>
        <v>1644</v>
      </c>
      <c r="L59" s="31">
        <v>60</v>
      </c>
      <c r="M59" s="32">
        <f t="shared" si="12"/>
        <v>2835</v>
      </c>
      <c r="N59" s="34">
        <v>300</v>
      </c>
      <c r="O59" s="34">
        <v>160</v>
      </c>
      <c r="P59" s="32">
        <v>0</v>
      </c>
      <c r="Q59" s="32">
        <f t="shared" si="17"/>
        <v>8776</v>
      </c>
      <c r="R59" s="33">
        <f t="shared" si="13"/>
        <v>460.44</v>
      </c>
      <c r="S59" s="35">
        <f t="shared" si="14"/>
        <v>66</v>
      </c>
      <c r="T59" s="34">
        <v>70</v>
      </c>
      <c r="U59" s="35"/>
      <c r="V59" s="33">
        <f t="shared" si="15"/>
        <v>8179.5599999999995</v>
      </c>
      <c r="W59" s="36"/>
    </row>
    <row r="60" spans="1:23" s="37" customFormat="1" ht="30" customHeight="1" x14ac:dyDescent="0.3">
      <c r="A60" s="28">
        <v>56</v>
      </c>
      <c r="B60" s="29">
        <v>80662</v>
      </c>
      <c r="C60" s="30" t="s">
        <v>124</v>
      </c>
      <c r="D60" s="30" t="s">
        <v>3</v>
      </c>
      <c r="E60" s="30">
        <v>324</v>
      </c>
      <c r="F60" s="30">
        <v>13.5</v>
      </c>
      <c r="G60" s="30">
        <v>0</v>
      </c>
      <c r="H60" s="31">
        <f t="shared" si="16"/>
        <v>13.5</v>
      </c>
      <c r="I60" s="32">
        <f t="shared" si="9"/>
        <v>4374</v>
      </c>
      <c r="J60" s="33">
        <f t="shared" si="10"/>
        <v>3062</v>
      </c>
      <c r="K60" s="32">
        <f t="shared" si="11"/>
        <v>1312</v>
      </c>
      <c r="L60" s="31">
        <v>56</v>
      </c>
      <c r="M60" s="32">
        <f t="shared" si="12"/>
        <v>2268</v>
      </c>
      <c r="N60" s="34">
        <v>280</v>
      </c>
      <c r="O60" s="34">
        <v>0</v>
      </c>
      <c r="P60" s="32">
        <v>0</v>
      </c>
      <c r="Q60" s="32">
        <f t="shared" si="17"/>
        <v>6922</v>
      </c>
      <c r="R60" s="33">
        <f t="shared" si="13"/>
        <v>367.44</v>
      </c>
      <c r="S60" s="35">
        <f t="shared" si="14"/>
        <v>52</v>
      </c>
      <c r="T60" s="34">
        <v>150</v>
      </c>
      <c r="U60" s="35"/>
      <c r="V60" s="33">
        <f t="shared" si="15"/>
        <v>6352.56</v>
      </c>
      <c r="W60" s="36"/>
    </row>
    <row r="61" spans="1:23" s="37" customFormat="1" ht="30" customHeight="1" x14ac:dyDescent="0.3">
      <c r="A61" s="28">
        <v>57</v>
      </c>
      <c r="B61" s="29">
        <v>80663</v>
      </c>
      <c r="C61" s="30" t="s">
        <v>125</v>
      </c>
      <c r="D61" s="30" t="s">
        <v>3</v>
      </c>
      <c r="E61" s="30">
        <v>324</v>
      </c>
      <c r="F61" s="30">
        <v>14.5</v>
      </c>
      <c r="G61" s="30">
        <v>0</v>
      </c>
      <c r="H61" s="31">
        <f t="shared" si="16"/>
        <v>14.5</v>
      </c>
      <c r="I61" s="32">
        <f t="shared" si="9"/>
        <v>4698</v>
      </c>
      <c r="J61" s="33">
        <f t="shared" si="10"/>
        <v>3289</v>
      </c>
      <c r="K61" s="32">
        <f t="shared" si="11"/>
        <v>1409</v>
      </c>
      <c r="L61" s="31">
        <v>60</v>
      </c>
      <c r="M61" s="32">
        <f t="shared" si="12"/>
        <v>2430</v>
      </c>
      <c r="N61" s="34">
        <v>300</v>
      </c>
      <c r="O61" s="34">
        <v>0</v>
      </c>
      <c r="P61" s="32">
        <v>0</v>
      </c>
      <c r="Q61" s="32">
        <f t="shared" si="17"/>
        <v>7428</v>
      </c>
      <c r="R61" s="33">
        <f t="shared" si="13"/>
        <v>394.68</v>
      </c>
      <c r="S61" s="35">
        <f t="shared" si="14"/>
        <v>56</v>
      </c>
      <c r="T61" s="34">
        <v>150</v>
      </c>
      <c r="U61" s="35"/>
      <c r="V61" s="33">
        <f t="shared" si="15"/>
        <v>6827.32</v>
      </c>
      <c r="W61" s="36"/>
    </row>
    <row r="62" spans="1:23" s="37" customFormat="1" ht="30" customHeight="1" x14ac:dyDescent="0.3">
      <c r="A62" s="28">
        <v>58</v>
      </c>
      <c r="B62" s="29">
        <v>80664</v>
      </c>
      <c r="C62" s="30" t="s">
        <v>126</v>
      </c>
      <c r="D62" s="30" t="s">
        <v>1</v>
      </c>
      <c r="E62" s="30">
        <v>346</v>
      </c>
      <c r="F62" s="30">
        <v>13.5</v>
      </c>
      <c r="G62" s="30">
        <v>0</v>
      </c>
      <c r="H62" s="31">
        <f t="shared" si="16"/>
        <v>13.5</v>
      </c>
      <c r="I62" s="32">
        <f t="shared" si="9"/>
        <v>4671</v>
      </c>
      <c r="J62" s="33">
        <f t="shared" si="10"/>
        <v>3270</v>
      </c>
      <c r="K62" s="32">
        <f t="shared" si="11"/>
        <v>1401</v>
      </c>
      <c r="L62" s="31">
        <v>56</v>
      </c>
      <c r="M62" s="32">
        <f t="shared" si="12"/>
        <v>2422</v>
      </c>
      <c r="N62" s="34">
        <v>280</v>
      </c>
      <c r="O62" s="34">
        <v>160</v>
      </c>
      <c r="P62" s="32">
        <v>0</v>
      </c>
      <c r="Q62" s="32">
        <f t="shared" si="17"/>
        <v>7533</v>
      </c>
      <c r="R62" s="33">
        <f t="shared" si="13"/>
        <v>392.4</v>
      </c>
      <c r="S62" s="35">
        <f t="shared" si="14"/>
        <v>57</v>
      </c>
      <c r="T62" s="34">
        <v>60</v>
      </c>
      <c r="U62" s="35"/>
      <c r="V62" s="33">
        <f t="shared" si="15"/>
        <v>7023.6</v>
      </c>
      <c r="W62" s="36"/>
    </row>
    <row r="63" spans="1:23" s="37" customFormat="1" ht="30" customHeight="1" x14ac:dyDescent="0.3">
      <c r="A63" s="28">
        <v>59</v>
      </c>
      <c r="B63" s="29">
        <v>80665</v>
      </c>
      <c r="C63" s="30" t="s">
        <v>127</v>
      </c>
      <c r="D63" s="30" t="s">
        <v>1</v>
      </c>
      <c r="E63" s="30">
        <v>346</v>
      </c>
      <c r="F63" s="30">
        <v>13.5</v>
      </c>
      <c r="G63" s="30">
        <v>0</v>
      </c>
      <c r="H63" s="31">
        <f t="shared" si="16"/>
        <v>13.5</v>
      </c>
      <c r="I63" s="32">
        <f t="shared" si="9"/>
        <v>4671</v>
      </c>
      <c r="J63" s="33">
        <f t="shared" si="10"/>
        <v>3270</v>
      </c>
      <c r="K63" s="32">
        <f t="shared" si="11"/>
        <v>1401</v>
      </c>
      <c r="L63" s="31">
        <v>56</v>
      </c>
      <c r="M63" s="32">
        <f t="shared" si="12"/>
        <v>2422</v>
      </c>
      <c r="N63" s="34">
        <v>280</v>
      </c>
      <c r="O63" s="34">
        <v>100</v>
      </c>
      <c r="P63" s="32">
        <v>0</v>
      </c>
      <c r="Q63" s="32">
        <f t="shared" si="17"/>
        <v>7473</v>
      </c>
      <c r="R63" s="33">
        <f t="shared" si="13"/>
        <v>392.4</v>
      </c>
      <c r="S63" s="35">
        <f t="shared" si="14"/>
        <v>57</v>
      </c>
      <c r="T63" s="34">
        <v>90</v>
      </c>
      <c r="U63" s="35"/>
      <c r="V63" s="33">
        <f t="shared" si="15"/>
        <v>6933.6</v>
      </c>
      <c r="W63" s="36"/>
    </row>
    <row r="64" spans="1:23" s="37" customFormat="1" ht="30" customHeight="1" x14ac:dyDescent="0.3">
      <c r="A64" s="28">
        <v>60</v>
      </c>
      <c r="B64" s="29">
        <v>80666</v>
      </c>
      <c r="C64" s="30" t="s">
        <v>64</v>
      </c>
      <c r="D64" s="30" t="s">
        <v>12</v>
      </c>
      <c r="E64" s="30">
        <v>378</v>
      </c>
      <c r="F64" s="30">
        <v>12.5</v>
      </c>
      <c r="G64" s="30">
        <v>0</v>
      </c>
      <c r="H64" s="31">
        <f t="shared" si="16"/>
        <v>12.5</v>
      </c>
      <c r="I64" s="32">
        <f t="shared" si="9"/>
        <v>4725</v>
      </c>
      <c r="J64" s="33">
        <f t="shared" si="10"/>
        <v>3308</v>
      </c>
      <c r="K64" s="32">
        <f t="shared" si="11"/>
        <v>1418</v>
      </c>
      <c r="L64" s="31">
        <v>52</v>
      </c>
      <c r="M64" s="32">
        <f t="shared" si="12"/>
        <v>2457</v>
      </c>
      <c r="N64" s="34">
        <v>260</v>
      </c>
      <c r="O64" s="34">
        <v>0</v>
      </c>
      <c r="P64" s="32">
        <v>0</v>
      </c>
      <c r="Q64" s="32">
        <f t="shared" si="17"/>
        <v>7442</v>
      </c>
      <c r="R64" s="33">
        <f t="shared" si="13"/>
        <v>396.96</v>
      </c>
      <c r="S64" s="35">
        <f t="shared" si="14"/>
        <v>56</v>
      </c>
      <c r="T64" s="34">
        <v>130</v>
      </c>
      <c r="U64" s="35"/>
      <c r="V64" s="33">
        <f t="shared" si="15"/>
        <v>6859.04</v>
      </c>
      <c r="W64" s="36"/>
    </row>
    <row r="65" spans="1:23" s="37" customFormat="1" ht="30" customHeight="1" x14ac:dyDescent="0.3">
      <c r="A65" s="28">
        <v>61</v>
      </c>
      <c r="B65" s="29">
        <v>80667</v>
      </c>
      <c r="C65" s="30" t="s">
        <v>128</v>
      </c>
      <c r="D65" s="30" t="s">
        <v>1</v>
      </c>
      <c r="E65" s="30">
        <v>346</v>
      </c>
      <c r="F65" s="30">
        <v>13.5</v>
      </c>
      <c r="G65" s="30">
        <v>0</v>
      </c>
      <c r="H65" s="31">
        <f t="shared" si="16"/>
        <v>13.5</v>
      </c>
      <c r="I65" s="32">
        <f t="shared" si="9"/>
        <v>4671</v>
      </c>
      <c r="J65" s="33">
        <f t="shared" si="10"/>
        <v>3270</v>
      </c>
      <c r="K65" s="32">
        <f t="shared" si="11"/>
        <v>1401</v>
      </c>
      <c r="L65" s="31">
        <v>56</v>
      </c>
      <c r="M65" s="32">
        <f t="shared" si="12"/>
        <v>2422</v>
      </c>
      <c r="N65" s="34">
        <v>280</v>
      </c>
      <c r="O65" s="34">
        <v>120</v>
      </c>
      <c r="P65" s="32">
        <v>0</v>
      </c>
      <c r="Q65" s="32">
        <f t="shared" si="17"/>
        <v>7493</v>
      </c>
      <c r="R65" s="33">
        <f t="shared" si="13"/>
        <v>392.4</v>
      </c>
      <c r="S65" s="35">
        <f t="shared" si="14"/>
        <v>57</v>
      </c>
      <c r="T65" s="34">
        <v>80</v>
      </c>
      <c r="U65" s="35"/>
      <c r="V65" s="33">
        <f t="shared" si="15"/>
        <v>6963.6</v>
      </c>
      <c r="W65" s="36"/>
    </row>
    <row r="66" spans="1:23" s="37" customFormat="1" ht="30" customHeight="1" x14ac:dyDescent="0.3">
      <c r="A66" s="28">
        <v>62</v>
      </c>
      <c r="B66" s="29">
        <v>80668</v>
      </c>
      <c r="C66" s="30" t="s">
        <v>129</v>
      </c>
      <c r="D66" s="30" t="s">
        <v>1</v>
      </c>
      <c r="E66" s="30">
        <v>346</v>
      </c>
      <c r="F66" s="30">
        <v>13.5</v>
      </c>
      <c r="G66" s="30">
        <v>0</v>
      </c>
      <c r="H66" s="31">
        <f t="shared" si="16"/>
        <v>13.5</v>
      </c>
      <c r="I66" s="32">
        <f t="shared" si="9"/>
        <v>4671</v>
      </c>
      <c r="J66" s="33">
        <f t="shared" si="10"/>
        <v>3270</v>
      </c>
      <c r="K66" s="32">
        <f t="shared" si="11"/>
        <v>1401</v>
      </c>
      <c r="L66" s="31">
        <v>56</v>
      </c>
      <c r="M66" s="32">
        <f t="shared" si="12"/>
        <v>2422</v>
      </c>
      <c r="N66" s="34">
        <v>280</v>
      </c>
      <c r="O66" s="34">
        <v>120</v>
      </c>
      <c r="P66" s="32">
        <v>0</v>
      </c>
      <c r="Q66" s="32">
        <f t="shared" si="17"/>
        <v>7493</v>
      </c>
      <c r="R66" s="33">
        <f t="shared" si="13"/>
        <v>392.4</v>
      </c>
      <c r="S66" s="35">
        <f t="shared" si="14"/>
        <v>57</v>
      </c>
      <c r="T66" s="34">
        <v>80</v>
      </c>
      <c r="U66" s="35"/>
      <c r="V66" s="33">
        <f t="shared" si="15"/>
        <v>6963.6</v>
      </c>
      <c r="W66" s="36"/>
    </row>
    <row r="67" spans="1:23" s="37" customFormat="1" ht="30" customHeight="1" x14ac:dyDescent="0.3">
      <c r="A67" s="28">
        <v>63</v>
      </c>
      <c r="B67" s="29">
        <v>80669</v>
      </c>
      <c r="C67" s="30" t="s">
        <v>130</v>
      </c>
      <c r="D67" s="30" t="s">
        <v>1</v>
      </c>
      <c r="E67" s="30">
        <v>346</v>
      </c>
      <c r="F67" s="30">
        <v>13.5</v>
      </c>
      <c r="G67" s="30">
        <v>0</v>
      </c>
      <c r="H67" s="31">
        <f t="shared" si="16"/>
        <v>13.5</v>
      </c>
      <c r="I67" s="32">
        <f t="shared" si="9"/>
        <v>4671</v>
      </c>
      <c r="J67" s="33">
        <f t="shared" si="10"/>
        <v>3270</v>
      </c>
      <c r="K67" s="32">
        <f t="shared" si="11"/>
        <v>1401</v>
      </c>
      <c r="L67" s="31">
        <v>56</v>
      </c>
      <c r="M67" s="32">
        <f t="shared" si="12"/>
        <v>2422</v>
      </c>
      <c r="N67" s="34">
        <v>280</v>
      </c>
      <c r="O67" s="34">
        <v>120</v>
      </c>
      <c r="P67" s="32">
        <v>0</v>
      </c>
      <c r="Q67" s="32">
        <f t="shared" si="17"/>
        <v>7493</v>
      </c>
      <c r="R67" s="33">
        <f t="shared" si="13"/>
        <v>392.4</v>
      </c>
      <c r="S67" s="35">
        <f t="shared" si="14"/>
        <v>57</v>
      </c>
      <c r="T67" s="34">
        <v>80</v>
      </c>
      <c r="U67" s="35"/>
      <c r="V67" s="33">
        <f t="shared" si="15"/>
        <v>6963.6</v>
      </c>
      <c r="W67" s="36"/>
    </row>
    <row r="68" spans="1:23" s="37" customFormat="1" ht="30" customHeight="1" x14ac:dyDescent="0.3">
      <c r="A68" s="28">
        <v>64</v>
      </c>
      <c r="B68" s="29">
        <v>80676</v>
      </c>
      <c r="C68" s="30" t="s">
        <v>131</v>
      </c>
      <c r="D68" s="30" t="s">
        <v>2</v>
      </c>
      <c r="E68" s="30">
        <v>324</v>
      </c>
      <c r="F68" s="30">
        <v>6.5</v>
      </c>
      <c r="G68" s="30">
        <v>0</v>
      </c>
      <c r="H68" s="31">
        <f t="shared" si="16"/>
        <v>6.5</v>
      </c>
      <c r="I68" s="32">
        <f t="shared" si="9"/>
        <v>2106</v>
      </c>
      <c r="J68" s="33">
        <f t="shared" si="10"/>
        <v>1474</v>
      </c>
      <c r="K68" s="32">
        <f t="shared" si="11"/>
        <v>632</v>
      </c>
      <c r="L68" s="31">
        <v>28</v>
      </c>
      <c r="M68" s="32">
        <f t="shared" si="12"/>
        <v>1134</v>
      </c>
      <c r="N68" s="34">
        <v>140</v>
      </c>
      <c r="O68" s="34">
        <v>40</v>
      </c>
      <c r="P68" s="32">
        <v>0</v>
      </c>
      <c r="Q68" s="32">
        <f t="shared" si="17"/>
        <v>3420</v>
      </c>
      <c r="R68" s="33">
        <f t="shared" si="13"/>
        <v>176.88</v>
      </c>
      <c r="S68" s="35">
        <f t="shared" si="14"/>
        <v>26</v>
      </c>
      <c r="T68" s="34">
        <v>50</v>
      </c>
      <c r="U68" s="35"/>
      <c r="V68" s="33">
        <f t="shared" si="15"/>
        <v>3167.12</v>
      </c>
      <c r="W68" s="36"/>
    </row>
    <row r="69" spans="1:23" s="37" customFormat="1" ht="30" customHeight="1" x14ac:dyDescent="0.3">
      <c r="A69" s="28">
        <v>65</v>
      </c>
      <c r="B69" s="29">
        <v>80677</v>
      </c>
      <c r="C69" s="30" t="s">
        <v>132</v>
      </c>
      <c r="D69" s="30" t="s">
        <v>2</v>
      </c>
      <c r="E69" s="30">
        <v>324</v>
      </c>
      <c r="F69" s="30">
        <v>6.5</v>
      </c>
      <c r="G69" s="30">
        <v>0</v>
      </c>
      <c r="H69" s="31">
        <f t="shared" si="16"/>
        <v>6.5</v>
      </c>
      <c r="I69" s="32">
        <f t="shared" si="9"/>
        <v>2106</v>
      </c>
      <c r="J69" s="33">
        <f t="shared" si="10"/>
        <v>1474</v>
      </c>
      <c r="K69" s="32">
        <f t="shared" si="11"/>
        <v>632</v>
      </c>
      <c r="L69" s="31">
        <v>28</v>
      </c>
      <c r="M69" s="32">
        <f t="shared" si="12"/>
        <v>1134</v>
      </c>
      <c r="N69" s="34">
        <v>140</v>
      </c>
      <c r="O69" s="34">
        <v>40</v>
      </c>
      <c r="P69" s="32">
        <v>0</v>
      </c>
      <c r="Q69" s="32">
        <f t="shared" si="17"/>
        <v>3420</v>
      </c>
      <c r="R69" s="33">
        <f t="shared" si="13"/>
        <v>176.88</v>
      </c>
      <c r="S69" s="35">
        <f t="shared" si="14"/>
        <v>26</v>
      </c>
      <c r="T69" s="34">
        <v>50</v>
      </c>
      <c r="U69" s="35"/>
      <c r="V69" s="33">
        <f t="shared" si="15"/>
        <v>3167.12</v>
      </c>
      <c r="W69" s="36"/>
    </row>
    <row r="70" spans="1:23" s="37" customFormat="1" ht="30" customHeight="1" x14ac:dyDescent="0.3">
      <c r="A70" s="28">
        <v>66</v>
      </c>
      <c r="B70" s="29">
        <v>80678</v>
      </c>
      <c r="C70" s="30" t="s">
        <v>133</v>
      </c>
      <c r="D70" s="30" t="s">
        <v>2</v>
      </c>
      <c r="E70" s="30">
        <v>324</v>
      </c>
      <c r="F70" s="30">
        <v>6.5</v>
      </c>
      <c r="G70" s="30">
        <v>0</v>
      </c>
      <c r="H70" s="31">
        <f t="shared" si="16"/>
        <v>6.5</v>
      </c>
      <c r="I70" s="32">
        <f t="shared" si="9"/>
        <v>2106</v>
      </c>
      <c r="J70" s="33">
        <f t="shared" si="10"/>
        <v>1474</v>
      </c>
      <c r="K70" s="32">
        <f t="shared" si="11"/>
        <v>632</v>
      </c>
      <c r="L70" s="31">
        <v>28</v>
      </c>
      <c r="M70" s="32">
        <f t="shared" si="12"/>
        <v>1134</v>
      </c>
      <c r="N70" s="34">
        <v>140</v>
      </c>
      <c r="O70" s="34">
        <v>40</v>
      </c>
      <c r="P70" s="32">
        <v>0</v>
      </c>
      <c r="Q70" s="32">
        <f t="shared" si="17"/>
        <v>3420</v>
      </c>
      <c r="R70" s="33">
        <f t="shared" si="13"/>
        <v>176.88</v>
      </c>
      <c r="S70" s="35">
        <f t="shared" si="14"/>
        <v>26</v>
      </c>
      <c r="T70" s="34">
        <v>50</v>
      </c>
      <c r="U70" s="35"/>
      <c r="V70" s="33">
        <f t="shared" si="15"/>
        <v>3167.12</v>
      </c>
      <c r="W70" s="36"/>
    </row>
    <row r="71" spans="1:23" s="37" customFormat="1" ht="30" customHeight="1" x14ac:dyDescent="0.3">
      <c r="A71" s="28">
        <v>67</v>
      </c>
      <c r="B71" s="29">
        <v>80679</v>
      </c>
      <c r="C71" s="30" t="s">
        <v>134</v>
      </c>
      <c r="D71" s="30" t="s">
        <v>2</v>
      </c>
      <c r="E71" s="30">
        <v>324</v>
      </c>
      <c r="F71" s="30">
        <v>6.5</v>
      </c>
      <c r="G71" s="30">
        <v>0</v>
      </c>
      <c r="H71" s="31">
        <f t="shared" si="16"/>
        <v>6.5</v>
      </c>
      <c r="I71" s="32">
        <f t="shared" si="9"/>
        <v>2106</v>
      </c>
      <c r="J71" s="33">
        <f t="shared" si="10"/>
        <v>1474</v>
      </c>
      <c r="K71" s="32">
        <f t="shared" si="11"/>
        <v>632</v>
      </c>
      <c r="L71" s="31">
        <v>28</v>
      </c>
      <c r="M71" s="32">
        <f t="shared" si="12"/>
        <v>1134</v>
      </c>
      <c r="N71" s="34">
        <v>140</v>
      </c>
      <c r="O71" s="34">
        <v>40</v>
      </c>
      <c r="P71" s="32">
        <v>0</v>
      </c>
      <c r="Q71" s="32">
        <f t="shared" si="17"/>
        <v>3420</v>
      </c>
      <c r="R71" s="33">
        <f t="shared" si="13"/>
        <v>176.88</v>
      </c>
      <c r="S71" s="35">
        <f t="shared" si="14"/>
        <v>26</v>
      </c>
      <c r="T71" s="34">
        <v>50</v>
      </c>
      <c r="U71" s="35"/>
      <c r="V71" s="33">
        <f t="shared" si="15"/>
        <v>3167.12</v>
      </c>
      <c r="W71" s="36"/>
    </row>
    <row r="72" spans="1:23" s="37" customFormat="1" ht="30" customHeight="1" x14ac:dyDescent="0.3">
      <c r="A72" s="28">
        <v>68</v>
      </c>
      <c r="B72" s="29">
        <v>80680</v>
      </c>
      <c r="C72" s="30" t="s">
        <v>135</v>
      </c>
      <c r="D72" s="30" t="s">
        <v>2</v>
      </c>
      <c r="E72" s="30">
        <v>324</v>
      </c>
      <c r="F72" s="30">
        <v>6.5</v>
      </c>
      <c r="G72" s="30">
        <v>0</v>
      </c>
      <c r="H72" s="31">
        <f t="shared" si="16"/>
        <v>6.5</v>
      </c>
      <c r="I72" s="32">
        <f t="shared" si="9"/>
        <v>2106</v>
      </c>
      <c r="J72" s="33">
        <f t="shared" si="10"/>
        <v>1474</v>
      </c>
      <c r="K72" s="32">
        <f t="shared" si="11"/>
        <v>632</v>
      </c>
      <c r="L72" s="31">
        <v>28</v>
      </c>
      <c r="M72" s="32">
        <f t="shared" si="12"/>
        <v>1134</v>
      </c>
      <c r="N72" s="34">
        <v>140</v>
      </c>
      <c r="O72" s="34">
        <v>40</v>
      </c>
      <c r="P72" s="32">
        <v>0</v>
      </c>
      <c r="Q72" s="32">
        <f t="shared" si="17"/>
        <v>3420</v>
      </c>
      <c r="R72" s="33">
        <f t="shared" si="13"/>
        <v>176.88</v>
      </c>
      <c r="S72" s="35">
        <f t="shared" si="14"/>
        <v>26</v>
      </c>
      <c r="T72" s="34">
        <v>50</v>
      </c>
      <c r="U72" s="35"/>
      <c r="V72" s="33">
        <f t="shared" si="15"/>
        <v>3167.12</v>
      </c>
      <c r="W72" s="36"/>
    </row>
    <row r="73" spans="1:23" s="37" customFormat="1" ht="30" customHeight="1" x14ac:dyDescent="0.3">
      <c r="A73" s="28">
        <v>69</v>
      </c>
      <c r="B73" s="29">
        <v>80681</v>
      </c>
      <c r="C73" s="30" t="s">
        <v>136</v>
      </c>
      <c r="D73" s="30" t="s">
        <v>1</v>
      </c>
      <c r="E73" s="30">
        <v>346</v>
      </c>
      <c r="F73" s="30">
        <v>5.5</v>
      </c>
      <c r="G73" s="30">
        <v>0</v>
      </c>
      <c r="H73" s="31">
        <f t="shared" si="16"/>
        <v>5.5</v>
      </c>
      <c r="I73" s="32">
        <f t="shared" si="9"/>
        <v>1903</v>
      </c>
      <c r="J73" s="33">
        <f t="shared" si="10"/>
        <v>1332</v>
      </c>
      <c r="K73" s="32">
        <f t="shared" si="11"/>
        <v>571</v>
      </c>
      <c r="L73" s="31">
        <v>24</v>
      </c>
      <c r="M73" s="32">
        <f t="shared" si="12"/>
        <v>1038</v>
      </c>
      <c r="N73" s="34">
        <v>120</v>
      </c>
      <c r="O73" s="34">
        <v>20</v>
      </c>
      <c r="P73" s="32">
        <v>0</v>
      </c>
      <c r="Q73" s="32">
        <f t="shared" si="17"/>
        <v>3081</v>
      </c>
      <c r="R73" s="33">
        <f t="shared" si="13"/>
        <v>159.84</v>
      </c>
      <c r="S73" s="35">
        <f t="shared" si="14"/>
        <v>24</v>
      </c>
      <c r="T73" s="34">
        <v>50</v>
      </c>
      <c r="U73" s="35"/>
      <c r="V73" s="33">
        <f t="shared" si="15"/>
        <v>2847.16</v>
      </c>
      <c r="W73" s="36"/>
    </row>
    <row r="74" spans="1:23" s="37" customFormat="1" ht="30" customHeight="1" x14ac:dyDescent="0.3">
      <c r="A74" s="28">
        <v>70</v>
      </c>
      <c r="B74" s="29">
        <v>80682</v>
      </c>
      <c r="C74" s="30" t="s">
        <v>137</v>
      </c>
      <c r="D74" s="30" t="s">
        <v>1</v>
      </c>
      <c r="E74" s="30">
        <v>346</v>
      </c>
      <c r="F74" s="30">
        <v>5.5</v>
      </c>
      <c r="G74" s="30">
        <v>0</v>
      </c>
      <c r="H74" s="31">
        <f t="shared" si="16"/>
        <v>5.5</v>
      </c>
      <c r="I74" s="32">
        <f t="shared" si="9"/>
        <v>1903</v>
      </c>
      <c r="J74" s="33">
        <f t="shared" si="10"/>
        <v>1332</v>
      </c>
      <c r="K74" s="32">
        <f t="shared" si="11"/>
        <v>571</v>
      </c>
      <c r="L74" s="31">
        <v>24</v>
      </c>
      <c r="M74" s="32">
        <f t="shared" si="12"/>
        <v>1038</v>
      </c>
      <c r="N74" s="34">
        <v>120</v>
      </c>
      <c r="O74" s="34">
        <v>20</v>
      </c>
      <c r="P74" s="32">
        <v>0</v>
      </c>
      <c r="Q74" s="32">
        <f t="shared" si="17"/>
        <v>3081</v>
      </c>
      <c r="R74" s="33">
        <f t="shared" si="13"/>
        <v>159.84</v>
      </c>
      <c r="S74" s="35">
        <f t="shared" si="14"/>
        <v>24</v>
      </c>
      <c r="T74" s="34">
        <v>50</v>
      </c>
      <c r="U74" s="35"/>
      <c r="V74" s="33">
        <f t="shared" si="15"/>
        <v>2847.16</v>
      </c>
      <c r="W74" s="36"/>
    </row>
    <row r="75" spans="1:23" s="37" customFormat="1" ht="30" customHeight="1" x14ac:dyDescent="0.3">
      <c r="A75" s="28">
        <v>71</v>
      </c>
      <c r="B75" s="29">
        <v>80683</v>
      </c>
      <c r="C75" s="30" t="s">
        <v>138</v>
      </c>
      <c r="D75" s="30" t="s">
        <v>1</v>
      </c>
      <c r="E75" s="30">
        <v>346</v>
      </c>
      <c r="F75" s="30">
        <v>6.5</v>
      </c>
      <c r="G75" s="30">
        <v>0</v>
      </c>
      <c r="H75" s="31">
        <f t="shared" si="16"/>
        <v>6.5</v>
      </c>
      <c r="I75" s="32">
        <f t="shared" si="9"/>
        <v>2249</v>
      </c>
      <c r="J75" s="33">
        <f t="shared" si="10"/>
        <v>1574</v>
      </c>
      <c r="K75" s="32">
        <f t="shared" si="11"/>
        <v>675</v>
      </c>
      <c r="L75" s="31">
        <v>28</v>
      </c>
      <c r="M75" s="32">
        <f t="shared" si="12"/>
        <v>1211</v>
      </c>
      <c r="N75" s="34">
        <v>140</v>
      </c>
      <c r="O75" s="34">
        <v>40</v>
      </c>
      <c r="P75" s="32">
        <v>0</v>
      </c>
      <c r="Q75" s="32">
        <f t="shared" si="17"/>
        <v>3640</v>
      </c>
      <c r="R75" s="33">
        <f t="shared" si="13"/>
        <v>188.88</v>
      </c>
      <c r="S75" s="35">
        <f t="shared" si="14"/>
        <v>28</v>
      </c>
      <c r="T75" s="34">
        <v>50</v>
      </c>
      <c r="U75" s="35"/>
      <c r="V75" s="33">
        <f t="shared" si="15"/>
        <v>3373.12</v>
      </c>
      <c r="W75" s="36"/>
    </row>
    <row r="76" spans="1:23" s="37" customFormat="1" ht="30" customHeight="1" x14ac:dyDescent="0.3">
      <c r="A76" s="28">
        <v>72</v>
      </c>
      <c r="B76" s="29">
        <v>80684</v>
      </c>
      <c r="C76" s="30" t="s">
        <v>139</v>
      </c>
      <c r="D76" s="30" t="s">
        <v>1</v>
      </c>
      <c r="E76" s="30">
        <v>346</v>
      </c>
      <c r="F76" s="30">
        <v>6.5</v>
      </c>
      <c r="G76" s="30">
        <v>0</v>
      </c>
      <c r="H76" s="31">
        <f t="shared" si="16"/>
        <v>6.5</v>
      </c>
      <c r="I76" s="32">
        <f t="shared" si="9"/>
        <v>2249</v>
      </c>
      <c r="J76" s="33">
        <f t="shared" si="10"/>
        <v>1574</v>
      </c>
      <c r="K76" s="32">
        <f t="shared" si="11"/>
        <v>675</v>
      </c>
      <c r="L76" s="31">
        <v>28</v>
      </c>
      <c r="M76" s="32">
        <f t="shared" si="12"/>
        <v>1211</v>
      </c>
      <c r="N76" s="34">
        <v>140</v>
      </c>
      <c r="O76" s="34">
        <v>40</v>
      </c>
      <c r="P76" s="32">
        <v>0</v>
      </c>
      <c r="Q76" s="32">
        <f t="shared" si="17"/>
        <v>3640</v>
      </c>
      <c r="R76" s="33">
        <f t="shared" si="13"/>
        <v>188.88</v>
      </c>
      <c r="S76" s="35">
        <f t="shared" si="14"/>
        <v>28</v>
      </c>
      <c r="T76" s="34">
        <v>50</v>
      </c>
      <c r="U76" s="35"/>
      <c r="V76" s="33">
        <f t="shared" si="15"/>
        <v>3373.12</v>
      </c>
      <c r="W76" s="36"/>
    </row>
    <row r="77" spans="1:23" s="37" customFormat="1" ht="30" customHeight="1" x14ac:dyDescent="0.3">
      <c r="A77" s="28">
        <v>73</v>
      </c>
      <c r="B77" s="29">
        <v>80685</v>
      </c>
      <c r="C77" s="30" t="s">
        <v>140</v>
      </c>
      <c r="D77" s="30" t="s">
        <v>1</v>
      </c>
      <c r="E77" s="30">
        <v>346</v>
      </c>
      <c r="F77" s="30">
        <v>6.5</v>
      </c>
      <c r="G77" s="30">
        <v>0</v>
      </c>
      <c r="H77" s="31">
        <f t="shared" si="16"/>
        <v>6.5</v>
      </c>
      <c r="I77" s="32">
        <f t="shared" si="9"/>
        <v>2249</v>
      </c>
      <c r="J77" s="33">
        <f t="shared" si="10"/>
        <v>1574</v>
      </c>
      <c r="K77" s="32">
        <f t="shared" si="11"/>
        <v>675</v>
      </c>
      <c r="L77" s="31">
        <v>28</v>
      </c>
      <c r="M77" s="32">
        <f t="shared" si="12"/>
        <v>1211</v>
      </c>
      <c r="N77" s="34">
        <v>140</v>
      </c>
      <c r="O77" s="34">
        <v>40</v>
      </c>
      <c r="P77" s="32">
        <v>0</v>
      </c>
      <c r="Q77" s="32">
        <f t="shared" si="17"/>
        <v>3640</v>
      </c>
      <c r="R77" s="33">
        <f t="shared" si="13"/>
        <v>188.88</v>
      </c>
      <c r="S77" s="35">
        <f t="shared" si="14"/>
        <v>28</v>
      </c>
      <c r="T77" s="34">
        <v>50</v>
      </c>
      <c r="U77" s="35"/>
      <c r="V77" s="33">
        <f t="shared" si="15"/>
        <v>3373.12</v>
      </c>
      <c r="W77" s="36"/>
    </row>
    <row r="78" spans="1:23" s="37" customFormat="1" ht="30" customHeight="1" x14ac:dyDescent="0.3">
      <c r="A78" s="28">
        <v>74</v>
      </c>
      <c r="B78" s="29">
        <v>80686</v>
      </c>
      <c r="C78" s="30" t="s">
        <v>141</v>
      </c>
      <c r="D78" s="30" t="s">
        <v>1</v>
      </c>
      <c r="E78" s="30">
        <v>346</v>
      </c>
      <c r="F78" s="30">
        <v>6.5</v>
      </c>
      <c r="G78" s="30">
        <v>0</v>
      </c>
      <c r="H78" s="31">
        <f t="shared" si="16"/>
        <v>6.5</v>
      </c>
      <c r="I78" s="32">
        <f t="shared" si="9"/>
        <v>2249</v>
      </c>
      <c r="J78" s="33">
        <f t="shared" si="10"/>
        <v>1574</v>
      </c>
      <c r="K78" s="32">
        <f t="shared" si="11"/>
        <v>675</v>
      </c>
      <c r="L78" s="31">
        <v>28</v>
      </c>
      <c r="M78" s="32">
        <f t="shared" si="12"/>
        <v>1211</v>
      </c>
      <c r="N78" s="34">
        <v>140</v>
      </c>
      <c r="O78" s="34">
        <v>40</v>
      </c>
      <c r="P78" s="32">
        <v>0</v>
      </c>
      <c r="Q78" s="32">
        <f t="shared" si="17"/>
        <v>3640</v>
      </c>
      <c r="R78" s="33">
        <f t="shared" si="13"/>
        <v>188.88</v>
      </c>
      <c r="S78" s="35">
        <f t="shared" si="14"/>
        <v>28</v>
      </c>
      <c r="T78" s="34">
        <v>50</v>
      </c>
      <c r="U78" s="35"/>
      <c r="V78" s="33">
        <f t="shared" si="15"/>
        <v>3373.12</v>
      </c>
      <c r="W78" s="36"/>
    </row>
    <row r="79" spans="1:23" s="37" customFormat="1" ht="30" customHeight="1" x14ac:dyDescent="0.3">
      <c r="A79" s="28">
        <v>75</v>
      </c>
      <c r="B79" s="29">
        <v>80687</v>
      </c>
      <c r="C79" s="30" t="s">
        <v>142</v>
      </c>
      <c r="D79" s="30" t="s">
        <v>32</v>
      </c>
      <c r="E79" s="30">
        <v>378</v>
      </c>
      <c r="F79" s="30">
        <v>6.5</v>
      </c>
      <c r="G79" s="30">
        <v>0</v>
      </c>
      <c r="H79" s="31">
        <f t="shared" si="16"/>
        <v>6.5</v>
      </c>
      <c r="I79" s="32">
        <f t="shared" si="9"/>
        <v>2457</v>
      </c>
      <c r="J79" s="33">
        <f t="shared" si="10"/>
        <v>1720</v>
      </c>
      <c r="K79" s="32">
        <f t="shared" si="11"/>
        <v>737</v>
      </c>
      <c r="L79" s="31">
        <v>28</v>
      </c>
      <c r="M79" s="32">
        <f t="shared" si="12"/>
        <v>1323</v>
      </c>
      <c r="N79" s="34">
        <v>140</v>
      </c>
      <c r="O79" s="34">
        <v>0</v>
      </c>
      <c r="P79" s="32">
        <v>0</v>
      </c>
      <c r="Q79" s="32">
        <f t="shared" si="17"/>
        <v>3920</v>
      </c>
      <c r="R79" s="33">
        <f t="shared" si="13"/>
        <v>206.4</v>
      </c>
      <c r="S79" s="35">
        <f t="shared" si="14"/>
        <v>30</v>
      </c>
      <c r="T79" s="34">
        <v>70</v>
      </c>
      <c r="U79" s="35"/>
      <c r="V79" s="33">
        <f t="shared" si="15"/>
        <v>3613.6</v>
      </c>
      <c r="W79" s="36"/>
    </row>
    <row r="80" spans="1:23" s="37" customFormat="1" ht="30" customHeight="1" x14ac:dyDescent="0.3">
      <c r="A80" s="38"/>
      <c r="B80" s="39"/>
      <c r="C80" s="40"/>
      <c r="D80" s="41"/>
      <c r="E80" s="42"/>
      <c r="F80" s="42"/>
      <c r="G80" s="42"/>
      <c r="H80" s="43"/>
      <c r="I80" s="44"/>
      <c r="J80" s="45"/>
      <c r="K80" s="45"/>
      <c r="L80" s="46"/>
      <c r="M80" s="47"/>
      <c r="N80" s="44"/>
      <c r="O80" s="44"/>
      <c r="P80" s="45"/>
      <c r="Q80" s="47"/>
      <c r="R80" s="47"/>
      <c r="S80" s="48"/>
      <c r="T80" s="45"/>
      <c r="U80" s="44"/>
      <c r="V80" s="49"/>
      <c r="W80" s="50"/>
    </row>
    <row r="81" spans="1:23" s="37" customFormat="1" ht="30" customHeight="1" x14ac:dyDescent="0.3">
      <c r="A81" s="38"/>
      <c r="B81" s="39"/>
      <c r="C81" s="40"/>
      <c r="D81" s="386" t="s">
        <v>24</v>
      </c>
      <c r="E81" s="387"/>
      <c r="F81" s="51"/>
      <c r="G81" s="51"/>
      <c r="H81" s="52"/>
      <c r="I81" s="53" t="e">
        <f>+#REF!</f>
        <v>#REF!</v>
      </c>
      <c r="J81" s="45"/>
      <c r="K81" s="45"/>
      <c r="L81" s="46"/>
      <c r="M81" s="47"/>
      <c r="N81" s="44"/>
      <c r="O81" s="44"/>
      <c r="P81" s="44"/>
      <c r="Q81" s="47"/>
      <c r="R81" s="47"/>
      <c r="S81" s="48"/>
      <c r="T81" s="44"/>
      <c r="U81" s="44"/>
      <c r="V81" s="49"/>
      <c r="W81" s="50"/>
    </row>
    <row r="82" spans="1:23" s="37" customFormat="1" ht="30" customHeight="1" x14ac:dyDescent="0.3">
      <c r="A82" s="38"/>
      <c r="B82" s="39"/>
      <c r="C82" s="40"/>
      <c r="D82" s="386" t="s">
        <v>25</v>
      </c>
      <c r="E82" s="387"/>
      <c r="F82" s="51"/>
      <c r="G82" s="51"/>
      <c r="H82" s="52"/>
      <c r="I82" s="53" t="e">
        <f>+#REF!*13%</f>
        <v>#REF!</v>
      </c>
      <c r="J82" s="45"/>
      <c r="K82" s="44"/>
      <c r="L82" s="43"/>
      <c r="M82" s="47"/>
      <c r="N82" s="44"/>
      <c r="O82" s="44"/>
      <c r="P82" s="44"/>
      <c r="Q82" s="47"/>
      <c r="R82" s="47"/>
      <c r="S82" s="48"/>
      <c r="T82" s="44"/>
      <c r="U82" s="44"/>
      <c r="V82" s="49"/>
      <c r="W82" s="50"/>
    </row>
    <row r="83" spans="1:23" ht="30" customHeight="1" x14ac:dyDescent="0.25">
      <c r="D83" s="386" t="s">
        <v>26</v>
      </c>
      <c r="E83" s="387"/>
      <c r="F83" s="51"/>
      <c r="G83" s="51"/>
      <c r="H83" s="52"/>
      <c r="I83" s="56" t="e">
        <f>ROUND((#REF!-#REF!)*3.25%,0)</f>
        <v>#REF!</v>
      </c>
    </row>
    <row r="84" spans="1:23" s="57" customFormat="1" ht="30" customHeight="1" x14ac:dyDescent="0.25">
      <c r="A84" s="54"/>
      <c r="B84" s="54"/>
      <c r="C84" s="55"/>
      <c r="D84" s="386" t="s">
        <v>27</v>
      </c>
      <c r="E84" s="387"/>
      <c r="F84" s="51"/>
      <c r="G84" s="51"/>
      <c r="H84" s="52"/>
      <c r="I84" s="53" t="e">
        <f>+I81*6%</f>
        <v>#REF!</v>
      </c>
      <c r="L84" s="58"/>
      <c r="T84" s="59"/>
      <c r="W84" s="60"/>
    </row>
    <row r="85" spans="1:23" s="57" customFormat="1" ht="30" customHeight="1" x14ac:dyDescent="0.25">
      <c r="A85" s="54"/>
      <c r="B85" s="54"/>
      <c r="C85" s="55"/>
      <c r="D85" s="386"/>
      <c r="E85" s="387"/>
      <c r="F85" s="51"/>
      <c r="G85" s="51"/>
      <c r="H85" s="52"/>
      <c r="I85" s="53" t="e">
        <f>+I81+I82+I83+I84</f>
        <v>#REF!</v>
      </c>
      <c r="L85" s="58"/>
      <c r="T85" s="59"/>
      <c r="W85" s="60"/>
    </row>
    <row r="86" spans="1:23" s="57" customFormat="1" ht="31.5" customHeight="1" x14ac:dyDescent="0.25">
      <c r="A86" s="54"/>
      <c r="B86" s="54"/>
      <c r="C86" s="55"/>
      <c r="D86" s="61" t="s">
        <v>28</v>
      </c>
      <c r="E86" s="62"/>
      <c r="F86" s="62"/>
      <c r="G86" s="62"/>
      <c r="H86" s="52"/>
      <c r="I86" s="63" t="e">
        <f>#REF!+#REF!</f>
        <v>#REF!</v>
      </c>
      <c r="L86" s="58"/>
      <c r="T86" s="59"/>
      <c r="W86" s="60"/>
    </row>
    <row r="87" spans="1:23" s="57" customFormat="1" ht="23.25" x14ac:dyDescent="0.25">
      <c r="A87" s="54"/>
      <c r="B87" s="54"/>
      <c r="C87" s="55"/>
      <c r="D87" s="386" t="s">
        <v>29</v>
      </c>
      <c r="E87" s="387"/>
      <c r="F87" s="51"/>
      <c r="G87" s="51"/>
      <c r="H87" s="52"/>
      <c r="I87" s="63" t="e">
        <f>+I85-I86</f>
        <v>#REF!</v>
      </c>
      <c r="L87" s="58"/>
      <c r="T87" s="59"/>
      <c r="W87" s="60"/>
    </row>
    <row r="88" spans="1:23" s="57" customFormat="1" ht="23.25" x14ac:dyDescent="0.35">
      <c r="A88" s="54"/>
      <c r="B88" s="54"/>
      <c r="C88" s="55"/>
      <c r="D88" s="64"/>
      <c r="E88" s="64"/>
      <c r="F88" s="64"/>
      <c r="G88" s="64"/>
      <c r="H88" s="58"/>
      <c r="L88" s="58"/>
      <c r="T88" s="59"/>
      <c r="W88" s="60"/>
    </row>
  </sheetData>
  <autoFilter ref="A4:W79" xr:uid="{00000000-0009-0000-0000-000009000000}"/>
  <mergeCells count="8">
    <mergeCell ref="D85:E85"/>
    <mergeCell ref="D87:E87"/>
    <mergeCell ref="A2:W2"/>
    <mergeCell ref="A3:W3"/>
    <mergeCell ref="D81:E81"/>
    <mergeCell ref="D82:E82"/>
    <mergeCell ref="D83:E83"/>
    <mergeCell ref="D84:E84"/>
  </mergeCells>
  <conditionalFormatting sqref="B49:B79">
    <cfRule type="duplicateValues" dxfId="9" priority="35"/>
  </conditionalFormatting>
  <conditionalFormatting sqref="B80:B1048576 B1:B4">
    <cfRule type="duplicateValues" dxfId="8" priority="29"/>
  </conditionalFormatting>
  <conditionalFormatting sqref="B80:B1048576 B1:B48">
    <cfRule type="duplicateValues" dxfId="7" priority="32"/>
  </conditionalFormatting>
  <pageMargins left="0" right="0" top="0" bottom="0" header="0" footer="0"/>
  <pageSetup paperSize="9" scale="47" fitToHeight="0" orientation="landscape" r:id="rId1"/>
  <rowBreaks count="2" manualBreakCount="2">
    <brk id="17" max="24" man="1"/>
    <brk id="87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PF BREAKUP</vt:lpstr>
      <vt:lpstr>PF BREAKUP (2)</vt:lpstr>
      <vt:lpstr>Internship</vt:lpstr>
      <vt:lpstr>INVOICE</vt:lpstr>
      <vt:lpstr>BREAKUP</vt:lpstr>
      <vt:lpstr>D WAGES ESI &amp; PF</vt:lpstr>
      <vt:lpstr>AUG</vt:lpstr>
      <vt:lpstr>ROOM RENT</vt:lpstr>
      <vt:lpstr>ESI AND EPF M WAGES</vt:lpstr>
      <vt:lpstr>rent</vt:lpstr>
      <vt:lpstr>AUG!Print_Area</vt:lpstr>
      <vt:lpstr>BREAKUP!Print_Area</vt:lpstr>
      <vt:lpstr>'D WAGES ESI &amp; PF'!Print_Area</vt:lpstr>
      <vt:lpstr>'ESI AND EPF M WAGES'!Print_Area</vt:lpstr>
      <vt:lpstr>INVOICE!Print_Area</vt:lpstr>
      <vt:lpstr>'PF BREAKUP'!Print_Area</vt:lpstr>
      <vt:lpstr>'PF BREAKUP (2)'!Print_Area</vt:lpstr>
      <vt:lpstr>rent!Print_Area</vt:lpstr>
      <vt:lpstr>'ROOM RENT'!Print_Area</vt:lpstr>
      <vt:lpstr>AUG!Print_Titles</vt:lpstr>
      <vt:lpstr>'D WAGES ESI &amp; PF'!Print_Titles</vt:lpstr>
      <vt:lpstr>rent!Print_Titles</vt:lpstr>
      <vt:lpstr>'ROOM RENT'!Print_Titles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Nithya Vadivel</cp:lastModifiedBy>
  <cp:lastPrinted>2026-07-31T05:38:58Z</cp:lastPrinted>
  <dcterms:created xsi:type="dcterms:W3CDTF">2021-12-02T05:34:02Z</dcterms:created>
  <dcterms:modified xsi:type="dcterms:W3CDTF">2026-09-26T10:25:22Z</dcterms:modified>
</cp:coreProperties>
</file>