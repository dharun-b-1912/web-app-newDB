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770" windowWidth="18560" windowHeight="6460"/>
  </bookViews>
  <sheets>
    <sheet name="INVOICE" sheetId="2" r:id="rId1"/>
    <sheet name="Breakup" sheetId="4" r:id="rId2"/>
    <sheet name="Workings" sheetId="3" r:id="rId3"/>
    <sheet name="Allowance" sheetId="6" r:id="rId4"/>
  </sheets>
  <definedNames>
    <definedName name="_xlnm._FilterDatabase" localSheetId="2" hidden="1">Workings!$A$3:$P$27</definedName>
  </definedNames>
  <calcPr calcId="124519"/>
</workbook>
</file>

<file path=xl/calcChain.xml><?xml version="1.0" encoding="utf-8"?>
<calcChain xmlns="http://schemas.openxmlformats.org/spreadsheetml/2006/main">
  <c r="G5" i="6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4"/>
  <c r="G27" l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4"/>
  <c r="I4" s="1"/>
  <c r="B28" i="2"/>
  <c r="I5" i="3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F27" i="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5"/>
  <c r="I4" i="3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G21"/>
  <c r="O27"/>
  <c r="N27"/>
  <c r="J27"/>
  <c r="K21" l="1"/>
  <c r="G13"/>
  <c r="K13" s="1"/>
  <c r="L21"/>
  <c r="M21"/>
  <c r="I27" i="6"/>
  <c r="E10" i="4" s="1"/>
  <c r="G5" i="3"/>
  <c r="K5" s="1"/>
  <c r="H27" i="6"/>
  <c r="G22" i="3"/>
  <c r="K22" s="1"/>
  <c r="G14"/>
  <c r="K14" s="1"/>
  <c r="G6"/>
  <c r="K6" s="1"/>
  <c r="G23"/>
  <c r="K23" s="1"/>
  <c r="G15"/>
  <c r="K15" s="1"/>
  <c r="G7"/>
  <c r="K7" s="1"/>
  <c r="G24"/>
  <c r="K24" s="1"/>
  <c r="G16"/>
  <c r="K16" s="1"/>
  <c r="G8"/>
  <c r="K8" s="1"/>
  <c r="G25"/>
  <c r="K25" s="1"/>
  <c r="G17"/>
  <c r="K17" s="1"/>
  <c r="G9"/>
  <c r="K9" s="1"/>
  <c r="G26"/>
  <c r="K26" s="1"/>
  <c r="G18"/>
  <c r="K18" s="1"/>
  <c r="G10"/>
  <c r="K10" s="1"/>
  <c r="G19"/>
  <c r="K19" s="1"/>
  <c r="G11"/>
  <c r="K11" s="1"/>
  <c r="G20"/>
  <c r="K20" s="1"/>
  <c r="G12"/>
  <c r="K12" s="1"/>
  <c r="H27"/>
  <c r="I27"/>
  <c r="L9" l="1"/>
  <c r="M9"/>
  <c r="L26"/>
  <c r="M26"/>
  <c r="L18"/>
  <c r="M18"/>
  <c r="L22"/>
  <c r="M22"/>
  <c r="L10"/>
  <c r="M10"/>
  <c r="L24"/>
  <c r="M24"/>
  <c r="L13"/>
  <c r="M13"/>
  <c r="L19"/>
  <c r="M19"/>
  <c r="L16"/>
  <c r="M16"/>
  <c r="L14"/>
  <c r="M14"/>
  <c r="L11"/>
  <c r="M11"/>
  <c r="L8"/>
  <c r="M8"/>
  <c r="L15"/>
  <c r="M15"/>
  <c r="L7"/>
  <c r="M7"/>
  <c r="L20"/>
  <c r="M20"/>
  <c r="L25"/>
  <c r="M25"/>
  <c r="L6"/>
  <c r="M6"/>
  <c r="L12"/>
  <c r="M12"/>
  <c r="L17"/>
  <c r="M17"/>
  <c r="L23"/>
  <c r="M23"/>
  <c r="L5"/>
  <c r="M5"/>
  <c r="G4"/>
  <c r="K4" s="1"/>
  <c r="F27"/>
  <c r="P20" l="1"/>
  <c r="L4"/>
  <c r="M4"/>
  <c r="K27"/>
  <c r="P6"/>
  <c r="P15"/>
  <c r="P18"/>
  <c r="P26"/>
  <c r="P7"/>
  <c r="P10"/>
  <c r="P24"/>
  <c r="P14"/>
  <c r="P22"/>
  <c r="P11"/>
  <c r="P23"/>
  <c r="P12"/>
  <c r="G27"/>
  <c r="D7" i="4" l="1"/>
  <c r="E7" s="1"/>
  <c r="D8"/>
  <c r="E8" s="1"/>
  <c r="E5"/>
  <c r="P8" i="3"/>
  <c r="P25"/>
  <c r="P5"/>
  <c r="P19"/>
  <c r="P9"/>
  <c r="P4"/>
  <c r="P13"/>
  <c r="P21"/>
  <c r="P17"/>
  <c r="P16"/>
  <c r="L27"/>
  <c r="M27"/>
  <c r="E9" i="4" l="1"/>
  <c r="E12" s="1"/>
  <c r="I17" i="2" s="1"/>
  <c r="P27" i="3"/>
  <c r="I20" i="2" l="1"/>
  <c r="I22"/>
  <c r="E13" i="4"/>
  <c r="E14"/>
  <c r="I24" i="2" l="1"/>
  <c r="I26" s="1"/>
  <c r="E15" i="4"/>
</calcChain>
</file>

<file path=xl/sharedStrings.xml><?xml version="1.0" encoding="utf-8"?>
<sst xmlns="http://schemas.openxmlformats.org/spreadsheetml/2006/main" count="213" uniqueCount="123">
  <si>
    <t>NAME</t>
  </si>
  <si>
    <t>DEPT</t>
  </si>
  <si>
    <t>LALHRIA TPULA</t>
  </si>
  <si>
    <t>BCM</t>
  </si>
  <si>
    <t>RANJIT MUHTO</t>
  </si>
  <si>
    <t>FO</t>
  </si>
  <si>
    <t>RAM VIJAY KUMAR</t>
  </si>
  <si>
    <t>AKURAI</t>
  </si>
  <si>
    <t>CHHOTELAL SOREN</t>
  </si>
  <si>
    <t>INDRAJIT REANG</t>
  </si>
  <si>
    <t>UDAI RAM REANG</t>
  </si>
  <si>
    <t>KARAN HEMBRAM</t>
  </si>
  <si>
    <t>RAKESH SOREN</t>
  </si>
  <si>
    <t>BASUDEV SOREN</t>
  </si>
  <si>
    <t>CHAKBE JOY RENGA</t>
  </si>
  <si>
    <t>PRAMOD PRASAD</t>
  </si>
  <si>
    <t>PP3</t>
  </si>
  <si>
    <t>DHIRAM MAHALI</t>
  </si>
  <si>
    <t>MAHADEV MURMA</t>
  </si>
  <si>
    <t>SUNIL MARANDI</t>
  </si>
  <si>
    <t>HERBAL</t>
  </si>
  <si>
    <t>SARVAN KUMAR</t>
  </si>
  <si>
    <t>SUNIL TUDU</t>
  </si>
  <si>
    <t>AYUSH PASWAN</t>
  </si>
  <si>
    <t>BANTI SINGH</t>
  </si>
  <si>
    <t>RAJAKUMAR MALIK</t>
  </si>
  <si>
    <t>DHRUVCHAN PASWAN</t>
  </si>
  <si>
    <t>SURJEET</t>
  </si>
  <si>
    <t>RAJ GOPAL</t>
  </si>
  <si>
    <t>JOY MANPOWER SERVICE WAGES FOR THE MONTH OF JULY 2026</t>
  </si>
  <si>
    <t>S NO</t>
  </si>
  <si>
    <t>PUNCHING NO</t>
  </si>
  <si>
    <t>D WAGES</t>
  </si>
  <si>
    <t>PAY DAYS</t>
  </si>
  <si>
    <t>Wages</t>
  </si>
  <si>
    <t>OT</t>
  </si>
  <si>
    <t>OT STIPEND</t>
  </si>
  <si>
    <t>ARREARS</t>
  </si>
  <si>
    <t>GROSS</t>
  </si>
  <si>
    <t>PF 12%</t>
  </si>
  <si>
    <t>ESI 0.75%</t>
  </si>
  <si>
    <t>CANTEEN</t>
  </si>
  <si>
    <t>OTHER
DED</t>
  </si>
  <si>
    <t>NET AMOUNT</t>
  </si>
  <si>
    <t>*</t>
  </si>
  <si>
    <t>AJ001</t>
  </si>
  <si>
    <t>AJ002</t>
  </si>
  <si>
    <t>AJ003</t>
  </si>
  <si>
    <t>AJ004</t>
  </si>
  <si>
    <t>AJ005</t>
  </si>
  <si>
    <t>AJ006</t>
  </si>
  <si>
    <t>AJ007</t>
  </si>
  <si>
    <t>AJ008</t>
  </si>
  <si>
    <t>AJ009</t>
  </si>
  <si>
    <t>AJ010</t>
  </si>
  <si>
    <t>AJ011</t>
  </si>
  <si>
    <t>AJ012</t>
  </si>
  <si>
    <t>AJ013</t>
  </si>
  <si>
    <t>AJ014</t>
  </si>
  <si>
    <t>AJ015</t>
  </si>
  <si>
    <t>AJ016</t>
  </si>
  <si>
    <t>AJ017</t>
  </si>
  <si>
    <t>AJ018</t>
  </si>
  <si>
    <t>AJ019</t>
  </si>
  <si>
    <t>AJ020</t>
  </si>
  <si>
    <t>AJ021</t>
  </si>
  <si>
    <t>AJ022</t>
  </si>
  <si>
    <t>AJ023</t>
  </si>
  <si>
    <t>WAGES BREAKUP FOR THE MONTH OF JULY 2026</t>
  </si>
  <si>
    <t>S.NO.</t>
  </si>
  <si>
    <t>PARTICULARS</t>
  </si>
  <si>
    <t>AMOUNT</t>
  </si>
  <si>
    <t>Being the Contract Services for supply of manpower at</t>
  </si>
  <si>
    <t>P.F.Employer Contribution @ 13% Rs.</t>
  </si>
  <si>
    <t>E.S.I Employer Contribution @ 3.25% Rs.</t>
  </si>
  <si>
    <t xml:space="preserve">TOTAL </t>
  </si>
  <si>
    <t>CGST @ 9% on Billing Amount</t>
  </si>
  <si>
    <t>SGST @ 9% on Billing Amount</t>
  </si>
  <si>
    <t>GRAND TOTAL</t>
  </si>
  <si>
    <t>your Factory permises from 01.07.2026 TO 31.07.2026</t>
  </si>
  <si>
    <t>Service Charges @ 8% on Gross</t>
  </si>
  <si>
    <t>S.NO</t>
  </si>
  <si>
    <t>DEPARTMENT</t>
  </si>
  <si>
    <t>E ID</t>
  </si>
  <si>
    <t>W DAY</t>
  </si>
  <si>
    <t>TRANSPORT ALLOW</t>
  </si>
  <si>
    <t>INVOICE</t>
  </si>
  <si>
    <t>From</t>
  </si>
  <si>
    <t xml:space="preserve">Invoice Number </t>
  </si>
  <si>
    <t>JOY MANPOWER SERVICE</t>
  </si>
  <si>
    <t>No.16, Krishna complex, Avinashi main road,</t>
  </si>
  <si>
    <t xml:space="preserve">Invoice Date </t>
  </si>
  <si>
    <t xml:space="preserve">Thennampalayam, Arasur PO, </t>
  </si>
  <si>
    <t>Coimbatore - 641 407.</t>
  </si>
  <si>
    <t xml:space="preserve">PAN Number </t>
  </si>
  <si>
    <t>AOAPR4773D</t>
  </si>
  <si>
    <t>GSTIN Number : 33AOAPR4773D1Z2</t>
  </si>
  <si>
    <t>To</t>
  </si>
  <si>
    <t>SAC Code</t>
  </si>
  <si>
    <t>PF Code</t>
  </si>
  <si>
    <t>CB/CBE/1724259000</t>
  </si>
  <si>
    <t>ESIC Code</t>
  </si>
  <si>
    <t>56001195190001001</t>
  </si>
  <si>
    <t>Particulars</t>
  </si>
  <si>
    <t>Rs.</t>
  </si>
  <si>
    <t xml:space="preserve">1. Being the Contract Services for supply of manpower </t>
  </si>
  <si>
    <t>2. CGST @ 9% on Billing Amount</t>
  </si>
  <si>
    <t>3 .SGST @ 9% on Billing Amount</t>
  </si>
  <si>
    <t>TOTAL AMOUNT :-</t>
  </si>
  <si>
    <t>134/2026-27</t>
  </si>
  <si>
    <t>31/07/2026</t>
  </si>
  <si>
    <r>
      <t xml:space="preserve">   at your Factory permises from</t>
    </r>
    <r>
      <rPr>
        <b/>
        <sz val="13"/>
        <rFont val="Arial"/>
        <family val="2"/>
      </rPr>
      <t xml:space="preserve"> 01.07.2026 to 31.07.2026</t>
    </r>
  </si>
  <si>
    <t>Arjuna Natural Pvt Ltd</t>
  </si>
  <si>
    <t>15/4B, Sirambarayampalayam Road,</t>
  </si>
  <si>
    <t>Sennappachetty Pudur Post,</t>
  </si>
  <si>
    <t>Karumathampatty Via, Coimbatore-641659</t>
  </si>
  <si>
    <t>GSTIN Number : 33AACCA8648K1ZG</t>
  </si>
  <si>
    <t>ROOM ALLOW</t>
  </si>
  <si>
    <t>OTHER ALLOWANCE</t>
  </si>
  <si>
    <t>TOTAL ALLOWANCE</t>
  </si>
  <si>
    <t>ADD Room Allowance @ 50</t>
  </si>
  <si>
    <t>ADD Transport Allowance @ 30</t>
  </si>
  <si>
    <t>Rupees : One Lakh Nineteen Thousand Seven Hundred And Seventy Seven Only /-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</si>
</sst>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;[Red]0.0"/>
    <numFmt numFmtId="166" formatCode="0;[Red]0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8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u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164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4" fillId="2" borderId="0" xfId="0" applyFont="1" applyFill="1"/>
    <xf numFmtId="0" fontId="4" fillId="0" borderId="4" xfId="2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0" borderId="4" xfId="2" applyFont="1" applyBorder="1" applyAlignment="1">
      <alignment horizontal="center" vertical="center" wrapText="1"/>
    </xf>
    <xf numFmtId="0" fontId="6" fillId="0" borderId="1" xfId="0" applyNumberFormat="1" applyFont="1" applyBorder="1"/>
    <xf numFmtId="0" fontId="6" fillId="0" borderId="4" xfId="0" applyFont="1" applyBorder="1"/>
    <xf numFmtId="0" fontId="6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4" fillId="2" borderId="4" xfId="0" applyFont="1" applyFill="1" applyBorder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8" fillId="0" borderId="8" xfId="0" applyFont="1" applyBorder="1"/>
    <xf numFmtId="0" fontId="8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2" fontId="8" fillId="0" borderId="0" xfId="0" applyNumberFormat="1" applyFont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" fontId="10" fillId="0" borderId="19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left"/>
    </xf>
    <xf numFmtId="0" fontId="9" fillId="0" borderId="20" xfId="0" applyFont="1" applyBorder="1" applyAlignment="1">
      <alignment horizontal="center"/>
    </xf>
    <xf numFmtId="1" fontId="10" fillId="0" borderId="21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0" fontId="9" fillId="0" borderId="12" xfId="0" applyFont="1" applyBorder="1"/>
    <xf numFmtId="1" fontId="10" fillId="0" borderId="22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4" fillId="2" borderId="8" xfId="0" applyFont="1" applyFill="1" applyBorder="1"/>
    <xf numFmtId="0" fontId="14" fillId="2" borderId="0" xfId="0" applyFont="1" applyFill="1"/>
    <xf numFmtId="0" fontId="8" fillId="2" borderId="8" xfId="0" applyFont="1" applyFill="1" applyBorder="1"/>
    <xf numFmtId="0" fontId="8" fillId="2" borderId="0" xfId="0" applyFont="1" applyFill="1"/>
    <xf numFmtId="0" fontId="8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6" fillId="0" borderId="4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0" borderId="23" xfId="0" applyFont="1" applyBorder="1"/>
    <xf numFmtId="0" fontId="16" fillId="0" borderId="24" xfId="0" applyFont="1" applyBorder="1"/>
    <xf numFmtId="0" fontId="17" fillId="2" borderId="0" xfId="4" applyFont="1" applyFill="1"/>
    <xf numFmtId="0" fontId="17" fillId="2" borderId="0" xfId="4" applyFont="1" applyFill="1" applyAlignment="1">
      <alignment vertical="center"/>
    </xf>
    <xf numFmtId="0" fontId="20" fillId="2" borderId="5" xfId="4" applyFont="1" applyFill="1" applyBorder="1"/>
    <xf numFmtId="0" fontId="2" fillId="2" borderId="6" xfId="4" applyFont="1" applyFill="1" applyBorder="1"/>
    <xf numFmtId="0" fontId="2" fillId="2" borderId="7" xfId="4" applyFont="1" applyFill="1" applyBorder="1"/>
    <xf numFmtId="0" fontId="18" fillId="2" borderId="8" xfId="4" applyFont="1" applyFill="1" applyBorder="1"/>
    <xf numFmtId="0" fontId="20" fillId="2" borderId="0" xfId="4" applyFont="1" applyFill="1" applyBorder="1"/>
    <xf numFmtId="0" fontId="20" fillId="2" borderId="9" xfId="4" applyFont="1" applyFill="1" applyBorder="1"/>
    <xf numFmtId="0" fontId="17" fillId="2" borderId="8" xfId="4" applyFont="1" applyFill="1" applyBorder="1"/>
    <xf numFmtId="0" fontId="2" fillId="2" borderId="0" xfId="4" applyFont="1" applyFill="1" applyBorder="1"/>
    <xf numFmtId="0" fontId="2" fillId="2" borderId="9" xfId="4" applyFont="1" applyFill="1" applyBorder="1"/>
    <xf numFmtId="0" fontId="18" fillId="2" borderId="26" xfId="4" applyFont="1" applyFill="1" applyBorder="1"/>
    <xf numFmtId="0" fontId="2" fillId="2" borderId="27" xfId="4" applyFont="1" applyFill="1" applyBorder="1"/>
    <xf numFmtId="0" fontId="2" fillId="2" borderId="25" xfId="4" applyFont="1" applyFill="1" applyBorder="1"/>
    <xf numFmtId="0" fontId="20" fillId="2" borderId="8" xfId="4" applyFont="1" applyFill="1" applyBorder="1"/>
    <xf numFmtId="0" fontId="8" fillId="2" borderId="8" xfId="5" applyFont="1" applyFill="1" applyBorder="1"/>
    <xf numFmtId="0" fontId="23" fillId="2" borderId="0" xfId="4" applyFont="1" applyFill="1"/>
    <xf numFmtId="0" fontId="24" fillId="2" borderId="8" xfId="5" applyFont="1" applyFill="1" applyBorder="1"/>
    <xf numFmtId="0" fontId="18" fillId="2" borderId="28" xfId="4" applyFont="1" applyFill="1" applyBorder="1" applyAlignment="1">
      <alignment horizontal="center"/>
    </xf>
    <xf numFmtId="0" fontId="18" fillId="2" borderId="8" xfId="4" applyFont="1" applyFill="1" applyBorder="1" applyAlignment="1">
      <alignment horizontal="center"/>
    </xf>
    <xf numFmtId="0" fontId="18" fillId="2" borderId="0" xfId="4" applyFont="1" applyFill="1" applyBorder="1" applyAlignment="1">
      <alignment horizontal="center"/>
    </xf>
    <xf numFmtId="0" fontId="18" fillId="2" borderId="38" xfId="4" applyFont="1" applyFill="1" applyBorder="1" applyAlignment="1">
      <alignment horizontal="center"/>
    </xf>
    <xf numFmtId="0" fontId="21" fillId="2" borderId="8" xfId="4" applyFont="1" applyFill="1" applyBorder="1"/>
    <xf numFmtId="0" fontId="21" fillId="2" borderId="0" xfId="4" applyFont="1" applyFill="1" applyBorder="1"/>
    <xf numFmtId="167" fontId="26" fillId="2" borderId="38" xfId="6" applyNumberFormat="1" applyFont="1" applyFill="1" applyBorder="1" applyAlignment="1">
      <alignment horizontal="right"/>
    </xf>
    <xf numFmtId="2" fontId="17" fillId="2" borderId="0" xfId="4" applyNumberFormat="1" applyFont="1" applyFill="1"/>
    <xf numFmtId="0" fontId="27" fillId="2" borderId="8" xfId="4" applyFont="1" applyFill="1" applyBorder="1"/>
    <xf numFmtId="0" fontId="27" fillId="2" borderId="0" xfId="4" applyFont="1" applyFill="1" applyBorder="1"/>
    <xf numFmtId="167" fontId="17" fillId="2" borderId="38" xfId="6" applyNumberFormat="1" applyFont="1" applyFill="1" applyBorder="1"/>
    <xf numFmtId="0" fontId="17" fillId="2" borderId="0" xfId="4" applyFont="1" applyFill="1" applyBorder="1"/>
    <xf numFmtId="167" fontId="26" fillId="2" borderId="38" xfId="6" applyNumberFormat="1" applyFont="1" applyFill="1" applyBorder="1"/>
    <xf numFmtId="167" fontId="26" fillId="2" borderId="39" xfId="6" applyNumberFormat="1" applyFont="1" applyFill="1" applyBorder="1" applyAlignment="1">
      <alignment horizontal="right"/>
    </xf>
    <xf numFmtId="0" fontId="17" fillId="2" borderId="9" xfId="4" applyFont="1" applyFill="1" applyBorder="1"/>
    <xf numFmtId="0" fontId="18" fillId="2" borderId="0" xfId="4" applyFont="1" applyFill="1" applyBorder="1"/>
    <xf numFmtId="0" fontId="18" fillId="2" borderId="9" xfId="4" applyFont="1" applyFill="1" applyBorder="1"/>
    <xf numFmtId="0" fontId="17" fillId="2" borderId="26" xfId="4" applyFont="1" applyFill="1" applyBorder="1"/>
    <xf numFmtId="0" fontId="17" fillId="2" borderId="27" xfId="4" applyFont="1" applyFill="1" applyBorder="1"/>
    <xf numFmtId="0" fontId="18" fillId="2" borderId="27" xfId="4" applyFont="1" applyFill="1" applyBorder="1"/>
    <xf numFmtId="0" fontId="8" fillId="2" borderId="8" xfId="5" applyFont="1" applyFill="1" applyBorder="1" applyAlignment="1"/>
    <xf numFmtId="0" fontId="18" fillId="2" borderId="0" xfId="4" applyFont="1" applyFill="1" applyBorder="1" applyAlignment="1">
      <alignment horizontal="right"/>
    </xf>
    <xf numFmtId="0" fontId="18" fillId="2" borderId="9" xfId="4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0" fillId="0" borderId="0" xfId="0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0" fontId="15" fillId="0" borderId="40" xfId="0" applyFont="1" applyFill="1" applyBorder="1"/>
    <xf numFmtId="0" fontId="15" fillId="0" borderId="17" xfId="0" applyFont="1" applyFill="1" applyBorder="1"/>
    <xf numFmtId="0" fontId="16" fillId="0" borderId="41" xfId="0" applyFont="1" applyBorder="1"/>
    <xf numFmtId="0" fontId="16" fillId="0" borderId="42" xfId="0" applyFont="1" applyBorder="1"/>
    <xf numFmtId="0" fontId="18" fillId="2" borderId="0" xfId="4" applyFont="1" applyFill="1" applyBorder="1" applyAlignment="1">
      <alignment horizontal="right"/>
    </xf>
    <xf numFmtId="0" fontId="18" fillId="2" borderId="9" xfId="4" applyFont="1" applyFill="1" applyBorder="1" applyAlignment="1">
      <alignment horizontal="right"/>
    </xf>
    <xf numFmtId="0" fontId="18" fillId="2" borderId="27" xfId="4" applyFont="1" applyFill="1" applyBorder="1" applyAlignment="1">
      <alignment horizontal="right"/>
    </xf>
    <xf numFmtId="0" fontId="18" fillId="2" borderId="25" xfId="4" applyFont="1" applyFill="1" applyBorder="1" applyAlignment="1">
      <alignment horizontal="right"/>
    </xf>
    <xf numFmtId="1" fontId="26" fillId="2" borderId="38" xfId="4" applyNumberFormat="1" applyFont="1" applyFill="1" applyBorder="1" applyAlignment="1">
      <alignment horizontal="center" vertical="center"/>
    </xf>
    <xf numFmtId="0" fontId="20" fillId="2" borderId="5" xfId="4" applyFont="1" applyFill="1" applyBorder="1" applyAlignment="1">
      <alignment horizontal="left" vertical="center"/>
    </xf>
    <xf numFmtId="0" fontId="20" fillId="2" borderId="7" xfId="4" applyFont="1" applyFill="1" applyBorder="1" applyAlignment="1">
      <alignment horizontal="left" vertical="center"/>
    </xf>
    <xf numFmtId="0" fontId="20" fillId="2" borderId="26" xfId="4" applyFont="1" applyFill="1" applyBorder="1" applyAlignment="1">
      <alignment horizontal="left" vertical="center"/>
    </xf>
    <xf numFmtId="0" fontId="20" fillId="2" borderId="25" xfId="4" applyFont="1" applyFill="1" applyBorder="1" applyAlignment="1">
      <alignment horizontal="left" vertical="center"/>
    </xf>
    <xf numFmtId="0" fontId="20" fillId="2" borderId="36" xfId="4" applyFont="1" applyFill="1" applyBorder="1" applyAlignment="1">
      <alignment horizontal="left" vertical="center"/>
    </xf>
    <xf numFmtId="0" fontId="20" fillId="2" borderId="37" xfId="4" applyFont="1" applyFill="1" applyBorder="1" applyAlignment="1">
      <alignment horizontal="left" vertical="center"/>
    </xf>
    <xf numFmtId="0" fontId="20" fillId="2" borderId="8" xfId="4" applyFont="1" applyFill="1" applyBorder="1" applyAlignment="1">
      <alignment horizontal="left" vertical="center"/>
    </xf>
    <xf numFmtId="0" fontId="20" fillId="2" borderId="9" xfId="4" applyFont="1" applyFill="1" applyBorder="1" applyAlignment="1">
      <alignment horizontal="left" vertical="center"/>
    </xf>
    <xf numFmtId="49" fontId="20" fillId="2" borderId="36" xfId="4" applyNumberFormat="1" applyFont="1" applyFill="1" applyBorder="1" applyAlignment="1">
      <alignment horizontal="left" vertical="center"/>
    </xf>
    <xf numFmtId="49" fontId="20" fillId="2" borderId="38" xfId="4" applyNumberFormat="1" applyFont="1" applyFill="1" applyBorder="1" applyAlignment="1">
      <alignment horizontal="left" vertical="center"/>
    </xf>
    <xf numFmtId="0" fontId="18" fillId="2" borderId="33" xfId="4" applyFont="1" applyFill="1" applyBorder="1" applyAlignment="1">
      <alignment horizontal="center"/>
    </xf>
    <xf numFmtId="0" fontId="18" fillId="2" borderId="34" xfId="4" applyFont="1" applyFill="1" applyBorder="1" applyAlignment="1">
      <alignment horizontal="center"/>
    </xf>
    <xf numFmtId="0" fontId="28" fillId="2" borderId="5" xfId="4" applyFont="1" applyFill="1" applyBorder="1" applyAlignment="1">
      <alignment horizontal="center" vertical="center"/>
    </xf>
    <xf numFmtId="0" fontId="28" fillId="2" borderId="6" xfId="4" applyFont="1" applyFill="1" applyBorder="1" applyAlignment="1">
      <alignment horizontal="center" vertical="center"/>
    </xf>
    <xf numFmtId="0" fontId="28" fillId="2" borderId="8" xfId="4" applyFont="1" applyFill="1" applyBorder="1" applyAlignment="1">
      <alignment horizontal="center" vertical="center"/>
    </xf>
    <xf numFmtId="0" fontId="28" fillId="2" borderId="0" xfId="4" applyFont="1" applyFill="1" applyBorder="1" applyAlignment="1">
      <alignment horizontal="center" vertical="center"/>
    </xf>
    <xf numFmtId="167" fontId="28" fillId="2" borderId="36" xfId="6" applyNumberFormat="1" applyFont="1" applyFill="1" applyBorder="1" applyAlignment="1">
      <alignment horizontal="right" vertical="center"/>
    </xf>
    <xf numFmtId="167" fontId="28" fillId="2" borderId="38" xfId="6" applyNumberFormat="1" applyFont="1" applyFill="1" applyBorder="1" applyAlignment="1">
      <alignment horizontal="right" vertical="center"/>
    </xf>
    <xf numFmtId="0" fontId="21" fillId="2" borderId="36" xfId="4" applyFont="1" applyFill="1" applyBorder="1" applyAlignment="1">
      <alignment horizontal="center" vertical="center"/>
    </xf>
    <xf numFmtId="0" fontId="21" fillId="2" borderId="37" xfId="4" applyFont="1" applyFill="1" applyBorder="1" applyAlignment="1">
      <alignment horizontal="center" vertical="center"/>
    </xf>
    <xf numFmtId="0" fontId="29" fillId="0" borderId="33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5" xfId="4" applyFont="1" applyBorder="1" applyAlignment="1">
      <alignment horizontal="center" vertical="center"/>
    </xf>
    <xf numFmtId="0" fontId="19" fillId="2" borderId="33" xfId="4" applyFont="1" applyFill="1" applyBorder="1" applyAlignment="1">
      <alignment horizontal="center" vertical="center"/>
    </xf>
    <xf numFmtId="0" fontId="19" fillId="2" borderId="34" xfId="4" applyFont="1" applyFill="1" applyBorder="1" applyAlignment="1">
      <alignment horizontal="center" vertical="center"/>
    </xf>
    <xf numFmtId="0" fontId="19" fillId="2" borderId="35" xfId="4" applyFont="1" applyFill="1" applyBorder="1" applyAlignment="1">
      <alignment horizontal="center" vertical="center"/>
    </xf>
    <xf numFmtId="0" fontId="21" fillId="2" borderId="36" xfId="4" quotePrefix="1" applyFont="1" applyFill="1" applyBorder="1" applyAlignment="1">
      <alignment horizontal="center" vertical="center"/>
    </xf>
    <xf numFmtId="14" fontId="21" fillId="2" borderId="36" xfId="4" quotePrefix="1" applyNumberFormat="1" applyFont="1" applyFill="1" applyBorder="1" applyAlignment="1">
      <alignment horizontal="center" vertical="center"/>
    </xf>
    <xf numFmtId="0" fontId="13" fillId="0" borderId="5" xfId="3" applyFont="1" applyBorder="1" applyAlignment="1">
      <alignment horizontal="right" vertical="center" wrapText="1"/>
    </xf>
    <xf numFmtId="0" fontId="13" fillId="0" borderId="6" xfId="3" applyFont="1" applyBorder="1" applyAlignment="1">
      <alignment horizontal="right" vertical="center" wrapText="1"/>
    </xf>
    <xf numFmtId="0" fontId="13" fillId="0" borderId="7" xfId="3" applyFont="1" applyBorder="1" applyAlignment="1">
      <alignment horizontal="right" vertical="center" wrapText="1"/>
    </xf>
    <xf numFmtId="0" fontId="14" fillId="2" borderId="26" xfId="0" applyFont="1" applyFill="1" applyBorder="1" applyAlignment="1">
      <alignment horizontal="right"/>
    </xf>
    <xf numFmtId="0" fontId="14" fillId="2" borderId="27" xfId="0" applyFont="1" applyFill="1" applyBorder="1" applyAlignment="1">
      <alignment horizontal="right"/>
    </xf>
    <xf numFmtId="0" fontId="14" fillId="2" borderId="25" xfId="0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30" fillId="2" borderId="7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</cellXfs>
  <cellStyles count="7">
    <cellStyle name="Comma 2" xfId="6"/>
    <cellStyle name="Normal" xfId="0" builtinId="0"/>
    <cellStyle name="Normal 2" xfId="2"/>
    <cellStyle name="Normal 3" xfId="1"/>
    <cellStyle name="Normal 4" xfId="5"/>
    <cellStyle name="Normal 5 3" xfId="4"/>
    <cellStyle name="Normal 7 2" xfId="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33"/>
  <sheetViews>
    <sheetView tabSelected="1" zoomScale="64" zoomScaleNormal="64" workbookViewId="0">
      <selection activeCell="I17" sqref="I17:I18"/>
    </sheetView>
  </sheetViews>
  <sheetFormatPr defaultRowHeight="15.5"/>
  <cols>
    <col min="1" max="1" width="5.1796875" style="54" customWidth="1"/>
    <col min="2" max="7" width="8.7265625" style="54"/>
    <col min="8" max="8" width="19.1796875" style="54" customWidth="1"/>
    <col min="9" max="9" width="18.453125" style="54" bestFit="1" customWidth="1"/>
    <col min="10" max="10" width="8.7265625" style="54"/>
    <col min="11" max="11" width="12.1796875" style="54" bestFit="1" customWidth="1"/>
    <col min="12" max="237" width="8.7265625" style="54"/>
    <col min="238" max="238" width="7.54296875" style="54" customWidth="1"/>
    <col min="239" max="239" width="18.453125" style="54" customWidth="1"/>
    <col min="240" max="240" width="10.81640625" style="54" bestFit="1" customWidth="1"/>
    <col min="241" max="493" width="8.7265625" style="54"/>
    <col min="494" max="494" width="7.54296875" style="54" customWidth="1"/>
    <col min="495" max="495" width="18.453125" style="54" customWidth="1"/>
    <col min="496" max="496" width="10.81640625" style="54" bestFit="1" customWidth="1"/>
    <col min="497" max="749" width="8.7265625" style="54"/>
    <col min="750" max="750" width="7.54296875" style="54" customWidth="1"/>
    <col min="751" max="751" width="18.453125" style="54" customWidth="1"/>
    <col min="752" max="752" width="10.81640625" style="54" bestFit="1" customWidth="1"/>
    <col min="753" max="1005" width="8.7265625" style="54"/>
    <col min="1006" max="1006" width="7.54296875" style="54" customWidth="1"/>
    <col min="1007" max="1007" width="18.453125" style="54" customWidth="1"/>
    <col min="1008" max="1008" width="10.81640625" style="54" bestFit="1" customWidth="1"/>
    <col min="1009" max="1261" width="8.7265625" style="54"/>
    <col min="1262" max="1262" width="7.54296875" style="54" customWidth="1"/>
    <col min="1263" max="1263" width="18.453125" style="54" customWidth="1"/>
    <col min="1264" max="1264" width="10.81640625" style="54" bestFit="1" customWidth="1"/>
    <col min="1265" max="1517" width="8.7265625" style="54"/>
    <col min="1518" max="1518" width="7.54296875" style="54" customWidth="1"/>
    <col min="1519" max="1519" width="18.453125" style="54" customWidth="1"/>
    <col min="1520" max="1520" width="10.81640625" style="54" bestFit="1" customWidth="1"/>
    <col min="1521" max="1773" width="8.7265625" style="54"/>
    <col min="1774" max="1774" width="7.54296875" style="54" customWidth="1"/>
    <col min="1775" max="1775" width="18.453125" style="54" customWidth="1"/>
    <col min="1776" max="1776" width="10.81640625" style="54" bestFit="1" customWidth="1"/>
    <col min="1777" max="2029" width="8.7265625" style="54"/>
    <col min="2030" max="2030" width="7.54296875" style="54" customWidth="1"/>
    <col min="2031" max="2031" width="18.453125" style="54" customWidth="1"/>
    <col min="2032" max="2032" width="10.81640625" style="54" bestFit="1" customWidth="1"/>
    <col min="2033" max="2285" width="8.7265625" style="54"/>
    <col min="2286" max="2286" width="7.54296875" style="54" customWidth="1"/>
    <col min="2287" max="2287" width="18.453125" style="54" customWidth="1"/>
    <col min="2288" max="2288" width="10.81640625" style="54" bestFit="1" customWidth="1"/>
    <col min="2289" max="2541" width="8.7265625" style="54"/>
    <col min="2542" max="2542" width="7.54296875" style="54" customWidth="1"/>
    <col min="2543" max="2543" width="18.453125" style="54" customWidth="1"/>
    <col min="2544" max="2544" width="10.81640625" style="54" bestFit="1" customWidth="1"/>
    <col min="2545" max="2797" width="8.7265625" style="54"/>
    <col min="2798" max="2798" width="7.54296875" style="54" customWidth="1"/>
    <col min="2799" max="2799" width="18.453125" style="54" customWidth="1"/>
    <col min="2800" max="2800" width="10.81640625" style="54" bestFit="1" customWidth="1"/>
    <col min="2801" max="3053" width="8.7265625" style="54"/>
    <col min="3054" max="3054" width="7.54296875" style="54" customWidth="1"/>
    <col min="3055" max="3055" width="18.453125" style="54" customWidth="1"/>
    <col min="3056" max="3056" width="10.81640625" style="54" bestFit="1" customWidth="1"/>
    <col min="3057" max="3309" width="8.7265625" style="54"/>
    <col min="3310" max="3310" width="7.54296875" style="54" customWidth="1"/>
    <col min="3311" max="3311" width="18.453125" style="54" customWidth="1"/>
    <col min="3312" max="3312" width="10.81640625" style="54" bestFit="1" customWidth="1"/>
    <col min="3313" max="3565" width="8.7265625" style="54"/>
    <col min="3566" max="3566" width="7.54296875" style="54" customWidth="1"/>
    <col min="3567" max="3567" width="18.453125" style="54" customWidth="1"/>
    <col min="3568" max="3568" width="10.81640625" style="54" bestFit="1" customWidth="1"/>
    <col min="3569" max="3821" width="8.7265625" style="54"/>
    <col min="3822" max="3822" width="7.54296875" style="54" customWidth="1"/>
    <col min="3823" max="3823" width="18.453125" style="54" customWidth="1"/>
    <col min="3824" max="3824" width="10.81640625" style="54" bestFit="1" customWidth="1"/>
    <col min="3825" max="4077" width="8.7265625" style="54"/>
    <col min="4078" max="4078" width="7.54296875" style="54" customWidth="1"/>
    <col min="4079" max="4079" width="18.453125" style="54" customWidth="1"/>
    <col min="4080" max="4080" width="10.81640625" style="54" bestFit="1" customWidth="1"/>
    <col min="4081" max="4333" width="8.7265625" style="54"/>
    <col min="4334" max="4334" width="7.54296875" style="54" customWidth="1"/>
    <col min="4335" max="4335" width="18.453125" style="54" customWidth="1"/>
    <col min="4336" max="4336" width="10.81640625" style="54" bestFit="1" customWidth="1"/>
    <col min="4337" max="4589" width="8.7265625" style="54"/>
    <col min="4590" max="4590" width="7.54296875" style="54" customWidth="1"/>
    <col min="4591" max="4591" width="18.453125" style="54" customWidth="1"/>
    <col min="4592" max="4592" width="10.81640625" style="54" bestFit="1" customWidth="1"/>
    <col min="4593" max="4845" width="8.7265625" style="54"/>
    <col min="4846" max="4846" width="7.54296875" style="54" customWidth="1"/>
    <col min="4847" max="4847" width="18.453125" style="54" customWidth="1"/>
    <col min="4848" max="4848" width="10.81640625" style="54" bestFit="1" customWidth="1"/>
    <col min="4849" max="5101" width="8.7265625" style="54"/>
    <col min="5102" max="5102" width="7.54296875" style="54" customWidth="1"/>
    <col min="5103" max="5103" width="18.453125" style="54" customWidth="1"/>
    <col min="5104" max="5104" width="10.81640625" style="54" bestFit="1" customWidth="1"/>
    <col min="5105" max="5357" width="8.7265625" style="54"/>
    <col min="5358" max="5358" width="7.54296875" style="54" customWidth="1"/>
    <col min="5359" max="5359" width="18.453125" style="54" customWidth="1"/>
    <col min="5360" max="5360" width="10.81640625" style="54" bestFit="1" customWidth="1"/>
    <col min="5361" max="5613" width="8.7265625" style="54"/>
    <col min="5614" max="5614" width="7.54296875" style="54" customWidth="1"/>
    <col min="5615" max="5615" width="18.453125" style="54" customWidth="1"/>
    <col min="5616" max="5616" width="10.81640625" style="54" bestFit="1" customWidth="1"/>
    <col min="5617" max="5869" width="8.7265625" style="54"/>
    <col min="5870" max="5870" width="7.54296875" style="54" customWidth="1"/>
    <col min="5871" max="5871" width="18.453125" style="54" customWidth="1"/>
    <col min="5872" max="5872" width="10.81640625" style="54" bestFit="1" customWidth="1"/>
    <col min="5873" max="6125" width="8.7265625" style="54"/>
    <col min="6126" max="6126" width="7.54296875" style="54" customWidth="1"/>
    <col min="6127" max="6127" width="18.453125" style="54" customWidth="1"/>
    <col min="6128" max="6128" width="10.81640625" style="54" bestFit="1" customWidth="1"/>
    <col min="6129" max="6381" width="8.7265625" style="54"/>
    <col min="6382" max="6382" width="7.54296875" style="54" customWidth="1"/>
    <col min="6383" max="6383" width="18.453125" style="54" customWidth="1"/>
    <col min="6384" max="6384" width="10.81640625" style="54" bestFit="1" customWidth="1"/>
    <col min="6385" max="6637" width="8.7265625" style="54"/>
    <col min="6638" max="6638" width="7.54296875" style="54" customWidth="1"/>
    <col min="6639" max="6639" width="18.453125" style="54" customWidth="1"/>
    <col min="6640" max="6640" width="10.81640625" style="54" bestFit="1" customWidth="1"/>
    <col min="6641" max="6893" width="8.7265625" style="54"/>
    <col min="6894" max="6894" width="7.54296875" style="54" customWidth="1"/>
    <col min="6895" max="6895" width="18.453125" style="54" customWidth="1"/>
    <col min="6896" max="6896" width="10.81640625" style="54" bestFit="1" customWidth="1"/>
    <col min="6897" max="7149" width="8.7265625" style="54"/>
    <col min="7150" max="7150" width="7.54296875" style="54" customWidth="1"/>
    <col min="7151" max="7151" width="18.453125" style="54" customWidth="1"/>
    <col min="7152" max="7152" width="10.81640625" style="54" bestFit="1" customWidth="1"/>
    <col min="7153" max="7405" width="8.7265625" style="54"/>
    <col min="7406" max="7406" width="7.54296875" style="54" customWidth="1"/>
    <col min="7407" max="7407" width="18.453125" style="54" customWidth="1"/>
    <col min="7408" max="7408" width="10.81640625" style="54" bestFit="1" customWidth="1"/>
    <col min="7409" max="7661" width="8.7265625" style="54"/>
    <col min="7662" max="7662" width="7.54296875" style="54" customWidth="1"/>
    <col min="7663" max="7663" width="18.453125" style="54" customWidth="1"/>
    <col min="7664" max="7664" width="10.81640625" style="54" bestFit="1" customWidth="1"/>
    <col min="7665" max="7917" width="8.7265625" style="54"/>
    <col min="7918" max="7918" width="7.54296875" style="54" customWidth="1"/>
    <col min="7919" max="7919" width="18.453125" style="54" customWidth="1"/>
    <col min="7920" max="7920" width="10.81640625" style="54" bestFit="1" customWidth="1"/>
    <col min="7921" max="8173" width="8.7265625" style="54"/>
    <col min="8174" max="8174" width="7.54296875" style="54" customWidth="1"/>
    <col min="8175" max="8175" width="18.453125" style="54" customWidth="1"/>
    <col min="8176" max="8176" width="10.81640625" style="54" bestFit="1" customWidth="1"/>
    <col min="8177" max="8429" width="8.7265625" style="54"/>
    <col min="8430" max="8430" width="7.54296875" style="54" customWidth="1"/>
    <col min="8431" max="8431" width="18.453125" style="54" customWidth="1"/>
    <col min="8432" max="8432" width="10.81640625" style="54" bestFit="1" customWidth="1"/>
    <col min="8433" max="8685" width="8.7265625" style="54"/>
    <col min="8686" max="8686" width="7.54296875" style="54" customWidth="1"/>
    <col min="8687" max="8687" width="18.453125" style="54" customWidth="1"/>
    <col min="8688" max="8688" width="10.81640625" style="54" bestFit="1" customWidth="1"/>
    <col min="8689" max="8941" width="8.7265625" style="54"/>
    <col min="8942" max="8942" width="7.54296875" style="54" customWidth="1"/>
    <col min="8943" max="8943" width="18.453125" style="54" customWidth="1"/>
    <col min="8944" max="8944" width="10.81640625" style="54" bestFit="1" customWidth="1"/>
    <col min="8945" max="9197" width="8.7265625" style="54"/>
    <col min="9198" max="9198" width="7.54296875" style="54" customWidth="1"/>
    <col min="9199" max="9199" width="18.453125" style="54" customWidth="1"/>
    <col min="9200" max="9200" width="10.81640625" style="54" bestFit="1" customWidth="1"/>
    <col min="9201" max="9453" width="8.7265625" style="54"/>
    <col min="9454" max="9454" width="7.54296875" style="54" customWidth="1"/>
    <col min="9455" max="9455" width="18.453125" style="54" customWidth="1"/>
    <col min="9456" max="9456" width="10.81640625" style="54" bestFit="1" customWidth="1"/>
    <col min="9457" max="9709" width="8.7265625" style="54"/>
    <col min="9710" max="9710" width="7.54296875" style="54" customWidth="1"/>
    <col min="9711" max="9711" width="18.453125" style="54" customWidth="1"/>
    <col min="9712" max="9712" width="10.81640625" style="54" bestFit="1" customWidth="1"/>
    <col min="9713" max="9965" width="8.7265625" style="54"/>
    <col min="9966" max="9966" width="7.54296875" style="54" customWidth="1"/>
    <col min="9967" max="9967" width="18.453125" style="54" customWidth="1"/>
    <col min="9968" max="9968" width="10.81640625" style="54" bestFit="1" customWidth="1"/>
    <col min="9969" max="10221" width="8.7265625" style="54"/>
    <col min="10222" max="10222" width="7.54296875" style="54" customWidth="1"/>
    <col min="10223" max="10223" width="18.453125" style="54" customWidth="1"/>
    <col min="10224" max="10224" width="10.81640625" style="54" bestFit="1" customWidth="1"/>
    <col min="10225" max="10477" width="8.7265625" style="54"/>
    <col min="10478" max="10478" width="7.54296875" style="54" customWidth="1"/>
    <col min="10479" max="10479" width="18.453125" style="54" customWidth="1"/>
    <col min="10480" max="10480" width="10.81640625" style="54" bestFit="1" customWidth="1"/>
    <col min="10481" max="10733" width="8.7265625" style="54"/>
    <col min="10734" max="10734" width="7.54296875" style="54" customWidth="1"/>
    <col min="10735" max="10735" width="18.453125" style="54" customWidth="1"/>
    <col min="10736" max="10736" width="10.81640625" style="54" bestFit="1" customWidth="1"/>
    <col min="10737" max="10989" width="8.7265625" style="54"/>
    <col min="10990" max="10990" width="7.54296875" style="54" customWidth="1"/>
    <col min="10991" max="10991" width="18.453125" style="54" customWidth="1"/>
    <col min="10992" max="10992" width="10.81640625" style="54" bestFit="1" customWidth="1"/>
    <col min="10993" max="11245" width="8.7265625" style="54"/>
    <col min="11246" max="11246" width="7.54296875" style="54" customWidth="1"/>
    <col min="11247" max="11247" width="18.453125" style="54" customWidth="1"/>
    <col min="11248" max="11248" width="10.81640625" style="54" bestFit="1" customWidth="1"/>
    <col min="11249" max="11501" width="8.7265625" style="54"/>
    <col min="11502" max="11502" width="7.54296875" style="54" customWidth="1"/>
    <col min="11503" max="11503" width="18.453125" style="54" customWidth="1"/>
    <col min="11504" max="11504" width="10.81640625" style="54" bestFit="1" customWidth="1"/>
    <col min="11505" max="11757" width="8.7265625" style="54"/>
    <col min="11758" max="11758" width="7.54296875" style="54" customWidth="1"/>
    <col min="11759" max="11759" width="18.453125" style="54" customWidth="1"/>
    <col min="11760" max="11760" width="10.81640625" style="54" bestFit="1" customWidth="1"/>
    <col min="11761" max="12013" width="8.7265625" style="54"/>
    <col min="12014" max="12014" width="7.54296875" style="54" customWidth="1"/>
    <col min="12015" max="12015" width="18.453125" style="54" customWidth="1"/>
    <col min="12016" max="12016" width="10.81640625" style="54" bestFit="1" customWidth="1"/>
    <col min="12017" max="12269" width="8.7265625" style="54"/>
    <col min="12270" max="12270" width="7.54296875" style="54" customWidth="1"/>
    <col min="12271" max="12271" width="18.453125" style="54" customWidth="1"/>
    <col min="12272" max="12272" width="10.81640625" style="54" bestFit="1" customWidth="1"/>
    <col min="12273" max="12525" width="8.7265625" style="54"/>
    <col min="12526" max="12526" width="7.54296875" style="54" customWidth="1"/>
    <col min="12527" max="12527" width="18.453125" style="54" customWidth="1"/>
    <col min="12528" max="12528" width="10.81640625" style="54" bestFit="1" customWidth="1"/>
    <col min="12529" max="12781" width="8.7265625" style="54"/>
    <col min="12782" max="12782" width="7.54296875" style="54" customWidth="1"/>
    <col min="12783" max="12783" width="18.453125" style="54" customWidth="1"/>
    <col min="12784" max="12784" width="10.81640625" style="54" bestFit="1" customWidth="1"/>
    <col min="12785" max="13037" width="8.7265625" style="54"/>
    <col min="13038" max="13038" width="7.54296875" style="54" customWidth="1"/>
    <col min="13039" max="13039" width="18.453125" style="54" customWidth="1"/>
    <col min="13040" max="13040" width="10.81640625" style="54" bestFit="1" customWidth="1"/>
    <col min="13041" max="13293" width="8.7265625" style="54"/>
    <col min="13294" max="13294" width="7.54296875" style="54" customWidth="1"/>
    <col min="13295" max="13295" width="18.453125" style="54" customWidth="1"/>
    <col min="13296" max="13296" width="10.81640625" style="54" bestFit="1" customWidth="1"/>
    <col min="13297" max="13549" width="8.7265625" style="54"/>
    <col min="13550" max="13550" width="7.54296875" style="54" customWidth="1"/>
    <col min="13551" max="13551" width="18.453125" style="54" customWidth="1"/>
    <col min="13552" max="13552" width="10.81640625" style="54" bestFit="1" customWidth="1"/>
    <col min="13553" max="13805" width="8.7265625" style="54"/>
    <col min="13806" max="13806" width="7.54296875" style="54" customWidth="1"/>
    <col min="13807" max="13807" width="18.453125" style="54" customWidth="1"/>
    <col min="13808" max="13808" width="10.81640625" style="54" bestFit="1" customWidth="1"/>
    <col min="13809" max="14061" width="8.7265625" style="54"/>
    <col min="14062" max="14062" width="7.54296875" style="54" customWidth="1"/>
    <col min="14063" max="14063" width="18.453125" style="54" customWidth="1"/>
    <col min="14064" max="14064" width="10.81640625" style="54" bestFit="1" customWidth="1"/>
    <col min="14065" max="14317" width="8.7265625" style="54"/>
    <col min="14318" max="14318" width="7.54296875" style="54" customWidth="1"/>
    <col min="14319" max="14319" width="18.453125" style="54" customWidth="1"/>
    <col min="14320" max="14320" width="10.81640625" style="54" bestFit="1" customWidth="1"/>
    <col min="14321" max="14573" width="8.7265625" style="54"/>
    <col min="14574" max="14574" width="7.54296875" style="54" customWidth="1"/>
    <col min="14575" max="14575" width="18.453125" style="54" customWidth="1"/>
    <col min="14576" max="14576" width="10.81640625" style="54" bestFit="1" customWidth="1"/>
    <col min="14577" max="14829" width="8.7265625" style="54"/>
    <col min="14830" max="14830" width="7.54296875" style="54" customWidth="1"/>
    <col min="14831" max="14831" width="18.453125" style="54" customWidth="1"/>
    <col min="14832" max="14832" width="10.81640625" style="54" bestFit="1" customWidth="1"/>
    <col min="14833" max="15085" width="8.7265625" style="54"/>
    <col min="15086" max="15086" width="7.54296875" style="54" customWidth="1"/>
    <col min="15087" max="15087" width="18.453125" style="54" customWidth="1"/>
    <col min="15088" max="15088" width="10.81640625" style="54" bestFit="1" customWidth="1"/>
    <col min="15089" max="15341" width="8.7265625" style="54"/>
    <col min="15342" max="15342" width="7.54296875" style="54" customWidth="1"/>
    <col min="15343" max="15343" width="18.453125" style="54" customWidth="1"/>
    <col min="15344" max="15344" width="10.81640625" style="54" bestFit="1" customWidth="1"/>
    <col min="15345" max="15597" width="8.7265625" style="54"/>
    <col min="15598" max="15598" width="7.54296875" style="54" customWidth="1"/>
    <col min="15599" max="15599" width="18.453125" style="54" customWidth="1"/>
    <col min="15600" max="15600" width="10.81640625" style="54" bestFit="1" customWidth="1"/>
    <col min="15601" max="15853" width="8.7265625" style="54"/>
    <col min="15854" max="15854" width="7.54296875" style="54" customWidth="1"/>
    <col min="15855" max="15855" width="18.453125" style="54" customWidth="1"/>
    <col min="15856" max="15856" width="10.81640625" style="54" bestFit="1" customWidth="1"/>
    <col min="15857" max="16109" width="8.7265625" style="54"/>
    <col min="16110" max="16110" width="7.54296875" style="54" customWidth="1"/>
    <col min="16111" max="16111" width="18.453125" style="54" customWidth="1"/>
    <col min="16112" max="16112" width="10.81640625" style="54" bestFit="1" customWidth="1"/>
    <col min="16113" max="16358" width="8.7265625" style="54"/>
    <col min="16359" max="16384" width="8.81640625" style="54" customWidth="1"/>
  </cols>
  <sheetData>
    <row r="1" spans="2:10" ht="16" thickBot="1"/>
    <row r="2" spans="2:10" s="55" customFormat="1" ht="23.5" thickBot="1">
      <c r="B2" s="131" t="s">
        <v>86</v>
      </c>
      <c r="C2" s="132"/>
      <c r="D2" s="132"/>
      <c r="E2" s="132"/>
      <c r="F2" s="132"/>
      <c r="G2" s="132"/>
      <c r="H2" s="132"/>
      <c r="I2" s="133"/>
    </row>
    <row r="3" spans="2:10">
      <c r="B3" s="56" t="s">
        <v>87</v>
      </c>
      <c r="C3" s="57"/>
      <c r="D3" s="57"/>
      <c r="E3" s="57"/>
      <c r="F3" s="58"/>
      <c r="G3" s="108" t="s">
        <v>88</v>
      </c>
      <c r="H3" s="109"/>
      <c r="I3" s="134" t="s">
        <v>109</v>
      </c>
    </row>
    <row r="4" spans="2:10" ht="16" thickBot="1">
      <c r="B4" s="59" t="s">
        <v>89</v>
      </c>
      <c r="C4" s="60"/>
      <c r="D4" s="60"/>
      <c r="E4" s="60"/>
      <c r="F4" s="61"/>
      <c r="G4" s="110"/>
      <c r="H4" s="111"/>
      <c r="I4" s="127"/>
    </row>
    <row r="5" spans="2:10">
      <c r="B5" s="62" t="s">
        <v>90</v>
      </c>
      <c r="C5" s="63"/>
      <c r="D5" s="63"/>
      <c r="E5" s="63"/>
      <c r="F5" s="64"/>
      <c r="G5" s="108" t="s">
        <v>91</v>
      </c>
      <c r="H5" s="109"/>
      <c r="I5" s="135" t="s">
        <v>110</v>
      </c>
    </row>
    <row r="6" spans="2:10" ht="16" thickBot="1">
      <c r="B6" s="62" t="s">
        <v>92</v>
      </c>
      <c r="C6" s="63"/>
      <c r="D6" s="63"/>
      <c r="E6" s="63"/>
      <c r="F6" s="64"/>
      <c r="G6" s="110"/>
      <c r="H6" s="111"/>
      <c r="I6" s="127"/>
    </row>
    <row r="7" spans="2:10">
      <c r="B7" s="62" t="s">
        <v>93</v>
      </c>
      <c r="C7" s="63"/>
      <c r="D7" s="63"/>
      <c r="E7" s="63"/>
      <c r="F7" s="64"/>
      <c r="G7" s="108" t="s">
        <v>94</v>
      </c>
      <c r="H7" s="109"/>
      <c r="I7" s="126" t="s">
        <v>95</v>
      </c>
    </row>
    <row r="8" spans="2:10" ht="16" thickBot="1">
      <c r="B8" s="65" t="s">
        <v>96</v>
      </c>
      <c r="C8" s="66"/>
      <c r="D8" s="66"/>
      <c r="E8" s="66"/>
      <c r="F8" s="67"/>
      <c r="G8" s="110"/>
      <c r="H8" s="111"/>
      <c r="I8" s="127"/>
    </row>
    <row r="9" spans="2:10">
      <c r="B9" s="68" t="s">
        <v>97</v>
      </c>
      <c r="C9" s="63"/>
      <c r="D9" s="63"/>
      <c r="E9" s="63"/>
      <c r="F9" s="63"/>
      <c r="G9" s="108" t="s">
        <v>98</v>
      </c>
      <c r="H9" s="109"/>
      <c r="I9" s="126">
        <v>998519</v>
      </c>
    </row>
    <row r="10" spans="2:10" ht="16" thickBot="1">
      <c r="B10" s="59" t="s">
        <v>112</v>
      </c>
      <c r="C10" s="63"/>
      <c r="D10" s="63"/>
      <c r="E10" s="63"/>
      <c r="F10" s="63"/>
      <c r="G10" s="110"/>
      <c r="H10" s="111"/>
      <c r="I10" s="127"/>
    </row>
    <row r="11" spans="2:10">
      <c r="B11" s="69" t="s">
        <v>113</v>
      </c>
      <c r="C11" s="63"/>
      <c r="D11" s="63"/>
      <c r="E11" s="63"/>
      <c r="F11" s="63"/>
      <c r="G11" s="108" t="s">
        <v>99</v>
      </c>
      <c r="H11" s="109"/>
      <c r="I11" s="112" t="s">
        <v>100</v>
      </c>
      <c r="J11" s="70"/>
    </row>
    <row r="12" spans="2:10" ht="16" thickBot="1">
      <c r="B12" s="69" t="s">
        <v>114</v>
      </c>
      <c r="C12" s="63"/>
      <c r="D12" s="63"/>
      <c r="E12" s="63"/>
      <c r="F12" s="63"/>
      <c r="G12" s="110"/>
      <c r="H12" s="111"/>
      <c r="I12" s="113"/>
    </row>
    <row r="13" spans="2:10">
      <c r="B13" s="92" t="s">
        <v>115</v>
      </c>
      <c r="C13" s="63"/>
      <c r="D13" s="63"/>
      <c r="E13" s="63"/>
      <c r="F13" s="63"/>
      <c r="G13" s="108" t="s">
        <v>101</v>
      </c>
      <c r="H13" s="109"/>
      <c r="I13" s="116" t="s">
        <v>102</v>
      </c>
    </row>
    <row r="14" spans="2:10" ht="16" thickBot="1">
      <c r="B14" s="71" t="s">
        <v>116</v>
      </c>
      <c r="C14" s="63"/>
      <c r="D14" s="63"/>
      <c r="E14" s="63"/>
      <c r="F14" s="63"/>
      <c r="G14" s="114"/>
      <c r="H14" s="115"/>
      <c r="I14" s="117"/>
    </row>
    <row r="15" spans="2:10" ht="16" thickBot="1">
      <c r="B15" s="118" t="s">
        <v>103</v>
      </c>
      <c r="C15" s="119"/>
      <c r="D15" s="119"/>
      <c r="E15" s="119"/>
      <c r="F15" s="119"/>
      <c r="G15" s="119"/>
      <c r="H15" s="119"/>
      <c r="I15" s="72" t="s">
        <v>104</v>
      </c>
    </row>
    <row r="16" spans="2:10">
      <c r="B16" s="73"/>
      <c r="C16" s="74"/>
      <c r="D16" s="74"/>
      <c r="E16" s="74"/>
      <c r="F16" s="74"/>
      <c r="G16" s="74"/>
      <c r="H16" s="74"/>
      <c r="I16" s="75"/>
    </row>
    <row r="17" spans="2:11" ht="18" customHeight="1">
      <c r="B17" s="76" t="s">
        <v>105</v>
      </c>
      <c r="C17" s="77"/>
      <c r="D17" s="77"/>
      <c r="E17" s="77"/>
      <c r="F17" s="77"/>
      <c r="G17" s="77"/>
      <c r="H17" s="77"/>
      <c r="I17" s="107">
        <f>Breakup!E12</f>
        <v>101505.575</v>
      </c>
    </row>
    <row r="18" spans="2:11" ht="18" customHeight="1">
      <c r="B18" s="76" t="s">
        <v>111</v>
      </c>
      <c r="C18" s="77"/>
      <c r="D18" s="77"/>
      <c r="E18" s="77"/>
      <c r="F18" s="77"/>
      <c r="G18" s="77"/>
      <c r="H18" s="77"/>
      <c r="I18" s="107"/>
      <c r="K18" s="79"/>
    </row>
    <row r="19" spans="2:11" ht="17.5">
      <c r="B19" s="80"/>
      <c r="C19" s="81"/>
      <c r="D19" s="81"/>
      <c r="E19" s="81"/>
      <c r="F19" s="81"/>
      <c r="G19" s="81"/>
      <c r="H19" s="81"/>
      <c r="I19" s="82"/>
    </row>
    <row r="20" spans="2:11" ht="18">
      <c r="B20" s="59" t="s">
        <v>106</v>
      </c>
      <c r="C20" s="83"/>
      <c r="D20" s="83"/>
      <c r="E20" s="83"/>
      <c r="F20" s="83"/>
      <c r="G20" s="83"/>
      <c r="H20" s="83"/>
      <c r="I20" s="84">
        <f>+I17*9%</f>
        <v>9135.5017499999994</v>
      </c>
    </row>
    <row r="21" spans="2:11" ht="18">
      <c r="B21" s="62"/>
      <c r="C21" s="83"/>
      <c r="D21" s="83"/>
      <c r="E21" s="83"/>
      <c r="F21" s="83"/>
      <c r="G21" s="83"/>
      <c r="H21" s="83"/>
      <c r="I21" s="78"/>
    </row>
    <row r="22" spans="2:11" ht="18">
      <c r="B22" s="59" t="s">
        <v>107</v>
      </c>
      <c r="C22" s="83"/>
      <c r="D22" s="83"/>
      <c r="E22" s="83"/>
      <c r="F22" s="83"/>
      <c r="G22" s="83"/>
      <c r="H22" s="83"/>
      <c r="I22" s="84">
        <f>+I17*9%</f>
        <v>9135.5017499999994</v>
      </c>
    </row>
    <row r="23" spans="2:11" ht="18">
      <c r="B23" s="62"/>
      <c r="C23" s="83"/>
      <c r="D23" s="83"/>
      <c r="E23" s="83"/>
      <c r="F23" s="83"/>
      <c r="G23" s="83"/>
      <c r="H23" s="83"/>
      <c r="I23" s="78"/>
    </row>
    <row r="24" spans="2:11" ht="18.5" thickBot="1">
      <c r="B24" s="62"/>
      <c r="C24" s="83"/>
      <c r="D24" s="83"/>
      <c r="E24" s="83"/>
      <c r="F24" s="83"/>
      <c r="G24" s="83"/>
      <c r="H24" s="83"/>
      <c r="I24" s="85">
        <f>SUM(I17:I23)</f>
        <v>119776.57849999999</v>
      </c>
    </row>
    <row r="25" spans="2:11" ht="19" thickTop="1" thickBot="1">
      <c r="B25" s="62"/>
      <c r="C25" s="83"/>
      <c r="D25" s="83"/>
      <c r="E25" s="83"/>
      <c r="F25" s="83"/>
      <c r="G25" s="83"/>
      <c r="H25" s="83"/>
      <c r="I25" s="78"/>
    </row>
    <row r="26" spans="2:11">
      <c r="B26" s="120" t="s">
        <v>108</v>
      </c>
      <c r="C26" s="121"/>
      <c r="D26" s="121"/>
      <c r="E26" s="121"/>
      <c r="F26" s="121"/>
      <c r="G26" s="121"/>
      <c r="H26" s="121"/>
      <c r="I26" s="124">
        <f>I24</f>
        <v>119776.57849999999</v>
      </c>
    </row>
    <row r="27" spans="2:11" ht="16" thickBot="1">
      <c r="B27" s="122"/>
      <c r="C27" s="123"/>
      <c r="D27" s="123"/>
      <c r="E27" s="123"/>
      <c r="F27" s="123"/>
      <c r="G27" s="123"/>
      <c r="H27" s="123"/>
      <c r="I27" s="125"/>
    </row>
    <row r="28" spans="2:11" ht="16" thickBot="1">
      <c r="B28" s="128" t="str">
        <f>Breakup!B16</f>
        <v>Rupees : One Lakh Nineteen Thousand Seven Hundred And Seventy Seven Only /-</v>
      </c>
      <c r="C28" s="129"/>
      <c r="D28" s="129"/>
      <c r="E28" s="129"/>
      <c r="F28" s="129"/>
      <c r="G28" s="129"/>
      <c r="H28" s="129"/>
      <c r="I28" s="130"/>
    </row>
    <row r="29" spans="2:11">
      <c r="B29" s="62"/>
      <c r="C29" s="83"/>
      <c r="D29" s="83"/>
      <c r="E29" s="83"/>
      <c r="F29" s="83"/>
      <c r="G29" s="83"/>
      <c r="H29" s="83"/>
      <c r="I29" s="86"/>
    </row>
    <row r="30" spans="2:11">
      <c r="B30" s="62"/>
      <c r="C30" s="83"/>
      <c r="D30" s="103"/>
      <c r="E30" s="103"/>
      <c r="F30" s="103"/>
      <c r="G30" s="103"/>
      <c r="H30" s="103"/>
      <c r="I30" s="104"/>
    </row>
    <row r="31" spans="2:11">
      <c r="B31" s="62"/>
      <c r="C31" s="83"/>
      <c r="D31" s="93"/>
      <c r="E31" s="93"/>
      <c r="F31" s="93"/>
      <c r="G31" s="93"/>
      <c r="H31" s="93"/>
      <c r="I31" s="94"/>
    </row>
    <row r="32" spans="2:11">
      <c r="B32" s="62"/>
      <c r="C32" s="83"/>
      <c r="D32" s="87"/>
      <c r="E32" s="87"/>
      <c r="F32" s="87"/>
      <c r="G32" s="87"/>
      <c r="H32" s="87"/>
      <c r="I32" s="88"/>
    </row>
    <row r="33" spans="2:9" ht="16" thickBot="1">
      <c r="B33" s="89"/>
      <c r="C33" s="90"/>
      <c r="D33" s="91"/>
      <c r="E33" s="91"/>
      <c r="F33" s="105"/>
      <c r="G33" s="105"/>
      <c r="H33" s="105"/>
      <c r="I33" s="106"/>
    </row>
  </sheetData>
  <mergeCells count="20">
    <mergeCell ref="B2:I2"/>
    <mergeCell ref="G3:H4"/>
    <mergeCell ref="I3:I4"/>
    <mergeCell ref="G5:H6"/>
    <mergeCell ref="I5:I6"/>
    <mergeCell ref="G7:H8"/>
    <mergeCell ref="I7:I8"/>
    <mergeCell ref="G9:H10"/>
    <mergeCell ref="I9:I10"/>
    <mergeCell ref="B28:I28"/>
    <mergeCell ref="D30:I30"/>
    <mergeCell ref="F33:I33"/>
    <mergeCell ref="I17:I18"/>
    <mergeCell ref="G11:H12"/>
    <mergeCell ref="I11:I12"/>
    <mergeCell ref="G13:H14"/>
    <mergeCell ref="I13:I14"/>
    <mergeCell ref="B15:H15"/>
    <mergeCell ref="B26:H27"/>
    <mergeCell ref="I26:I27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I21"/>
  <sheetViews>
    <sheetView showGridLines="0" zoomScale="53" zoomScaleNormal="53" workbookViewId="0">
      <selection activeCell="E15" sqref="E15"/>
    </sheetView>
  </sheetViews>
  <sheetFormatPr defaultColWidth="9.1796875" defaultRowHeight="15.5"/>
  <cols>
    <col min="1" max="1" width="3.453125" style="23" customWidth="1"/>
    <col min="2" max="2" width="9" style="23" customWidth="1"/>
    <col min="3" max="3" width="65.54296875" style="23" customWidth="1"/>
    <col min="4" max="4" width="11.81640625" style="23" customWidth="1"/>
    <col min="5" max="5" width="18.6328125" style="45" customWidth="1"/>
    <col min="6" max="6" width="12.1796875" style="23" customWidth="1"/>
    <col min="7" max="8" width="9.1796875" style="23"/>
    <col min="9" max="9" width="11.26953125" style="23" customWidth="1"/>
    <col min="10" max="16384" width="9.1796875" style="23"/>
  </cols>
  <sheetData>
    <row r="1" spans="2:9" ht="16" thickBot="1"/>
    <row r="2" spans="2:9" ht="28.5" customHeight="1">
      <c r="B2" s="155" t="s">
        <v>68</v>
      </c>
      <c r="C2" s="156"/>
      <c r="D2" s="156"/>
      <c r="E2" s="157"/>
    </row>
    <row r="3" spans="2:9" ht="13.5" customHeight="1">
      <c r="B3" s="24"/>
      <c r="E3" s="25"/>
    </row>
    <row r="4" spans="2:9" ht="35.15" customHeight="1">
      <c r="B4" s="26" t="s">
        <v>69</v>
      </c>
      <c r="C4" s="158" t="s">
        <v>70</v>
      </c>
      <c r="D4" s="159"/>
      <c r="E4" s="27" t="s">
        <v>71</v>
      </c>
    </row>
    <row r="5" spans="2:9" ht="35.15" customHeight="1">
      <c r="B5" s="160">
        <v>1</v>
      </c>
      <c r="C5" s="162" t="s">
        <v>72</v>
      </c>
      <c r="D5" s="163"/>
      <c r="E5" s="151">
        <f>Workings!K27</f>
        <v>79215</v>
      </c>
    </row>
    <row r="6" spans="2:9" ht="35.15" customHeight="1">
      <c r="B6" s="161"/>
      <c r="C6" s="164" t="s">
        <v>79</v>
      </c>
      <c r="D6" s="165"/>
      <c r="E6" s="152"/>
      <c r="F6" s="28"/>
    </row>
    <row r="7" spans="2:9" ht="35.15" customHeight="1">
      <c r="B7" s="29">
        <v>2</v>
      </c>
      <c r="C7" s="30" t="s">
        <v>73</v>
      </c>
      <c r="D7" s="31">
        <f>Workings!G27</f>
        <v>52390</v>
      </c>
      <c r="E7" s="32">
        <f>D7*13%</f>
        <v>6810.7</v>
      </c>
      <c r="F7" s="28"/>
    </row>
    <row r="8" spans="2:9" ht="35.15" customHeight="1">
      <c r="B8" s="29">
        <v>3</v>
      </c>
      <c r="C8" s="30" t="s">
        <v>74</v>
      </c>
      <c r="D8" s="33">
        <f>Workings!G27</f>
        <v>52390</v>
      </c>
      <c r="E8" s="32">
        <f>D8*3.25%</f>
        <v>1702.675</v>
      </c>
      <c r="F8" s="28"/>
    </row>
    <row r="9" spans="2:9" ht="35.15" customHeight="1">
      <c r="B9" s="34">
        <v>4</v>
      </c>
      <c r="C9" s="142" t="s">
        <v>80</v>
      </c>
      <c r="D9" s="143"/>
      <c r="E9" s="35">
        <f>+E5*8%</f>
        <v>6337.2</v>
      </c>
      <c r="F9" s="28"/>
    </row>
    <row r="10" spans="2:9" ht="35.15" customHeight="1">
      <c r="B10" s="34">
        <v>5</v>
      </c>
      <c r="C10" s="95" t="s">
        <v>120</v>
      </c>
      <c r="D10" s="153"/>
      <c r="E10" s="151">
        <f>Allowance!I27</f>
        <v>7440</v>
      </c>
      <c r="F10" s="28"/>
    </row>
    <row r="11" spans="2:9" ht="35.15" customHeight="1">
      <c r="B11" s="34">
        <v>6</v>
      </c>
      <c r="C11" s="95" t="s">
        <v>121</v>
      </c>
      <c r="D11" s="154"/>
      <c r="E11" s="152"/>
      <c r="F11" s="28"/>
    </row>
    <row r="12" spans="2:9" ht="35.15" customHeight="1">
      <c r="B12" s="34"/>
      <c r="C12" s="144" t="s">
        <v>75</v>
      </c>
      <c r="D12" s="145"/>
      <c r="E12" s="35">
        <f>SUM(E5:E11)</f>
        <v>101505.575</v>
      </c>
    </row>
    <row r="13" spans="2:9" ht="35.15" customHeight="1">
      <c r="B13" s="34">
        <v>7</v>
      </c>
      <c r="C13" s="142" t="s">
        <v>76</v>
      </c>
      <c r="D13" s="143"/>
      <c r="E13" s="36">
        <f>+E12*9%</f>
        <v>9135.5017499999994</v>
      </c>
    </row>
    <row r="14" spans="2:9" ht="35.15" customHeight="1">
      <c r="B14" s="34">
        <v>8</v>
      </c>
      <c r="C14" s="142" t="s">
        <v>77</v>
      </c>
      <c r="D14" s="143"/>
      <c r="E14" s="36">
        <f>+E12*9%</f>
        <v>9135.5017499999994</v>
      </c>
    </row>
    <row r="15" spans="2:9" ht="35.15" customHeight="1" thickBot="1">
      <c r="B15" s="37"/>
      <c r="C15" s="146" t="s">
        <v>78</v>
      </c>
      <c r="D15" s="147"/>
      <c r="E15" s="38">
        <f>+E14+E13+E12</f>
        <v>119776.5785</v>
      </c>
    </row>
    <row r="16" spans="2:9" ht="49.4" customHeight="1" thickBot="1">
      <c r="B16" s="148" t="s">
        <v>122</v>
      </c>
      <c r="C16" s="149"/>
      <c r="D16" s="149"/>
      <c r="E16" s="150"/>
      <c r="G16" s="39"/>
      <c r="H16" s="39"/>
      <c r="I16" s="40"/>
    </row>
    <row r="17" spans="2:5" ht="23.25" customHeight="1">
      <c r="B17" s="136"/>
      <c r="C17" s="137"/>
      <c r="D17" s="137"/>
      <c r="E17" s="138"/>
    </row>
    <row r="18" spans="2:5" ht="23">
      <c r="B18" s="41"/>
      <c r="C18" s="42"/>
      <c r="D18" s="42"/>
      <c r="E18" s="25"/>
    </row>
    <row r="19" spans="2:5">
      <c r="B19" s="43"/>
      <c r="C19" s="44"/>
      <c r="D19" s="44"/>
      <c r="E19" s="25"/>
    </row>
    <row r="20" spans="2:5">
      <c r="B20" s="43"/>
      <c r="C20" s="44"/>
      <c r="D20" s="44"/>
      <c r="E20" s="25"/>
    </row>
    <row r="21" spans="2:5" ht="45.75" customHeight="1" thickBot="1">
      <c r="B21" s="139"/>
      <c r="C21" s="140"/>
      <c r="D21" s="140"/>
      <c r="E21" s="141"/>
    </row>
  </sheetData>
  <mergeCells count="16">
    <mergeCell ref="B2:E2"/>
    <mergeCell ref="C4:D4"/>
    <mergeCell ref="B5:B6"/>
    <mergeCell ref="C5:D5"/>
    <mergeCell ref="E5:E6"/>
    <mergeCell ref="C6:D6"/>
    <mergeCell ref="B17:E17"/>
    <mergeCell ref="B21:E21"/>
    <mergeCell ref="C9:D9"/>
    <mergeCell ref="C12:D12"/>
    <mergeCell ref="C13:D13"/>
    <mergeCell ref="C14:D14"/>
    <mergeCell ref="C15:D15"/>
    <mergeCell ref="B16:E16"/>
    <mergeCell ref="E10:E11"/>
    <mergeCell ref="D10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7"/>
  <sheetViews>
    <sheetView showGridLines="0" zoomScale="60" zoomScaleNormal="60" workbookViewId="0">
      <selection activeCell="M3" sqref="M3"/>
    </sheetView>
  </sheetViews>
  <sheetFormatPr defaultColWidth="8.7265625" defaultRowHeight="14.5"/>
  <cols>
    <col min="1" max="1" width="8" style="22" customWidth="1"/>
    <col min="2" max="2" width="16.26953125" style="22" customWidth="1"/>
    <col min="3" max="3" width="33.26953125" style="22" bestFit="1" customWidth="1"/>
    <col min="4" max="4" width="16.1796875" style="22" bestFit="1" customWidth="1"/>
    <col min="5" max="5" width="12.453125" style="22" customWidth="1"/>
    <col min="6" max="6" width="12.81640625" style="22" customWidth="1"/>
    <col min="7" max="7" width="14.453125" style="22" customWidth="1"/>
    <col min="8" max="8" width="10.81640625" style="22" customWidth="1"/>
    <col min="9" max="9" width="14.54296875" style="22" customWidth="1"/>
    <col min="10" max="10" width="11.453125" style="22" hidden="1" customWidth="1"/>
    <col min="11" max="13" width="14.453125" style="22" customWidth="1"/>
    <col min="14" max="14" width="14.453125" style="22" hidden="1" customWidth="1"/>
    <col min="15" max="15" width="18.453125" style="22" hidden="1" customWidth="1"/>
    <col min="16" max="16" width="21.1796875" style="22" customWidth="1"/>
    <col min="17" max="16384" width="8.7265625" style="22"/>
  </cols>
  <sheetData>
    <row r="1" spans="1:16" s="4" customFormat="1" ht="33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4" customFormat="1" ht="27.75" customHeight="1">
      <c r="A2" s="166" t="s">
        <v>29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</row>
    <row r="3" spans="1:16" s="7" customFormat="1" ht="62.25" customHeight="1">
      <c r="A3" s="5" t="s">
        <v>30</v>
      </c>
      <c r="B3" s="5" t="s">
        <v>31</v>
      </c>
      <c r="C3" s="5" t="s">
        <v>0</v>
      </c>
      <c r="D3" s="5" t="s">
        <v>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6" t="s">
        <v>43</v>
      </c>
    </row>
    <row r="4" spans="1:16" s="1" customFormat="1" ht="34.5" customHeight="1">
      <c r="A4" s="8">
        <v>1</v>
      </c>
      <c r="B4" s="9" t="s">
        <v>45</v>
      </c>
      <c r="C4" s="10" t="s">
        <v>2</v>
      </c>
      <c r="D4" s="11" t="s">
        <v>3</v>
      </c>
      <c r="E4" s="12">
        <v>620</v>
      </c>
      <c r="F4" s="14">
        <v>4.5</v>
      </c>
      <c r="G4" s="15">
        <f t="shared" ref="G4:G26" si="0">ROUND(E4*F4,0)</f>
        <v>2790</v>
      </c>
      <c r="H4" s="10">
        <v>19</v>
      </c>
      <c r="I4" s="16">
        <f t="shared" ref="I4:I26" si="1">ROUND(E4/8*H4,0)</f>
        <v>1473</v>
      </c>
      <c r="J4" s="12"/>
      <c r="K4" s="16">
        <f>ROUND(G4+I4+J4,0)</f>
        <v>4263</v>
      </c>
      <c r="L4" s="16">
        <f>ROUND(G4*12%,0)</f>
        <v>335</v>
      </c>
      <c r="M4" s="17">
        <f>CEILING(G4*0.75%,1)</f>
        <v>21</v>
      </c>
      <c r="N4" s="13">
        <v>0</v>
      </c>
      <c r="O4" s="18"/>
      <c r="P4" s="15">
        <f>ROUND(K4-N4-L4-M4-O4,0)</f>
        <v>3907</v>
      </c>
    </row>
    <row r="5" spans="1:16" s="1" customFormat="1" ht="34.5" customHeight="1">
      <c r="A5" s="8">
        <f>A4+1</f>
        <v>2</v>
      </c>
      <c r="B5" s="9" t="s">
        <v>46</v>
      </c>
      <c r="C5" s="10" t="s">
        <v>4</v>
      </c>
      <c r="D5" s="11" t="s">
        <v>5</v>
      </c>
      <c r="E5" s="12">
        <v>620</v>
      </c>
      <c r="F5" s="14">
        <v>4.5</v>
      </c>
      <c r="G5" s="15">
        <f t="shared" si="0"/>
        <v>2790</v>
      </c>
      <c r="H5" s="10">
        <v>19</v>
      </c>
      <c r="I5" s="16">
        <f t="shared" si="1"/>
        <v>1473</v>
      </c>
      <c r="J5" s="12"/>
      <c r="K5" s="16">
        <f t="shared" ref="K5:K26" si="2">ROUND(G5+I5+J5,0)</f>
        <v>4263</v>
      </c>
      <c r="L5" s="16">
        <f t="shared" ref="L5:L26" si="3">ROUND(G5*12%,0)</f>
        <v>335</v>
      </c>
      <c r="M5" s="17">
        <f t="shared" ref="M5:M26" si="4">CEILING(G5*0.75%,1)</f>
        <v>21</v>
      </c>
      <c r="N5" s="13">
        <v>0</v>
      </c>
      <c r="O5" s="18"/>
      <c r="P5" s="15">
        <f t="shared" ref="P5:P26" si="5">ROUND(K5-N5-L5-M5-O5,0)</f>
        <v>3907</v>
      </c>
    </row>
    <row r="6" spans="1:16" s="1" customFormat="1" ht="34.5" customHeight="1">
      <c r="A6" s="8">
        <f t="shared" ref="A6:A26" si="6">A5+1</f>
        <v>3</v>
      </c>
      <c r="B6" s="9" t="s">
        <v>47</v>
      </c>
      <c r="C6" s="10" t="s">
        <v>6</v>
      </c>
      <c r="D6" s="11" t="s">
        <v>3</v>
      </c>
      <c r="E6" s="12">
        <v>620</v>
      </c>
      <c r="F6" s="14">
        <v>4.5</v>
      </c>
      <c r="G6" s="15">
        <f t="shared" si="0"/>
        <v>2790</v>
      </c>
      <c r="H6" s="10">
        <v>19</v>
      </c>
      <c r="I6" s="16">
        <f t="shared" si="1"/>
        <v>1473</v>
      </c>
      <c r="J6" s="12"/>
      <c r="K6" s="16">
        <f t="shared" si="2"/>
        <v>4263</v>
      </c>
      <c r="L6" s="16">
        <f t="shared" si="3"/>
        <v>335</v>
      </c>
      <c r="M6" s="17">
        <f t="shared" si="4"/>
        <v>21</v>
      </c>
      <c r="N6" s="13">
        <v>0</v>
      </c>
      <c r="O6" s="18"/>
      <c r="P6" s="15">
        <f t="shared" si="5"/>
        <v>3907</v>
      </c>
    </row>
    <row r="7" spans="1:16" s="1" customFormat="1" ht="34.5" customHeight="1">
      <c r="A7" s="8">
        <f t="shared" si="6"/>
        <v>4</v>
      </c>
      <c r="B7" s="9" t="s">
        <v>48</v>
      </c>
      <c r="C7" s="10" t="s">
        <v>7</v>
      </c>
      <c r="D7" s="11" t="s">
        <v>3</v>
      </c>
      <c r="E7" s="12">
        <v>620</v>
      </c>
      <c r="F7" s="14">
        <v>4.5</v>
      </c>
      <c r="G7" s="15">
        <f t="shared" si="0"/>
        <v>2790</v>
      </c>
      <c r="H7" s="10">
        <v>19</v>
      </c>
      <c r="I7" s="16">
        <f t="shared" si="1"/>
        <v>1473</v>
      </c>
      <c r="J7" s="12"/>
      <c r="K7" s="16">
        <f t="shared" si="2"/>
        <v>4263</v>
      </c>
      <c r="L7" s="16">
        <f t="shared" si="3"/>
        <v>335</v>
      </c>
      <c r="M7" s="17">
        <f t="shared" si="4"/>
        <v>21</v>
      </c>
      <c r="N7" s="13">
        <v>0</v>
      </c>
      <c r="O7" s="18"/>
      <c r="P7" s="15">
        <f t="shared" si="5"/>
        <v>3907</v>
      </c>
    </row>
    <row r="8" spans="1:16" s="1" customFormat="1" ht="34.5" customHeight="1">
      <c r="A8" s="8">
        <f t="shared" si="6"/>
        <v>5</v>
      </c>
      <c r="B8" s="9" t="s">
        <v>49</v>
      </c>
      <c r="C8" s="10" t="s">
        <v>8</v>
      </c>
      <c r="D8" s="11" t="s">
        <v>5</v>
      </c>
      <c r="E8" s="12">
        <v>620</v>
      </c>
      <c r="F8" s="14">
        <v>4.5</v>
      </c>
      <c r="G8" s="15">
        <f t="shared" si="0"/>
        <v>2790</v>
      </c>
      <c r="H8" s="10">
        <v>19</v>
      </c>
      <c r="I8" s="16">
        <f t="shared" si="1"/>
        <v>1473</v>
      </c>
      <c r="J8" s="12"/>
      <c r="K8" s="16">
        <f t="shared" si="2"/>
        <v>4263</v>
      </c>
      <c r="L8" s="16">
        <f t="shared" si="3"/>
        <v>335</v>
      </c>
      <c r="M8" s="17">
        <f t="shared" si="4"/>
        <v>21</v>
      </c>
      <c r="N8" s="13">
        <v>0</v>
      </c>
      <c r="O8" s="18"/>
      <c r="P8" s="15">
        <f t="shared" si="5"/>
        <v>3907</v>
      </c>
    </row>
    <row r="9" spans="1:16" s="1" customFormat="1" ht="34.5" customHeight="1">
      <c r="A9" s="8">
        <f t="shared" si="6"/>
        <v>6</v>
      </c>
      <c r="B9" s="9" t="s">
        <v>50</v>
      </c>
      <c r="C9" s="10" t="s">
        <v>9</v>
      </c>
      <c r="D9" s="11" t="s">
        <v>5</v>
      </c>
      <c r="E9" s="12">
        <v>620</v>
      </c>
      <c r="F9" s="14">
        <v>4.5</v>
      </c>
      <c r="G9" s="15">
        <f t="shared" si="0"/>
        <v>2790</v>
      </c>
      <c r="H9" s="10">
        <v>19</v>
      </c>
      <c r="I9" s="16">
        <f t="shared" si="1"/>
        <v>1473</v>
      </c>
      <c r="J9" s="12"/>
      <c r="K9" s="16">
        <f t="shared" si="2"/>
        <v>4263</v>
      </c>
      <c r="L9" s="16">
        <f t="shared" si="3"/>
        <v>335</v>
      </c>
      <c r="M9" s="17">
        <f t="shared" si="4"/>
        <v>21</v>
      </c>
      <c r="N9" s="13">
        <v>0</v>
      </c>
      <c r="O9" s="18"/>
      <c r="P9" s="15">
        <f t="shared" si="5"/>
        <v>3907</v>
      </c>
    </row>
    <row r="10" spans="1:16" s="1" customFormat="1" ht="34.5" customHeight="1">
      <c r="A10" s="8">
        <f t="shared" si="6"/>
        <v>7</v>
      </c>
      <c r="B10" s="9" t="s">
        <v>51</v>
      </c>
      <c r="C10" s="10" t="s">
        <v>10</v>
      </c>
      <c r="D10" s="11" t="s">
        <v>3</v>
      </c>
      <c r="E10" s="12">
        <v>620</v>
      </c>
      <c r="F10" s="14">
        <v>4.5</v>
      </c>
      <c r="G10" s="15">
        <f t="shared" si="0"/>
        <v>2790</v>
      </c>
      <c r="H10" s="10">
        <v>19</v>
      </c>
      <c r="I10" s="16">
        <f t="shared" si="1"/>
        <v>1473</v>
      </c>
      <c r="J10" s="12"/>
      <c r="K10" s="16">
        <f t="shared" si="2"/>
        <v>4263</v>
      </c>
      <c r="L10" s="16">
        <f t="shared" si="3"/>
        <v>335</v>
      </c>
      <c r="M10" s="17">
        <f t="shared" si="4"/>
        <v>21</v>
      </c>
      <c r="N10" s="13">
        <v>0</v>
      </c>
      <c r="O10" s="18"/>
      <c r="P10" s="15">
        <f t="shared" si="5"/>
        <v>3907</v>
      </c>
    </row>
    <row r="11" spans="1:16" s="1" customFormat="1" ht="34.5" customHeight="1">
      <c r="A11" s="8">
        <f t="shared" si="6"/>
        <v>8</v>
      </c>
      <c r="B11" s="9" t="s">
        <v>52</v>
      </c>
      <c r="C11" s="10" t="s">
        <v>11</v>
      </c>
      <c r="D11" s="11" t="s">
        <v>3</v>
      </c>
      <c r="E11" s="12">
        <v>620</v>
      </c>
      <c r="F11" s="14">
        <v>4.5</v>
      </c>
      <c r="G11" s="15">
        <f t="shared" si="0"/>
        <v>2790</v>
      </c>
      <c r="H11" s="10">
        <v>19</v>
      </c>
      <c r="I11" s="16">
        <f t="shared" si="1"/>
        <v>1473</v>
      </c>
      <c r="J11" s="12"/>
      <c r="K11" s="16">
        <f t="shared" si="2"/>
        <v>4263</v>
      </c>
      <c r="L11" s="16">
        <f t="shared" si="3"/>
        <v>335</v>
      </c>
      <c r="M11" s="17">
        <f t="shared" si="4"/>
        <v>21</v>
      </c>
      <c r="N11" s="13">
        <v>0</v>
      </c>
      <c r="O11" s="18"/>
      <c r="P11" s="15">
        <f t="shared" si="5"/>
        <v>3907</v>
      </c>
    </row>
    <row r="12" spans="1:16" s="1" customFormat="1" ht="34.5" customHeight="1">
      <c r="A12" s="8">
        <f t="shared" si="6"/>
        <v>9</v>
      </c>
      <c r="B12" s="9" t="s">
        <v>53</v>
      </c>
      <c r="C12" s="10" t="s">
        <v>12</v>
      </c>
      <c r="D12" s="11" t="s">
        <v>3</v>
      </c>
      <c r="E12" s="12">
        <v>620</v>
      </c>
      <c r="F12" s="14">
        <v>4.5</v>
      </c>
      <c r="G12" s="15">
        <f t="shared" si="0"/>
        <v>2790</v>
      </c>
      <c r="H12" s="10">
        <v>19</v>
      </c>
      <c r="I12" s="16">
        <f t="shared" si="1"/>
        <v>1473</v>
      </c>
      <c r="J12" s="12"/>
      <c r="K12" s="16">
        <f t="shared" si="2"/>
        <v>4263</v>
      </c>
      <c r="L12" s="16">
        <f t="shared" si="3"/>
        <v>335</v>
      </c>
      <c r="M12" s="17">
        <f t="shared" si="4"/>
        <v>21</v>
      </c>
      <c r="N12" s="13">
        <v>0</v>
      </c>
      <c r="O12" s="18"/>
      <c r="P12" s="15">
        <f t="shared" si="5"/>
        <v>3907</v>
      </c>
    </row>
    <row r="13" spans="1:16" s="1" customFormat="1" ht="34.5" customHeight="1">
      <c r="A13" s="8">
        <f t="shared" si="6"/>
        <v>10</v>
      </c>
      <c r="B13" s="9" t="s">
        <v>54</v>
      </c>
      <c r="C13" s="10" t="s">
        <v>13</v>
      </c>
      <c r="D13" s="11" t="s">
        <v>3</v>
      </c>
      <c r="E13" s="12">
        <v>620</v>
      </c>
      <c r="F13" s="14">
        <v>4.5</v>
      </c>
      <c r="G13" s="15">
        <f t="shared" si="0"/>
        <v>2790</v>
      </c>
      <c r="H13" s="10">
        <v>19</v>
      </c>
      <c r="I13" s="16">
        <f t="shared" si="1"/>
        <v>1473</v>
      </c>
      <c r="J13" s="12"/>
      <c r="K13" s="16">
        <f t="shared" si="2"/>
        <v>4263</v>
      </c>
      <c r="L13" s="16">
        <f t="shared" si="3"/>
        <v>335</v>
      </c>
      <c r="M13" s="17">
        <f t="shared" si="4"/>
        <v>21</v>
      </c>
      <c r="N13" s="13">
        <v>0</v>
      </c>
      <c r="O13" s="18"/>
      <c r="P13" s="15">
        <f t="shared" si="5"/>
        <v>3907</v>
      </c>
    </row>
    <row r="14" spans="1:16" s="1" customFormat="1" ht="34.5" customHeight="1">
      <c r="A14" s="8">
        <f t="shared" si="6"/>
        <v>11</v>
      </c>
      <c r="B14" s="9" t="s">
        <v>55</v>
      </c>
      <c r="C14" s="10" t="s">
        <v>14</v>
      </c>
      <c r="D14" s="11" t="s">
        <v>5</v>
      </c>
      <c r="E14" s="12">
        <v>620</v>
      </c>
      <c r="F14" s="14">
        <v>4.5</v>
      </c>
      <c r="G14" s="15">
        <f t="shared" si="0"/>
        <v>2790</v>
      </c>
      <c r="H14" s="10">
        <v>19</v>
      </c>
      <c r="I14" s="16">
        <f t="shared" si="1"/>
        <v>1473</v>
      </c>
      <c r="J14" s="12"/>
      <c r="K14" s="16">
        <f t="shared" si="2"/>
        <v>4263</v>
      </c>
      <c r="L14" s="16">
        <f t="shared" si="3"/>
        <v>335</v>
      </c>
      <c r="M14" s="17">
        <f t="shared" si="4"/>
        <v>21</v>
      </c>
      <c r="N14" s="13">
        <v>0</v>
      </c>
      <c r="O14" s="18"/>
      <c r="P14" s="15">
        <f t="shared" si="5"/>
        <v>3907</v>
      </c>
    </row>
    <row r="15" spans="1:16" s="1" customFormat="1" ht="34.5" customHeight="1">
      <c r="A15" s="8">
        <f t="shared" si="6"/>
        <v>12</v>
      </c>
      <c r="B15" s="9" t="s">
        <v>56</v>
      </c>
      <c r="C15" s="10" t="s">
        <v>15</v>
      </c>
      <c r="D15" s="11" t="s">
        <v>16</v>
      </c>
      <c r="E15" s="12">
        <v>620</v>
      </c>
      <c r="F15" s="14">
        <v>4.5</v>
      </c>
      <c r="G15" s="15">
        <f t="shared" si="0"/>
        <v>2790</v>
      </c>
      <c r="H15" s="10">
        <v>19</v>
      </c>
      <c r="I15" s="16">
        <f t="shared" si="1"/>
        <v>1473</v>
      </c>
      <c r="J15" s="12"/>
      <c r="K15" s="16">
        <f t="shared" si="2"/>
        <v>4263</v>
      </c>
      <c r="L15" s="16">
        <f t="shared" si="3"/>
        <v>335</v>
      </c>
      <c r="M15" s="17">
        <f t="shared" si="4"/>
        <v>21</v>
      </c>
      <c r="N15" s="13">
        <v>0</v>
      </c>
      <c r="O15" s="18"/>
      <c r="P15" s="15">
        <f t="shared" si="5"/>
        <v>3907</v>
      </c>
    </row>
    <row r="16" spans="1:16" s="1" customFormat="1" ht="34.5" customHeight="1">
      <c r="A16" s="8">
        <f t="shared" si="6"/>
        <v>13</v>
      </c>
      <c r="B16" s="9" t="s">
        <v>57</v>
      </c>
      <c r="C16" s="10" t="s">
        <v>17</v>
      </c>
      <c r="D16" s="11" t="s">
        <v>16</v>
      </c>
      <c r="E16" s="12">
        <v>620</v>
      </c>
      <c r="F16" s="14">
        <v>3.5</v>
      </c>
      <c r="G16" s="15">
        <f t="shared" si="0"/>
        <v>2170</v>
      </c>
      <c r="H16" s="10">
        <v>15</v>
      </c>
      <c r="I16" s="16">
        <f t="shared" si="1"/>
        <v>1163</v>
      </c>
      <c r="J16" s="12"/>
      <c r="K16" s="16">
        <f t="shared" si="2"/>
        <v>3333</v>
      </c>
      <c r="L16" s="16">
        <f t="shared" si="3"/>
        <v>260</v>
      </c>
      <c r="M16" s="17">
        <f t="shared" si="4"/>
        <v>17</v>
      </c>
      <c r="N16" s="13">
        <v>0</v>
      </c>
      <c r="O16" s="18"/>
      <c r="P16" s="15">
        <f t="shared" si="5"/>
        <v>3056</v>
      </c>
    </row>
    <row r="17" spans="1:16" s="1" customFormat="1" ht="34.5" customHeight="1">
      <c r="A17" s="8">
        <f t="shared" si="6"/>
        <v>14</v>
      </c>
      <c r="B17" s="9" t="s">
        <v>58</v>
      </c>
      <c r="C17" s="10" t="s">
        <v>18</v>
      </c>
      <c r="D17" s="11" t="s">
        <v>16</v>
      </c>
      <c r="E17" s="12">
        <v>620</v>
      </c>
      <c r="F17" s="14">
        <v>4.5</v>
      </c>
      <c r="G17" s="15">
        <f t="shared" si="0"/>
        <v>2790</v>
      </c>
      <c r="H17" s="10">
        <v>19</v>
      </c>
      <c r="I17" s="16">
        <f t="shared" si="1"/>
        <v>1473</v>
      </c>
      <c r="J17" s="12"/>
      <c r="K17" s="16">
        <f t="shared" si="2"/>
        <v>4263</v>
      </c>
      <c r="L17" s="16">
        <f t="shared" si="3"/>
        <v>335</v>
      </c>
      <c r="M17" s="17">
        <f t="shared" si="4"/>
        <v>21</v>
      </c>
      <c r="N17" s="13">
        <v>0</v>
      </c>
      <c r="O17" s="18"/>
      <c r="P17" s="15">
        <f t="shared" si="5"/>
        <v>3907</v>
      </c>
    </row>
    <row r="18" spans="1:16" s="1" customFormat="1" ht="34.5" customHeight="1">
      <c r="A18" s="8">
        <f t="shared" si="6"/>
        <v>15</v>
      </c>
      <c r="B18" s="9" t="s">
        <v>59</v>
      </c>
      <c r="C18" s="10" t="s">
        <v>19</v>
      </c>
      <c r="D18" s="11" t="s">
        <v>20</v>
      </c>
      <c r="E18" s="12">
        <v>620</v>
      </c>
      <c r="F18" s="14">
        <v>4.5</v>
      </c>
      <c r="G18" s="15">
        <f t="shared" si="0"/>
        <v>2790</v>
      </c>
      <c r="H18" s="10">
        <v>19</v>
      </c>
      <c r="I18" s="16">
        <f t="shared" si="1"/>
        <v>1473</v>
      </c>
      <c r="J18" s="12"/>
      <c r="K18" s="16">
        <f t="shared" si="2"/>
        <v>4263</v>
      </c>
      <c r="L18" s="16">
        <f t="shared" si="3"/>
        <v>335</v>
      </c>
      <c r="M18" s="17">
        <f t="shared" si="4"/>
        <v>21</v>
      </c>
      <c r="N18" s="13">
        <v>0</v>
      </c>
      <c r="O18" s="18"/>
      <c r="P18" s="15">
        <f t="shared" si="5"/>
        <v>3907</v>
      </c>
    </row>
    <row r="19" spans="1:16" s="1" customFormat="1" ht="34.5" customHeight="1">
      <c r="A19" s="8">
        <f t="shared" si="6"/>
        <v>16</v>
      </c>
      <c r="B19" s="9" t="s">
        <v>60</v>
      </c>
      <c r="C19" s="10" t="s">
        <v>21</v>
      </c>
      <c r="D19" s="11" t="s">
        <v>16</v>
      </c>
      <c r="E19" s="12">
        <v>620</v>
      </c>
      <c r="F19" s="14">
        <v>4.5</v>
      </c>
      <c r="G19" s="15">
        <f t="shared" si="0"/>
        <v>2790</v>
      </c>
      <c r="H19" s="10">
        <v>19</v>
      </c>
      <c r="I19" s="16">
        <f t="shared" si="1"/>
        <v>1473</v>
      </c>
      <c r="J19" s="12"/>
      <c r="K19" s="16">
        <f t="shared" si="2"/>
        <v>4263</v>
      </c>
      <c r="L19" s="16">
        <f t="shared" si="3"/>
        <v>335</v>
      </c>
      <c r="M19" s="17">
        <f t="shared" si="4"/>
        <v>21</v>
      </c>
      <c r="N19" s="13">
        <v>0</v>
      </c>
      <c r="O19" s="18"/>
      <c r="P19" s="15">
        <f t="shared" si="5"/>
        <v>3907</v>
      </c>
    </row>
    <row r="20" spans="1:16" s="1" customFormat="1" ht="34.5" customHeight="1">
      <c r="A20" s="8">
        <f t="shared" si="6"/>
        <v>17</v>
      </c>
      <c r="B20" s="9" t="s">
        <v>61</v>
      </c>
      <c r="C20" s="10" t="s">
        <v>22</v>
      </c>
      <c r="D20" s="11" t="s">
        <v>16</v>
      </c>
      <c r="E20" s="12">
        <v>620</v>
      </c>
      <c r="F20" s="14">
        <v>4.5</v>
      </c>
      <c r="G20" s="15">
        <f t="shared" si="0"/>
        <v>2790</v>
      </c>
      <c r="H20" s="10">
        <v>19</v>
      </c>
      <c r="I20" s="16">
        <f t="shared" si="1"/>
        <v>1473</v>
      </c>
      <c r="J20" s="12"/>
      <c r="K20" s="16">
        <f t="shared" si="2"/>
        <v>4263</v>
      </c>
      <c r="L20" s="16">
        <f t="shared" si="3"/>
        <v>335</v>
      </c>
      <c r="M20" s="17">
        <f t="shared" si="4"/>
        <v>21</v>
      </c>
      <c r="N20" s="13">
        <v>0</v>
      </c>
      <c r="O20" s="18"/>
      <c r="P20" s="15">
        <f t="shared" si="5"/>
        <v>3907</v>
      </c>
    </row>
    <row r="21" spans="1:16" s="1" customFormat="1" ht="34.5" customHeight="1">
      <c r="A21" s="8">
        <f t="shared" si="6"/>
        <v>18</v>
      </c>
      <c r="B21" s="9" t="s">
        <v>62</v>
      </c>
      <c r="C21" s="10" t="s">
        <v>23</v>
      </c>
      <c r="D21" s="11" t="s">
        <v>20</v>
      </c>
      <c r="E21" s="12">
        <v>620</v>
      </c>
      <c r="F21" s="14">
        <v>2</v>
      </c>
      <c r="G21" s="15">
        <f t="shared" si="0"/>
        <v>1240</v>
      </c>
      <c r="H21" s="10">
        <v>7</v>
      </c>
      <c r="I21" s="16">
        <f t="shared" si="1"/>
        <v>543</v>
      </c>
      <c r="J21" s="12"/>
      <c r="K21" s="16">
        <f t="shared" si="2"/>
        <v>1783</v>
      </c>
      <c r="L21" s="16">
        <f t="shared" si="3"/>
        <v>149</v>
      </c>
      <c r="M21" s="17">
        <f t="shared" si="4"/>
        <v>10</v>
      </c>
      <c r="N21" s="13">
        <v>0</v>
      </c>
      <c r="O21" s="18"/>
      <c r="P21" s="15">
        <f t="shared" si="5"/>
        <v>1624</v>
      </c>
    </row>
    <row r="22" spans="1:16" s="1" customFormat="1" ht="34.5" customHeight="1">
      <c r="A22" s="8">
        <f t="shared" si="6"/>
        <v>19</v>
      </c>
      <c r="B22" s="9" t="s">
        <v>63</v>
      </c>
      <c r="C22" s="10" t="s">
        <v>24</v>
      </c>
      <c r="D22" s="11" t="s">
        <v>5</v>
      </c>
      <c r="E22" s="12">
        <v>620</v>
      </c>
      <c r="F22" s="14">
        <v>2</v>
      </c>
      <c r="G22" s="15">
        <f t="shared" si="0"/>
        <v>1240</v>
      </c>
      <c r="H22" s="10">
        <v>7</v>
      </c>
      <c r="I22" s="16">
        <f t="shared" si="1"/>
        <v>543</v>
      </c>
      <c r="J22" s="12"/>
      <c r="K22" s="16">
        <f t="shared" si="2"/>
        <v>1783</v>
      </c>
      <c r="L22" s="16">
        <f t="shared" si="3"/>
        <v>149</v>
      </c>
      <c r="M22" s="17">
        <f t="shared" si="4"/>
        <v>10</v>
      </c>
      <c r="N22" s="13">
        <v>0</v>
      </c>
      <c r="O22" s="18"/>
      <c r="P22" s="15">
        <f t="shared" si="5"/>
        <v>1624</v>
      </c>
    </row>
    <row r="23" spans="1:16" s="1" customFormat="1" ht="34.5" customHeight="1">
      <c r="A23" s="8">
        <f t="shared" si="6"/>
        <v>20</v>
      </c>
      <c r="B23" s="9" t="s">
        <v>64</v>
      </c>
      <c r="C23" s="10" t="s">
        <v>25</v>
      </c>
      <c r="D23" s="11" t="s">
        <v>3</v>
      </c>
      <c r="E23" s="12">
        <v>620</v>
      </c>
      <c r="F23" s="14">
        <v>2</v>
      </c>
      <c r="G23" s="15">
        <f t="shared" si="0"/>
        <v>1240</v>
      </c>
      <c r="H23" s="10">
        <v>7</v>
      </c>
      <c r="I23" s="16">
        <f t="shared" si="1"/>
        <v>543</v>
      </c>
      <c r="J23" s="12"/>
      <c r="K23" s="16">
        <f t="shared" si="2"/>
        <v>1783</v>
      </c>
      <c r="L23" s="16">
        <f t="shared" si="3"/>
        <v>149</v>
      </c>
      <c r="M23" s="17">
        <f t="shared" si="4"/>
        <v>10</v>
      </c>
      <c r="N23" s="13">
        <v>0</v>
      </c>
      <c r="O23" s="18"/>
      <c r="P23" s="15">
        <f t="shared" si="5"/>
        <v>1624</v>
      </c>
    </row>
    <row r="24" spans="1:16" s="1" customFormat="1" ht="34.5" customHeight="1">
      <c r="A24" s="8">
        <f t="shared" si="6"/>
        <v>21</v>
      </c>
      <c r="B24" s="9" t="s">
        <v>65</v>
      </c>
      <c r="C24" s="10" t="s">
        <v>26</v>
      </c>
      <c r="D24" s="11" t="s">
        <v>3</v>
      </c>
      <c r="E24" s="12">
        <v>620</v>
      </c>
      <c r="F24" s="14">
        <v>1</v>
      </c>
      <c r="G24" s="15">
        <f t="shared" si="0"/>
        <v>620</v>
      </c>
      <c r="H24" s="10">
        <v>2</v>
      </c>
      <c r="I24" s="16">
        <f t="shared" si="1"/>
        <v>155</v>
      </c>
      <c r="J24" s="12"/>
      <c r="K24" s="16">
        <f t="shared" si="2"/>
        <v>775</v>
      </c>
      <c r="L24" s="16">
        <f t="shared" si="3"/>
        <v>74</v>
      </c>
      <c r="M24" s="17">
        <f t="shared" si="4"/>
        <v>5</v>
      </c>
      <c r="N24" s="13">
        <v>0</v>
      </c>
      <c r="O24" s="18"/>
      <c r="P24" s="15">
        <f t="shared" si="5"/>
        <v>696</v>
      </c>
    </row>
    <row r="25" spans="1:16" s="1" customFormat="1" ht="34.5" customHeight="1">
      <c r="A25" s="8">
        <f t="shared" si="6"/>
        <v>22</v>
      </c>
      <c r="B25" s="9" t="s">
        <v>66</v>
      </c>
      <c r="C25" s="10" t="s">
        <v>27</v>
      </c>
      <c r="D25" s="11" t="s">
        <v>5</v>
      </c>
      <c r="E25" s="12">
        <v>620</v>
      </c>
      <c r="F25" s="14">
        <v>1</v>
      </c>
      <c r="G25" s="15">
        <f t="shared" si="0"/>
        <v>620</v>
      </c>
      <c r="H25" s="10">
        <v>2</v>
      </c>
      <c r="I25" s="16">
        <f t="shared" si="1"/>
        <v>155</v>
      </c>
      <c r="J25" s="12"/>
      <c r="K25" s="16">
        <f t="shared" si="2"/>
        <v>775</v>
      </c>
      <c r="L25" s="16">
        <f t="shared" si="3"/>
        <v>74</v>
      </c>
      <c r="M25" s="17">
        <f t="shared" si="4"/>
        <v>5</v>
      </c>
      <c r="N25" s="13">
        <v>0</v>
      </c>
      <c r="O25" s="18"/>
      <c r="P25" s="15">
        <f t="shared" si="5"/>
        <v>696</v>
      </c>
    </row>
    <row r="26" spans="1:16" s="1" customFormat="1" ht="34.5" customHeight="1">
      <c r="A26" s="8">
        <f t="shared" si="6"/>
        <v>23</v>
      </c>
      <c r="B26" s="9" t="s">
        <v>67</v>
      </c>
      <c r="C26" s="10" t="s">
        <v>28</v>
      </c>
      <c r="D26" s="11" t="s">
        <v>16</v>
      </c>
      <c r="E26" s="12">
        <v>620</v>
      </c>
      <c r="F26" s="14">
        <v>1</v>
      </c>
      <c r="G26" s="15">
        <f t="shared" si="0"/>
        <v>620</v>
      </c>
      <c r="H26" s="10">
        <v>2</v>
      </c>
      <c r="I26" s="16">
        <f t="shared" si="1"/>
        <v>155</v>
      </c>
      <c r="J26" s="12"/>
      <c r="K26" s="16">
        <f t="shared" si="2"/>
        <v>775</v>
      </c>
      <c r="L26" s="16">
        <f t="shared" si="3"/>
        <v>74</v>
      </c>
      <c r="M26" s="17">
        <f t="shared" si="4"/>
        <v>5</v>
      </c>
      <c r="N26" s="13">
        <v>0</v>
      </c>
      <c r="O26" s="18"/>
      <c r="P26" s="15">
        <f t="shared" si="5"/>
        <v>696</v>
      </c>
    </row>
    <row r="27" spans="1:16" ht="34.5" customHeight="1">
      <c r="A27" s="5" t="s">
        <v>44</v>
      </c>
      <c r="B27" s="19"/>
      <c r="C27" s="20"/>
      <c r="D27" s="21"/>
      <c r="E27" s="19" t="s">
        <v>44</v>
      </c>
      <c r="F27" s="19">
        <f t="shared" ref="F27:P27" si="7">SUM(F4:F26)</f>
        <v>84.5</v>
      </c>
      <c r="G27" s="19">
        <f t="shared" si="7"/>
        <v>52390</v>
      </c>
      <c r="H27" s="19">
        <f t="shared" si="7"/>
        <v>346</v>
      </c>
      <c r="I27" s="19">
        <f t="shared" si="7"/>
        <v>26825</v>
      </c>
      <c r="J27" s="19">
        <f t="shared" si="7"/>
        <v>0</v>
      </c>
      <c r="K27" s="19">
        <f t="shared" si="7"/>
        <v>79215</v>
      </c>
      <c r="L27" s="19">
        <f t="shared" si="7"/>
        <v>6289</v>
      </c>
      <c r="M27" s="19">
        <f t="shared" si="7"/>
        <v>398</v>
      </c>
      <c r="N27" s="19">
        <f t="shared" si="7"/>
        <v>0</v>
      </c>
      <c r="O27" s="19">
        <f t="shared" si="7"/>
        <v>0</v>
      </c>
      <c r="P27" s="19">
        <f t="shared" si="7"/>
        <v>72528</v>
      </c>
    </row>
  </sheetData>
  <autoFilter ref="A3:P27"/>
  <mergeCells count="1">
    <mergeCell ref="A2:P2"/>
  </mergeCells>
  <conditionalFormatting sqref="B72:B1048576 B1 B3:B27">
    <cfRule type="duplicateValues" dxfId="9" priority="7"/>
  </conditionalFormatting>
  <conditionalFormatting sqref="B72:B1048576">
    <cfRule type="duplicateValues" dxfId="8" priority="6"/>
  </conditionalFormatting>
  <conditionalFormatting sqref="B17:B26">
    <cfRule type="duplicateValues" dxfId="7" priority="118"/>
    <cfRule type="duplicateValues" dxfId="6" priority="119"/>
  </conditionalFormatting>
  <conditionalFormatting sqref="B15:B16">
    <cfRule type="duplicateValues" dxfId="5" priority="133"/>
    <cfRule type="duplicateValues" dxfId="4" priority="134"/>
  </conditionalFormatting>
  <conditionalFormatting sqref="B13:B14">
    <cfRule type="duplicateValues" dxfId="3" priority="136"/>
  </conditionalFormatting>
  <conditionalFormatting sqref="B10:B12">
    <cfRule type="duplicateValues" dxfId="2" priority="146"/>
  </conditionalFormatting>
  <pageMargins left="0.70866141732283472" right="0.70866141732283472" top="0" bottom="0" header="0" footer="0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showGridLines="0" topLeftCell="A2" workbookViewId="0">
      <selection activeCell="B2" sqref="B2:I2"/>
    </sheetView>
  </sheetViews>
  <sheetFormatPr defaultRowHeight="14.5"/>
  <cols>
    <col min="1" max="1" width="8.7265625" style="96"/>
    <col min="2" max="2" width="8.7265625" style="1"/>
    <col min="3" max="3" width="7.08984375" style="1" bestFit="1" customWidth="1"/>
    <col min="4" max="4" width="24.6328125" style="1" bestFit="1" customWidth="1"/>
    <col min="5" max="5" width="9.08984375" style="1" bestFit="1" customWidth="1"/>
    <col min="6" max="6" width="8.36328125" style="1" bestFit="1" customWidth="1"/>
    <col min="7" max="7" width="8.7265625" style="96" customWidth="1"/>
    <col min="8" max="8" width="8.90625" style="1" customWidth="1"/>
    <col min="9" max="9" width="8.90625" style="96" customWidth="1"/>
    <col min="10" max="16384" width="8.7265625" style="1"/>
  </cols>
  <sheetData>
    <row r="1" spans="2:9" ht="15" thickBot="1"/>
    <row r="2" spans="2:9" ht="23.5">
      <c r="B2" s="168" t="s">
        <v>118</v>
      </c>
      <c r="C2" s="169"/>
      <c r="D2" s="169"/>
      <c r="E2" s="169"/>
      <c r="F2" s="169"/>
      <c r="G2" s="169"/>
      <c r="H2" s="169"/>
      <c r="I2" s="170"/>
    </row>
    <row r="3" spans="2:9" ht="55.5">
      <c r="B3" s="46" t="s">
        <v>81</v>
      </c>
      <c r="C3" s="47" t="s">
        <v>83</v>
      </c>
      <c r="D3" s="47" t="s">
        <v>0</v>
      </c>
      <c r="E3" s="47" t="s">
        <v>82</v>
      </c>
      <c r="F3" s="47" t="s">
        <v>84</v>
      </c>
      <c r="G3" s="97" t="s">
        <v>117</v>
      </c>
      <c r="H3" s="97" t="s">
        <v>85</v>
      </c>
      <c r="I3" s="48" t="s">
        <v>119</v>
      </c>
    </row>
    <row r="4" spans="2:9" ht="18.5">
      <c r="B4" s="50">
        <v>1</v>
      </c>
      <c r="C4" s="49" t="s">
        <v>45</v>
      </c>
      <c r="D4" s="49" t="s">
        <v>2</v>
      </c>
      <c r="E4" s="49" t="s">
        <v>3</v>
      </c>
      <c r="F4" s="49">
        <v>5</v>
      </c>
      <c r="G4" s="98">
        <f>F4*50</f>
        <v>250</v>
      </c>
      <c r="H4" s="98">
        <f>F4*30</f>
        <v>150</v>
      </c>
      <c r="I4" s="51">
        <f>G4+H4</f>
        <v>400</v>
      </c>
    </row>
    <row r="5" spans="2:9" ht="18.5">
      <c r="B5" s="50">
        <f>B4+1</f>
        <v>2</v>
      </c>
      <c r="C5" s="49" t="s">
        <v>46</v>
      </c>
      <c r="D5" s="49" t="s">
        <v>4</v>
      </c>
      <c r="E5" s="49" t="s">
        <v>5</v>
      </c>
      <c r="F5" s="49">
        <v>5</v>
      </c>
      <c r="G5" s="98">
        <f t="shared" ref="G5:G26" si="0">F5*50</f>
        <v>250</v>
      </c>
      <c r="H5" s="98">
        <f t="shared" ref="H5:H26" si="1">F5*30</f>
        <v>150</v>
      </c>
      <c r="I5" s="51">
        <f t="shared" ref="I5:I26" si="2">G5+H5</f>
        <v>400</v>
      </c>
    </row>
    <row r="6" spans="2:9" ht="18.5">
      <c r="B6" s="50">
        <f t="shared" ref="B6:B26" si="3">B5+1</f>
        <v>3</v>
      </c>
      <c r="C6" s="49" t="s">
        <v>47</v>
      </c>
      <c r="D6" s="49" t="s">
        <v>6</v>
      </c>
      <c r="E6" s="49" t="s">
        <v>3</v>
      </c>
      <c r="F6" s="49">
        <v>5</v>
      </c>
      <c r="G6" s="98">
        <f t="shared" si="0"/>
        <v>250</v>
      </c>
      <c r="H6" s="98">
        <f t="shared" si="1"/>
        <v>150</v>
      </c>
      <c r="I6" s="51">
        <f t="shared" si="2"/>
        <v>400</v>
      </c>
    </row>
    <row r="7" spans="2:9" ht="18.5">
      <c r="B7" s="50">
        <f t="shared" si="3"/>
        <v>4</v>
      </c>
      <c r="C7" s="49" t="s">
        <v>48</v>
      </c>
      <c r="D7" s="49" t="s">
        <v>7</v>
      </c>
      <c r="E7" s="49" t="s">
        <v>3</v>
      </c>
      <c r="F7" s="49">
        <v>5</v>
      </c>
      <c r="G7" s="98">
        <f t="shared" si="0"/>
        <v>250</v>
      </c>
      <c r="H7" s="98">
        <f t="shared" si="1"/>
        <v>150</v>
      </c>
      <c r="I7" s="51">
        <f t="shared" si="2"/>
        <v>400</v>
      </c>
    </row>
    <row r="8" spans="2:9" ht="18.5">
      <c r="B8" s="50">
        <f t="shared" si="3"/>
        <v>5</v>
      </c>
      <c r="C8" s="49" t="s">
        <v>49</v>
      </c>
      <c r="D8" s="49" t="s">
        <v>8</v>
      </c>
      <c r="E8" s="49" t="s">
        <v>5</v>
      </c>
      <c r="F8" s="49">
        <v>5</v>
      </c>
      <c r="G8" s="98">
        <f t="shared" si="0"/>
        <v>250</v>
      </c>
      <c r="H8" s="98">
        <f t="shared" si="1"/>
        <v>150</v>
      </c>
      <c r="I8" s="51">
        <f t="shared" si="2"/>
        <v>400</v>
      </c>
    </row>
    <row r="9" spans="2:9" ht="18.5">
      <c r="B9" s="50">
        <f t="shared" si="3"/>
        <v>6</v>
      </c>
      <c r="C9" s="49" t="s">
        <v>50</v>
      </c>
      <c r="D9" s="49" t="s">
        <v>9</v>
      </c>
      <c r="E9" s="49" t="s">
        <v>5</v>
      </c>
      <c r="F9" s="49">
        <v>5</v>
      </c>
      <c r="G9" s="98">
        <f t="shared" si="0"/>
        <v>250</v>
      </c>
      <c r="H9" s="98">
        <f t="shared" si="1"/>
        <v>150</v>
      </c>
      <c r="I9" s="51">
        <f t="shared" si="2"/>
        <v>400</v>
      </c>
    </row>
    <row r="10" spans="2:9" ht="18.5">
      <c r="B10" s="50">
        <f t="shared" si="3"/>
        <v>7</v>
      </c>
      <c r="C10" s="49" t="s">
        <v>51</v>
      </c>
      <c r="D10" s="49" t="s">
        <v>10</v>
      </c>
      <c r="E10" s="49" t="s">
        <v>3</v>
      </c>
      <c r="F10" s="49">
        <v>5</v>
      </c>
      <c r="G10" s="98">
        <f t="shared" si="0"/>
        <v>250</v>
      </c>
      <c r="H10" s="98">
        <f t="shared" si="1"/>
        <v>150</v>
      </c>
      <c r="I10" s="51">
        <f t="shared" si="2"/>
        <v>400</v>
      </c>
    </row>
    <row r="11" spans="2:9" ht="18.5">
      <c r="B11" s="50">
        <f t="shared" si="3"/>
        <v>8</v>
      </c>
      <c r="C11" s="49" t="s">
        <v>52</v>
      </c>
      <c r="D11" s="49" t="s">
        <v>11</v>
      </c>
      <c r="E11" s="49" t="s">
        <v>3</v>
      </c>
      <c r="F11" s="49">
        <v>5</v>
      </c>
      <c r="G11" s="98">
        <f t="shared" si="0"/>
        <v>250</v>
      </c>
      <c r="H11" s="98">
        <f t="shared" si="1"/>
        <v>150</v>
      </c>
      <c r="I11" s="51">
        <f t="shared" si="2"/>
        <v>400</v>
      </c>
    </row>
    <row r="12" spans="2:9" ht="18.5">
      <c r="B12" s="50">
        <f t="shared" si="3"/>
        <v>9</v>
      </c>
      <c r="C12" s="49" t="s">
        <v>53</v>
      </c>
      <c r="D12" s="49" t="s">
        <v>12</v>
      </c>
      <c r="E12" s="49" t="s">
        <v>3</v>
      </c>
      <c r="F12" s="49">
        <v>5</v>
      </c>
      <c r="G12" s="98">
        <f t="shared" si="0"/>
        <v>250</v>
      </c>
      <c r="H12" s="98">
        <f t="shared" si="1"/>
        <v>150</v>
      </c>
      <c r="I12" s="51">
        <f t="shared" si="2"/>
        <v>400</v>
      </c>
    </row>
    <row r="13" spans="2:9" ht="18.5">
      <c r="B13" s="50">
        <f t="shared" si="3"/>
        <v>10</v>
      </c>
      <c r="C13" s="49" t="s">
        <v>54</v>
      </c>
      <c r="D13" s="49" t="s">
        <v>13</v>
      </c>
      <c r="E13" s="49" t="s">
        <v>3</v>
      </c>
      <c r="F13" s="49">
        <v>5</v>
      </c>
      <c r="G13" s="98">
        <f t="shared" si="0"/>
        <v>250</v>
      </c>
      <c r="H13" s="98">
        <f t="shared" si="1"/>
        <v>150</v>
      </c>
      <c r="I13" s="51">
        <f t="shared" si="2"/>
        <v>400</v>
      </c>
    </row>
    <row r="14" spans="2:9" ht="18.5">
      <c r="B14" s="50">
        <f t="shared" si="3"/>
        <v>11</v>
      </c>
      <c r="C14" s="49" t="s">
        <v>55</v>
      </c>
      <c r="D14" s="49" t="s">
        <v>14</v>
      </c>
      <c r="E14" s="49" t="s">
        <v>5</v>
      </c>
      <c r="F14" s="49">
        <v>5</v>
      </c>
      <c r="G14" s="98">
        <f t="shared" si="0"/>
        <v>250</v>
      </c>
      <c r="H14" s="98">
        <f t="shared" si="1"/>
        <v>150</v>
      </c>
      <c r="I14" s="51">
        <f t="shared" si="2"/>
        <v>400</v>
      </c>
    </row>
    <row r="15" spans="2:9" ht="18.5">
      <c r="B15" s="50">
        <f t="shared" si="3"/>
        <v>12</v>
      </c>
      <c r="C15" s="49" t="s">
        <v>56</v>
      </c>
      <c r="D15" s="49" t="s">
        <v>15</v>
      </c>
      <c r="E15" s="49" t="s">
        <v>16</v>
      </c>
      <c r="F15" s="49">
        <v>5</v>
      </c>
      <c r="G15" s="98">
        <f t="shared" si="0"/>
        <v>250</v>
      </c>
      <c r="H15" s="98">
        <f t="shared" si="1"/>
        <v>150</v>
      </c>
      <c r="I15" s="51">
        <f t="shared" si="2"/>
        <v>400</v>
      </c>
    </row>
    <row r="16" spans="2:9" ht="18.5">
      <c r="B16" s="50">
        <f t="shared" si="3"/>
        <v>13</v>
      </c>
      <c r="C16" s="49" t="s">
        <v>57</v>
      </c>
      <c r="D16" s="49" t="s">
        <v>17</v>
      </c>
      <c r="E16" s="49" t="s">
        <v>16</v>
      </c>
      <c r="F16" s="49">
        <v>4</v>
      </c>
      <c r="G16" s="98">
        <f t="shared" si="0"/>
        <v>200</v>
      </c>
      <c r="H16" s="98">
        <f t="shared" si="1"/>
        <v>120</v>
      </c>
      <c r="I16" s="51">
        <f t="shared" si="2"/>
        <v>320</v>
      </c>
    </row>
    <row r="17" spans="2:9" ht="18.5">
      <c r="B17" s="50">
        <f t="shared" si="3"/>
        <v>14</v>
      </c>
      <c r="C17" s="49" t="s">
        <v>58</v>
      </c>
      <c r="D17" s="49" t="s">
        <v>18</v>
      </c>
      <c r="E17" s="49" t="s">
        <v>16</v>
      </c>
      <c r="F17" s="49">
        <v>5</v>
      </c>
      <c r="G17" s="98">
        <f t="shared" si="0"/>
        <v>250</v>
      </c>
      <c r="H17" s="98">
        <f t="shared" si="1"/>
        <v>150</v>
      </c>
      <c r="I17" s="51">
        <f t="shared" si="2"/>
        <v>400</v>
      </c>
    </row>
    <row r="18" spans="2:9" ht="18.5">
      <c r="B18" s="50">
        <f t="shared" si="3"/>
        <v>15</v>
      </c>
      <c r="C18" s="49" t="s">
        <v>59</v>
      </c>
      <c r="D18" s="49" t="s">
        <v>19</v>
      </c>
      <c r="E18" s="49" t="s">
        <v>20</v>
      </c>
      <c r="F18" s="49">
        <v>5</v>
      </c>
      <c r="G18" s="98">
        <f t="shared" si="0"/>
        <v>250</v>
      </c>
      <c r="H18" s="98">
        <f t="shared" si="1"/>
        <v>150</v>
      </c>
      <c r="I18" s="51">
        <f t="shared" si="2"/>
        <v>400</v>
      </c>
    </row>
    <row r="19" spans="2:9" ht="18.5">
      <c r="B19" s="50">
        <f t="shared" si="3"/>
        <v>16</v>
      </c>
      <c r="C19" s="49" t="s">
        <v>60</v>
      </c>
      <c r="D19" s="49" t="s">
        <v>21</v>
      </c>
      <c r="E19" s="49" t="s">
        <v>16</v>
      </c>
      <c r="F19" s="49">
        <v>5</v>
      </c>
      <c r="G19" s="98">
        <f t="shared" si="0"/>
        <v>250</v>
      </c>
      <c r="H19" s="98">
        <f t="shared" si="1"/>
        <v>150</v>
      </c>
      <c r="I19" s="51">
        <f t="shared" si="2"/>
        <v>400</v>
      </c>
    </row>
    <row r="20" spans="2:9" ht="18.5">
      <c r="B20" s="50">
        <f t="shared" si="3"/>
        <v>17</v>
      </c>
      <c r="C20" s="49" t="s">
        <v>61</v>
      </c>
      <c r="D20" s="49" t="s">
        <v>22</v>
      </c>
      <c r="E20" s="49" t="s">
        <v>16</v>
      </c>
      <c r="F20" s="49">
        <v>5</v>
      </c>
      <c r="G20" s="98">
        <f t="shared" si="0"/>
        <v>250</v>
      </c>
      <c r="H20" s="98">
        <f t="shared" si="1"/>
        <v>150</v>
      </c>
      <c r="I20" s="51">
        <f t="shared" si="2"/>
        <v>400</v>
      </c>
    </row>
    <row r="21" spans="2:9" ht="18.5">
      <c r="B21" s="50">
        <f t="shared" si="3"/>
        <v>18</v>
      </c>
      <c r="C21" s="49" t="s">
        <v>62</v>
      </c>
      <c r="D21" s="49" t="s">
        <v>23</v>
      </c>
      <c r="E21" s="49" t="s">
        <v>20</v>
      </c>
      <c r="F21" s="49">
        <v>2</v>
      </c>
      <c r="G21" s="98">
        <f t="shared" si="0"/>
        <v>100</v>
      </c>
      <c r="H21" s="98">
        <f t="shared" si="1"/>
        <v>60</v>
      </c>
      <c r="I21" s="51">
        <f t="shared" si="2"/>
        <v>160</v>
      </c>
    </row>
    <row r="22" spans="2:9" ht="18.5">
      <c r="B22" s="50">
        <f t="shared" si="3"/>
        <v>19</v>
      </c>
      <c r="C22" s="49" t="s">
        <v>63</v>
      </c>
      <c r="D22" s="49" t="s">
        <v>24</v>
      </c>
      <c r="E22" s="49" t="s">
        <v>5</v>
      </c>
      <c r="F22" s="49">
        <v>2</v>
      </c>
      <c r="G22" s="98">
        <f t="shared" si="0"/>
        <v>100</v>
      </c>
      <c r="H22" s="98">
        <f t="shared" si="1"/>
        <v>60</v>
      </c>
      <c r="I22" s="51">
        <f t="shared" si="2"/>
        <v>160</v>
      </c>
    </row>
    <row r="23" spans="2:9" ht="18.5">
      <c r="B23" s="50">
        <f t="shared" si="3"/>
        <v>20</v>
      </c>
      <c r="C23" s="49" t="s">
        <v>64</v>
      </c>
      <c r="D23" s="49" t="s">
        <v>25</v>
      </c>
      <c r="E23" s="49" t="s">
        <v>3</v>
      </c>
      <c r="F23" s="49">
        <v>2</v>
      </c>
      <c r="G23" s="98">
        <f t="shared" si="0"/>
        <v>100</v>
      </c>
      <c r="H23" s="98">
        <f t="shared" si="1"/>
        <v>60</v>
      </c>
      <c r="I23" s="51">
        <f t="shared" si="2"/>
        <v>160</v>
      </c>
    </row>
    <row r="24" spans="2:9" ht="18.5">
      <c r="B24" s="50">
        <f t="shared" si="3"/>
        <v>21</v>
      </c>
      <c r="C24" s="49" t="s">
        <v>65</v>
      </c>
      <c r="D24" s="49" t="s">
        <v>26</v>
      </c>
      <c r="E24" s="49" t="s">
        <v>3</v>
      </c>
      <c r="F24" s="49">
        <v>1</v>
      </c>
      <c r="G24" s="98">
        <f t="shared" si="0"/>
        <v>50</v>
      </c>
      <c r="H24" s="98">
        <f t="shared" si="1"/>
        <v>30</v>
      </c>
      <c r="I24" s="51">
        <f t="shared" si="2"/>
        <v>80</v>
      </c>
    </row>
    <row r="25" spans="2:9" ht="18.5">
      <c r="B25" s="50">
        <f t="shared" si="3"/>
        <v>22</v>
      </c>
      <c r="C25" s="49" t="s">
        <v>66</v>
      </c>
      <c r="D25" s="49" t="s">
        <v>27</v>
      </c>
      <c r="E25" s="49" t="s">
        <v>5</v>
      </c>
      <c r="F25" s="49">
        <v>1</v>
      </c>
      <c r="G25" s="98">
        <f t="shared" si="0"/>
        <v>50</v>
      </c>
      <c r="H25" s="98">
        <f t="shared" si="1"/>
        <v>30</v>
      </c>
      <c r="I25" s="51">
        <f t="shared" si="2"/>
        <v>80</v>
      </c>
    </row>
    <row r="26" spans="2:9" ht="19" thickBot="1">
      <c r="B26" s="52">
        <f t="shared" si="3"/>
        <v>23</v>
      </c>
      <c r="C26" s="53" t="s">
        <v>67</v>
      </c>
      <c r="D26" s="53" t="s">
        <v>28</v>
      </c>
      <c r="E26" s="53" t="s">
        <v>16</v>
      </c>
      <c r="F26" s="53">
        <v>1</v>
      </c>
      <c r="G26" s="101">
        <f t="shared" si="0"/>
        <v>50</v>
      </c>
      <c r="H26" s="101">
        <f t="shared" si="1"/>
        <v>30</v>
      </c>
      <c r="I26" s="102">
        <f t="shared" si="2"/>
        <v>80</v>
      </c>
    </row>
    <row r="27" spans="2:9" ht="18.5">
      <c r="F27" s="99">
        <f>SUM(F4:F26)</f>
        <v>93</v>
      </c>
      <c r="G27" s="99">
        <f>SUM(G4:G26)</f>
        <v>4650</v>
      </c>
      <c r="H27" s="100">
        <f>SUM(H4:H26)</f>
        <v>2790</v>
      </c>
      <c r="I27" s="99">
        <f>SUM(I4:I26)</f>
        <v>7440</v>
      </c>
    </row>
  </sheetData>
  <mergeCells count="1">
    <mergeCell ref="B2:I2"/>
  </mergeCells>
  <conditionalFormatting sqref="C3">
    <cfRule type="duplicateValues" dxfId="1" priority="2"/>
  </conditionalFormatting>
  <conditionalFormatting sqref="C3">
    <cfRule type="duplicateValues" dxfId="0" priority="1"/>
  </conditionalFormatting>
  <pageMargins left="0" right="0.19685039370078741" top="0" bottom="0" header="0" footer="0"/>
  <pageSetup paperSize="9" scale="10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</vt:lpstr>
      <vt:lpstr>Breakup</vt:lpstr>
      <vt:lpstr>Workings</vt:lpstr>
      <vt:lpstr>Allowance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2026-08-10T05:21:14Z</cp:lastPrinted>
  <dcterms:created xsi:type="dcterms:W3CDTF">2026-08-06T11:11:23Z</dcterms:created>
  <dcterms:modified xsi:type="dcterms:W3CDTF">2026-08-10T05:34:58Z</dcterms:modified>
</cp:coreProperties>
</file>