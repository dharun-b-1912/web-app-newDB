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/>
  </bookViews>
  <sheets>
    <sheet name="Master" sheetId="1" r:id="rId1"/>
    <sheet name="New Joinee" sheetId="2" r:id="rId2"/>
    <sheet name="Left" sheetId="3" r:id="rId3"/>
  </sheets>
  <externalReferences>
    <externalReference r:id="rId4"/>
    <externalReference r:id="rId5"/>
    <externalReference r:id="rId6"/>
  </externalReferences>
  <calcPr calcId="12451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7" i="2"/>
  <c r="A18" s="1"/>
  <c r="A19" s="1"/>
  <c r="A20" s="1"/>
  <c r="A21" s="1"/>
  <c r="A22" s="1"/>
  <c r="A23" s="1"/>
  <c r="A24" s="1"/>
  <c r="AS8" i="1" l="1"/>
  <c r="AS9"/>
  <c r="AS10"/>
  <c r="AS11"/>
  <c r="AS12"/>
  <c r="AT12" s="1"/>
  <c r="AS13"/>
  <c r="AT13" s="1"/>
  <c r="AS14"/>
  <c r="AT14" s="1"/>
  <c r="AS15"/>
  <c r="AT15" s="1"/>
  <c r="AS16"/>
  <c r="AT16" s="1"/>
  <c r="AS17"/>
  <c r="AT17" s="1"/>
  <c r="AS18"/>
  <c r="AT18" s="1"/>
  <c r="AS19"/>
  <c r="AT19" s="1"/>
  <c r="AS20"/>
  <c r="AS21"/>
  <c r="AS23"/>
  <c r="AS22"/>
  <c r="AS24"/>
  <c r="AS25"/>
  <c r="AS26"/>
  <c r="AS27"/>
  <c r="AS28"/>
  <c r="K28"/>
  <c r="A218" i="3"/>
  <c r="A219" s="1"/>
  <c r="A220" s="1"/>
  <c r="A221" s="1"/>
  <c r="K221"/>
  <c r="M221"/>
  <c r="AN221"/>
  <c r="AO221"/>
  <c r="AT221" s="1"/>
  <c r="AP221"/>
  <c r="AS221"/>
  <c r="AS219"/>
  <c r="AP219"/>
  <c r="AO219"/>
  <c r="AN219"/>
  <c r="AF219"/>
  <c r="M219"/>
  <c r="K219"/>
  <c r="K218"/>
  <c r="M218"/>
  <c r="AN218"/>
  <c r="AO218"/>
  <c r="AP218"/>
  <c r="AS218"/>
  <c r="AS24" i="2"/>
  <c r="AP24"/>
  <c r="AO24"/>
  <c r="AN24"/>
  <c r="M24"/>
  <c r="K24"/>
  <c r="AS23"/>
  <c r="AP23"/>
  <c r="AO23"/>
  <c r="AN23"/>
  <c r="AF23"/>
  <c r="M23"/>
  <c r="K23"/>
  <c r="A4" i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3" s="1"/>
  <c r="A22" s="1"/>
  <c r="A24" s="1"/>
  <c r="A25" s="1"/>
  <c r="A26" s="1"/>
  <c r="A27" s="1"/>
  <c r="A28" s="1"/>
  <c r="K220" i="3"/>
  <c r="M220"/>
  <c r="AF220"/>
  <c r="AN220"/>
  <c r="AO220"/>
  <c r="AP220"/>
  <c r="AS220"/>
  <c r="AP28" i="1"/>
  <c r="AO28"/>
  <c r="AN28"/>
  <c r="AT28" s="1"/>
  <c r="M28"/>
  <c r="AP27"/>
  <c r="AO27"/>
  <c r="AN27"/>
  <c r="AT27" s="1"/>
  <c r="M27"/>
  <c r="K27"/>
  <c r="AT219" i="3" l="1"/>
  <c r="AT218"/>
  <c r="AT220"/>
  <c r="AT23" i="2"/>
  <c r="AT24"/>
  <c r="AS217" i="3" l="1"/>
  <c r="AP217"/>
  <c r="AO217"/>
  <c r="AN217"/>
  <c r="AT217" s="1"/>
  <c r="AF217"/>
  <c r="M217"/>
  <c r="K217"/>
  <c r="AT216"/>
  <c r="M216"/>
  <c r="K216"/>
  <c r="AT215"/>
  <c r="M215"/>
  <c r="K215"/>
  <c r="AT214"/>
  <c r="M214"/>
  <c r="K214"/>
  <c r="AT213"/>
  <c r="M213"/>
  <c r="K213"/>
  <c r="AT212"/>
  <c r="M212"/>
  <c r="K212"/>
  <c r="AS211"/>
  <c r="AP211"/>
  <c r="AO211"/>
  <c r="AN211"/>
  <c r="M211"/>
  <c r="K211"/>
  <c r="AT210"/>
  <c r="M210"/>
  <c r="K210"/>
  <c r="AS209"/>
  <c r="AP209"/>
  <c r="AO209"/>
  <c r="AN209"/>
  <c r="AT209" s="1"/>
  <c r="M209"/>
  <c r="K209"/>
  <c r="AS208"/>
  <c r="AP208"/>
  <c r="AO208"/>
  <c r="AN208"/>
  <c r="AT208" s="1"/>
  <c r="M208"/>
  <c r="K208"/>
  <c r="AT207"/>
  <c r="M207"/>
  <c r="K207"/>
  <c r="AT206"/>
  <c r="M206"/>
  <c r="K206"/>
  <c r="AT205"/>
  <c r="M205"/>
  <c r="K205"/>
  <c r="AT204"/>
  <c r="M204"/>
  <c r="K204"/>
  <c r="AT203"/>
  <c r="M203"/>
  <c r="K203"/>
  <c r="AS202"/>
  <c r="AP202"/>
  <c r="AO202"/>
  <c r="AN202"/>
  <c r="M202"/>
  <c r="K202"/>
  <c r="AS201"/>
  <c r="AP201"/>
  <c r="AO201"/>
  <c r="AN201"/>
  <c r="M201"/>
  <c r="K201"/>
  <c r="AS200"/>
  <c r="AP200"/>
  <c r="AO200"/>
  <c r="AN200"/>
  <c r="M200"/>
  <c r="K200"/>
  <c r="AT199"/>
  <c r="AF199"/>
  <c r="M199"/>
  <c r="K199"/>
  <c r="AT198"/>
  <c r="AF198"/>
  <c r="M198"/>
  <c r="K198"/>
  <c r="AT197"/>
  <c r="AF197"/>
  <c r="M197"/>
  <c r="K197"/>
  <c r="AT196"/>
  <c r="AF196"/>
  <c r="M196"/>
  <c r="K196"/>
  <c r="AT195"/>
  <c r="AF195"/>
  <c r="M195"/>
  <c r="K195"/>
  <c r="AT194"/>
  <c r="AF194"/>
  <c r="M194"/>
  <c r="K194"/>
  <c r="AT193"/>
  <c r="M193"/>
  <c r="K193"/>
  <c r="AT192"/>
  <c r="M192"/>
  <c r="K192"/>
  <c r="AT191"/>
  <c r="M191"/>
  <c r="K191"/>
  <c r="AT190"/>
  <c r="AF190"/>
  <c r="M190"/>
  <c r="K190"/>
  <c r="AT189"/>
  <c r="AF189"/>
  <c r="M189"/>
  <c r="K189"/>
  <c r="AT188"/>
  <c r="M188"/>
  <c r="K188"/>
  <c r="AT187"/>
  <c r="AF187"/>
  <c r="M187"/>
  <c r="K187"/>
  <c r="AT186"/>
  <c r="M186"/>
  <c r="K186"/>
  <c r="AT185"/>
  <c r="AF185"/>
  <c r="M185"/>
  <c r="K185"/>
  <c r="AT184"/>
  <c r="AF184"/>
  <c r="M184"/>
  <c r="K184"/>
  <c r="AT183"/>
  <c r="AF183"/>
  <c r="M183"/>
  <c r="K183"/>
  <c r="AT182"/>
  <c r="AF182"/>
  <c r="M182"/>
  <c r="K182"/>
  <c r="AT181"/>
  <c r="AF181"/>
  <c r="M181"/>
  <c r="K181"/>
  <c r="AT180"/>
  <c r="AF180"/>
  <c r="M180"/>
  <c r="K180"/>
  <c r="AT179"/>
  <c r="AF179"/>
  <c r="M179"/>
  <c r="K179"/>
  <c r="AT178"/>
  <c r="AF178"/>
  <c r="M178"/>
  <c r="K178"/>
  <c r="AT177"/>
  <c r="AF177"/>
  <c r="M177"/>
  <c r="K177"/>
  <c r="AT176"/>
  <c r="AF176"/>
  <c r="M176"/>
  <c r="K176"/>
  <c r="AT175"/>
  <c r="AF175"/>
  <c r="M175"/>
  <c r="K175"/>
  <c r="AT174"/>
  <c r="AF174"/>
  <c r="M174"/>
  <c r="K174"/>
  <c r="AT173"/>
  <c r="AF173"/>
  <c r="M173"/>
  <c r="K173"/>
  <c r="AT172"/>
  <c r="AF172"/>
  <c r="M172"/>
  <c r="K172"/>
  <c r="AT171"/>
  <c r="M171"/>
  <c r="K171"/>
  <c r="AT170"/>
  <c r="M170"/>
  <c r="K170"/>
  <c r="AT169"/>
  <c r="M169"/>
  <c r="K169"/>
  <c r="AT168"/>
  <c r="M168"/>
  <c r="K168"/>
  <c r="AT167"/>
  <c r="M167"/>
  <c r="K167"/>
  <c r="AT166"/>
  <c r="M166"/>
  <c r="K166"/>
  <c r="AT165"/>
  <c r="M165"/>
  <c r="K165"/>
  <c r="AT164"/>
  <c r="M164"/>
  <c r="K164"/>
  <c r="AT163"/>
  <c r="M163"/>
  <c r="K163"/>
  <c r="AT162"/>
  <c r="M162"/>
  <c r="K162"/>
  <c r="AT161"/>
  <c r="M161"/>
  <c r="K161"/>
  <c r="AT160"/>
  <c r="M160"/>
  <c r="K160"/>
  <c r="AT159"/>
  <c r="M159"/>
  <c r="K159"/>
  <c r="AT158"/>
  <c r="M158"/>
  <c r="K158"/>
  <c r="AT157"/>
  <c r="M157"/>
  <c r="K157"/>
  <c r="AT156"/>
  <c r="M156"/>
  <c r="K156"/>
  <c r="AT155"/>
  <c r="M155"/>
  <c r="K155"/>
  <c r="AT154"/>
  <c r="M154"/>
  <c r="K154"/>
  <c r="AT153"/>
  <c r="M153"/>
  <c r="K153"/>
  <c r="AT152"/>
  <c r="M152"/>
  <c r="K152"/>
  <c r="AT151"/>
  <c r="M151"/>
  <c r="K151"/>
  <c r="AT150"/>
  <c r="M150"/>
  <c r="K150"/>
  <c r="AT149"/>
  <c r="M149"/>
  <c r="K149"/>
  <c r="AT148"/>
  <c r="M148"/>
  <c r="K148"/>
  <c r="AT147"/>
  <c r="M147"/>
  <c r="K147"/>
  <c r="AT146"/>
  <c r="M146"/>
  <c r="K146"/>
  <c r="AT145"/>
  <c r="M145"/>
  <c r="K145"/>
  <c r="AT144"/>
  <c r="M144"/>
  <c r="K144"/>
  <c r="AT143"/>
  <c r="M143"/>
  <c r="K143"/>
  <c r="AT142"/>
  <c r="M142"/>
  <c r="K142"/>
  <c r="AT141"/>
  <c r="M141"/>
  <c r="K141"/>
  <c r="AT140"/>
  <c r="M140"/>
  <c r="K140"/>
  <c r="AT139"/>
  <c r="M139"/>
  <c r="K139"/>
  <c r="AT138"/>
  <c r="M138"/>
  <c r="K138"/>
  <c r="AT137"/>
  <c r="M137"/>
  <c r="K137"/>
  <c r="AT136"/>
  <c r="M136"/>
  <c r="K136"/>
  <c r="AT135"/>
  <c r="M135"/>
  <c r="K135"/>
  <c r="AT134"/>
  <c r="M134"/>
  <c r="K134"/>
  <c r="AT133"/>
  <c r="M133"/>
  <c r="K133"/>
  <c r="AT132"/>
  <c r="M132"/>
  <c r="K132"/>
  <c r="AT131"/>
  <c r="M131"/>
  <c r="K131"/>
  <c r="AT130"/>
  <c r="M130"/>
  <c r="K130"/>
  <c r="AT129"/>
  <c r="M129"/>
  <c r="K129"/>
  <c r="AT128"/>
  <c r="M128"/>
  <c r="K128"/>
  <c r="AT127"/>
  <c r="M127"/>
  <c r="K127"/>
  <c r="AT126"/>
  <c r="M126"/>
  <c r="K126"/>
  <c r="AT125"/>
  <c r="M125"/>
  <c r="K125"/>
  <c r="AT124"/>
  <c r="M124"/>
  <c r="K124"/>
  <c r="AT123"/>
  <c r="M123"/>
  <c r="K123"/>
  <c r="AT122"/>
  <c r="M122"/>
  <c r="K122"/>
  <c r="AT121"/>
  <c r="M121"/>
  <c r="K121"/>
  <c r="AT120"/>
  <c r="M120"/>
  <c r="K120"/>
  <c r="AT119"/>
  <c r="M119"/>
  <c r="K119"/>
  <c r="AT118"/>
  <c r="M118"/>
  <c r="K118"/>
  <c r="AT117"/>
  <c r="M117"/>
  <c r="K117"/>
  <c r="AT116"/>
  <c r="M116"/>
  <c r="K116"/>
  <c r="AT115"/>
  <c r="M115"/>
  <c r="K115"/>
  <c r="AT114"/>
  <c r="M114"/>
  <c r="K114"/>
  <c r="AT113"/>
  <c r="M113"/>
  <c r="K113"/>
  <c r="AT112"/>
  <c r="M112"/>
  <c r="K112"/>
  <c r="AT111"/>
  <c r="M111"/>
  <c r="K111"/>
  <c r="AT110"/>
  <c r="M110"/>
  <c r="K110"/>
  <c r="AT109"/>
  <c r="M109"/>
  <c r="K109"/>
  <c r="AT108"/>
  <c r="M108"/>
  <c r="K108"/>
  <c r="AT107"/>
  <c r="M107"/>
  <c r="K107"/>
  <c r="AT106"/>
  <c r="M106"/>
  <c r="K106"/>
  <c r="AT105"/>
  <c r="M105"/>
  <c r="K105"/>
  <c r="AT104"/>
  <c r="M104"/>
  <c r="K104"/>
  <c r="AT103"/>
  <c r="M103"/>
  <c r="K103"/>
  <c r="AT102"/>
  <c r="M102"/>
  <c r="K102"/>
  <c r="AT101"/>
  <c r="M101"/>
  <c r="K101"/>
  <c r="AT100"/>
  <c r="M100"/>
  <c r="K100"/>
  <c r="AT99"/>
  <c r="M99"/>
  <c r="K99"/>
  <c r="AT98"/>
  <c r="M98"/>
  <c r="K98"/>
  <c r="AT97"/>
  <c r="M97"/>
  <c r="K97"/>
  <c r="AT96"/>
  <c r="M96"/>
  <c r="K96"/>
  <c r="AT95"/>
  <c r="M95"/>
  <c r="K95"/>
  <c r="AT94"/>
  <c r="M94"/>
  <c r="K94"/>
  <c r="AT93"/>
  <c r="M93"/>
  <c r="K93"/>
  <c r="AT92"/>
  <c r="M92"/>
  <c r="K92"/>
  <c r="AT91"/>
  <c r="M91"/>
  <c r="K91"/>
  <c r="AT90"/>
  <c r="M90"/>
  <c r="K90"/>
  <c r="AT89"/>
  <c r="M89"/>
  <c r="K89"/>
  <c r="AT88"/>
  <c r="M88"/>
  <c r="K88"/>
  <c r="AT87"/>
  <c r="M87"/>
  <c r="K87"/>
  <c r="AT86"/>
  <c r="M86"/>
  <c r="K86"/>
  <c r="AT85"/>
  <c r="M85"/>
  <c r="K85"/>
  <c r="AT84"/>
  <c r="M84"/>
  <c r="K84"/>
  <c r="AT83"/>
  <c r="M83"/>
  <c r="K83"/>
  <c r="AT82"/>
  <c r="M82"/>
  <c r="K82"/>
  <c r="AT81"/>
  <c r="M81"/>
  <c r="K81"/>
  <c r="AT80"/>
  <c r="M80"/>
  <c r="K80"/>
  <c r="AT79"/>
  <c r="M79"/>
  <c r="K79"/>
  <c r="AT78"/>
  <c r="M78"/>
  <c r="K78"/>
  <c r="AT77"/>
  <c r="M77"/>
  <c r="K77"/>
  <c r="AT76"/>
  <c r="M76"/>
  <c r="K76"/>
  <c r="AT75"/>
  <c r="M75"/>
  <c r="K75"/>
  <c r="AT74"/>
  <c r="M74"/>
  <c r="K74"/>
  <c r="AT73"/>
  <c r="M73"/>
  <c r="K73"/>
  <c r="AT72"/>
  <c r="M72"/>
  <c r="K72"/>
  <c r="AT71"/>
  <c r="M71"/>
  <c r="K71"/>
  <c r="AT70"/>
  <c r="M70"/>
  <c r="K70"/>
  <c r="AT69"/>
  <c r="M69"/>
  <c r="K69"/>
  <c r="AT68"/>
  <c r="M68"/>
  <c r="K68"/>
  <c r="AT67"/>
  <c r="M67"/>
  <c r="K67"/>
  <c r="AT66"/>
  <c r="M66"/>
  <c r="K66"/>
  <c r="AT65"/>
  <c r="M65"/>
  <c r="K65"/>
  <c r="AT64"/>
  <c r="M64"/>
  <c r="K64"/>
  <c r="AT63"/>
  <c r="M63"/>
  <c r="K63"/>
  <c r="AT62"/>
  <c r="M62"/>
  <c r="K62"/>
  <c r="AT61"/>
  <c r="M61"/>
  <c r="K61"/>
  <c r="AT60"/>
  <c r="M60"/>
  <c r="K60"/>
  <c r="AT59"/>
  <c r="M59"/>
  <c r="K59"/>
  <c r="AT58"/>
  <c r="M58"/>
  <c r="K58"/>
  <c r="AT57"/>
  <c r="M57"/>
  <c r="K57"/>
  <c r="AT56"/>
  <c r="M56"/>
  <c r="K56"/>
  <c r="AT55"/>
  <c r="M55"/>
  <c r="K55"/>
  <c r="AT54"/>
  <c r="M54"/>
  <c r="K54"/>
  <c r="AT53"/>
  <c r="M53"/>
  <c r="K53"/>
  <c r="AT52"/>
  <c r="M52"/>
  <c r="K52"/>
  <c r="AT51"/>
  <c r="M51"/>
  <c r="K51"/>
  <c r="AT50"/>
  <c r="M50"/>
  <c r="K50"/>
  <c r="AT49"/>
  <c r="M49"/>
  <c r="K49"/>
  <c r="AT48"/>
  <c r="M48"/>
  <c r="K48"/>
  <c r="AT47"/>
  <c r="M47"/>
  <c r="K47"/>
  <c r="AT46"/>
  <c r="M46"/>
  <c r="K46"/>
  <c r="AT45"/>
  <c r="M45"/>
  <c r="K45"/>
  <c r="AT44"/>
  <c r="M44"/>
  <c r="K44"/>
  <c r="AT43"/>
  <c r="M43"/>
  <c r="K43"/>
  <c r="AT42"/>
  <c r="M42"/>
  <c r="K42"/>
  <c r="AT41"/>
  <c r="M41"/>
  <c r="K41"/>
  <c r="AT40"/>
  <c r="M40"/>
  <c r="K40"/>
  <c r="AT39"/>
  <c r="M39"/>
  <c r="K39"/>
  <c r="AT38"/>
  <c r="M38"/>
  <c r="K38"/>
  <c r="AT37"/>
  <c r="M37"/>
  <c r="K37"/>
  <c r="AT36"/>
  <c r="M36"/>
  <c r="K36"/>
  <c r="AT35"/>
  <c r="M35"/>
  <c r="K35"/>
  <c r="AT34"/>
  <c r="M34"/>
  <c r="K34"/>
  <c r="AT33"/>
  <c r="M33"/>
  <c r="K33"/>
  <c r="AT32"/>
  <c r="M32"/>
  <c r="K32"/>
  <c r="AT31"/>
  <c r="M31"/>
  <c r="K31"/>
  <c r="AT30"/>
  <c r="M30"/>
  <c r="K30"/>
  <c r="AT29"/>
  <c r="M29"/>
  <c r="K29"/>
  <c r="AT28"/>
  <c r="M28"/>
  <c r="K28"/>
  <c r="AT27"/>
  <c r="M27"/>
  <c r="K27"/>
  <c r="AT26"/>
  <c r="M26"/>
  <c r="K26"/>
  <c r="AT25"/>
  <c r="M25"/>
  <c r="K25"/>
  <c r="AT24"/>
  <c r="M24"/>
  <c r="K24"/>
  <c r="AT23"/>
  <c r="M23"/>
  <c r="K23"/>
  <c r="AT22"/>
  <c r="M22"/>
  <c r="K22"/>
  <c r="AT21"/>
  <c r="M21"/>
  <c r="K21"/>
  <c r="AT20"/>
  <c r="M20"/>
  <c r="K20"/>
  <c r="AT19"/>
  <c r="AC19"/>
  <c r="M19"/>
  <c r="K19"/>
  <c r="AT18"/>
  <c r="M18"/>
  <c r="K18"/>
  <c r="AT17"/>
  <c r="AC17"/>
  <c r="M17"/>
  <c r="K17"/>
  <c r="AT16"/>
  <c r="M16"/>
  <c r="K16"/>
  <c r="AT15"/>
  <c r="AC15"/>
  <c r="M15"/>
  <c r="K15"/>
  <c r="AT14"/>
  <c r="M14"/>
  <c r="K14"/>
  <c r="AT13"/>
  <c r="M13"/>
  <c r="K13"/>
  <c r="AT12"/>
  <c r="M12"/>
  <c r="K12"/>
  <c r="AT11"/>
  <c r="M11"/>
  <c r="K11"/>
  <c r="AT10"/>
  <c r="M10"/>
  <c r="K10"/>
  <c r="AT9"/>
  <c r="M9"/>
  <c r="K9"/>
  <c r="AT8"/>
  <c r="M8"/>
  <c r="K8"/>
  <c r="AT7"/>
  <c r="M7"/>
  <c r="K7"/>
  <c r="AT6"/>
  <c r="M6"/>
  <c r="K6"/>
  <c r="AT5"/>
  <c r="M5"/>
  <c r="K5"/>
  <c r="AT4"/>
  <c r="M4"/>
  <c r="K4"/>
  <c r="A4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T3"/>
  <c r="M3"/>
  <c r="K3"/>
  <c r="AS22" i="2"/>
  <c r="AP22"/>
  <c r="AO22"/>
  <c r="AN22"/>
  <c r="M22"/>
  <c r="K22"/>
  <c r="AS21"/>
  <c r="AP21"/>
  <c r="AO21"/>
  <c r="AN21"/>
  <c r="M21"/>
  <c r="K21"/>
  <c r="AS20"/>
  <c r="AP20"/>
  <c r="AO20"/>
  <c r="AN20"/>
  <c r="M20"/>
  <c r="K20"/>
  <c r="AS19"/>
  <c r="AP19"/>
  <c r="AO19"/>
  <c r="AN19"/>
  <c r="M19"/>
  <c r="K19"/>
  <c r="AS18"/>
  <c r="AP18"/>
  <c r="AO18"/>
  <c r="AN18"/>
  <c r="M18"/>
  <c r="K18"/>
  <c r="AS17"/>
  <c r="AP17"/>
  <c r="AO17"/>
  <c r="AN17"/>
  <c r="M17"/>
  <c r="K17"/>
  <c r="AS16"/>
  <c r="AP16"/>
  <c r="AO16"/>
  <c r="AN16"/>
  <c r="M16"/>
  <c r="K16"/>
  <c r="AT15"/>
  <c r="M15"/>
  <c r="K15"/>
  <c r="AT14"/>
  <c r="M14"/>
  <c r="K14"/>
  <c r="AT13"/>
  <c r="M13"/>
  <c r="K13"/>
  <c r="AT12"/>
  <c r="M12"/>
  <c r="K12"/>
  <c r="AT11"/>
  <c r="M11"/>
  <c r="K11"/>
  <c r="AT10"/>
  <c r="M10"/>
  <c r="K10"/>
  <c r="AT9"/>
  <c r="M9"/>
  <c r="K9"/>
  <c r="AT8"/>
  <c r="M8"/>
  <c r="K8"/>
  <c r="AT7"/>
  <c r="M7"/>
  <c r="K7"/>
  <c r="AT6"/>
  <c r="M6"/>
  <c r="K6"/>
  <c r="AT5"/>
  <c r="M5"/>
  <c r="K5"/>
  <c r="AT4"/>
  <c r="M4"/>
  <c r="K4"/>
  <c r="A4"/>
  <c r="A5" s="1"/>
  <c r="A6" s="1"/>
  <c r="A7" s="1"/>
  <c r="A8" s="1"/>
  <c r="A9" s="1"/>
  <c r="A10" s="1"/>
  <c r="A11" s="1"/>
  <c r="A12" s="1"/>
  <c r="A13" s="1"/>
  <c r="A14" s="1"/>
  <c r="A15" s="1"/>
  <c r="A16" s="1"/>
  <c r="AT3"/>
  <c r="M3"/>
  <c r="K3"/>
  <c r="AP26" i="1"/>
  <c r="AO26"/>
  <c r="AN26"/>
  <c r="M26"/>
  <c r="K26"/>
  <c r="AP25"/>
  <c r="AO25"/>
  <c r="AN25"/>
  <c r="AT25" s="1"/>
  <c r="M25"/>
  <c r="K25"/>
  <c r="AP24"/>
  <c r="AO24"/>
  <c r="AN24"/>
  <c r="M24"/>
  <c r="K24"/>
  <c r="AP22"/>
  <c r="AO22"/>
  <c r="AN22"/>
  <c r="AT22" s="1"/>
  <c r="M22"/>
  <c r="K22"/>
  <c r="AP23"/>
  <c r="AO23"/>
  <c r="AN23"/>
  <c r="M23"/>
  <c r="K23"/>
  <c r="AP21"/>
  <c r="AO21"/>
  <c r="AN21"/>
  <c r="AT21" s="1"/>
  <c r="M21"/>
  <c r="K21"/>
  <c r="AP20"/>
  <c r="AO20"/>
  <c r="AN20"/>
  <c r="M20"/>
  <c r="K20"/>
  <c r="M19"/>
  <c r="K19"/>
  <c r="M18"/>
  <c r="K18"/>
  <c r="M17"/>
  <c r="K17"/>
  <c r="M16"/>
  <c r="K16"/>
  <c r="M15"/>
  <c r="K15"/>
  <c r="M14"/>
  <c r="K14"/>
  <c r="M13"/>
  <c r="K13"/>
  <c r="M12"/>
  <c r="K12"/>
  <c r="AP11"/>
  <c r="AO11"/>
  <c r="AN11"/>
  <c r="AT11" s="1"/>
  <c r="M11"/>
  <c r="K11"/>
  <c r="AP10"/>
  <c r="AO10"/>
  <c r="AN10"/>
  <c r="M10"/>
  <c r="K10"/>
  <c r="AP9"/>
  <c r="AO9"/>
  <c r="AN9"/>
  <c r="AT9" s="1"/>
  <c r="M9"/>
  <c r="K9"/>
  <c r="AP8"/>
  <c r="AO8"/>
  <c r="AN8"/>
  <c r="M8"/>
  <c r="K8"/>
  <c r="AS7"/>
  <c r="AP7"/>
  <c r="AO7"/>
  <c r="AN7"/>
  <c r="AF7"/>
  <c r="M7"/>
  <c r="K7"/>
  <c r="AS6"/>
  <c r="AP6"/>
  <c r="AO6"/>
  <c r="AN6"/>
  <c r="AT6" s="1"/>
  <c r="AF6"/>
  <c r="M6"/>
  <c r="K6"/>
  <c r="AS5"/>
  <c r="AP5"/>
  <c r="AO5"/>
  <c r="AN5"/>
  <c r="AF5"/>
  <c r="M5"/>
  <c r="K5"/>
  <c r="AS4"/>
  <c r="AP4"/>
  <c r="AO4"/>
  <c r="AN4"/>
  <c r="AT4" s="1"/>
  <c r="AF4"/>
  <c r="M4"/>
  <c r="K4"/>
  <c r="AS3"/>
  <c r="AP3"/>
  <c r="AO3"/>
  <c r="AN3"/>
  <c r="AF3"/>
  <c r="M3"/>
  <c r="K3"/>
  <c r="AT5" l="1"/>
  <c r="AT7"/>
  <c r="AT8"/>
  <c r="AT10"/>
  <c r="AT20"/>
  <c r="AT23"/>
  <c r="AT24"/>
  <c r="AT26"/>
  <c r="AT16" i="2"/>
  <c r="AT17"/>
  <c r="AT18"/>
  <c r="AT19"/>
  <c r="AT20"/>
  <c r="AT21"/>
  <c r="AT22"/>
  <c r="AT3" i="1"/>
  <c r="AT200" i="3"/>
  <c r="AT201"/>
  <c r="AT202"/>
  <c r="AT211"/>
</calcChain>
</file>

<file path=xl/sharedStrings.xml><?xml version="1.0" encoding="utf-8"?>
<sst xmlns="http://schemas.openxmlformats.org/spreadsheetml/2006/main" count="4922" uniqueCount="1791">
  <si>
    <t>HML EMPLOYEE MASTER DATA</t>
  </si>
  <si>
    <t xml:space="preserve">Fixed Wages </t>
  </si>
  <si>
    <t>SL.NO.</t>
  </si>
  <si>
    <t>EMP ID</t>
  </si>
  <si>
    <t xml:space="preserve">NAME </t>
  </si>
  <si>
    <t>GENDER</t>
  </si>
  <si>
    <t>OCCUPATION</t>
  </si>
  <si>
    <t>LOCATION</t>
  </si>
  <si>
    <t>DEPARTMENT</t>
  </si>
  <si>
    <t>DIVISION</t>
  </si>
  <si>
    <t>COST CENTRE ID</t>
  </si>
  <si>
    <t>DOJ</t>
  </si>
  <si>
    <t>SERVICE</t>
  </si>
  <si>
    <t>DATE OF BIRTH</t>
  </si>
  <si>
    <t>AGE</t>
  </si>
  <si>
    <t xml:space="preserve">Education </t>
  </si>
  <si>
    <t>Skills / Activities</t>
  </si>
  <si>
    <t xml:space="preserve">CATEGORY
</t>
  </si>
  <si>
    <t>Father Name</t>
  </si>
  <si>
    <t>Mother Name</t>
  </si>
  <si>
    <t>Marital Status</t>
  </si>
  <si>
    <t>Spouse Name</t>
  </si>
  <si>
    <t>PHONE-NO.</t>
  </si>
  <si>
    <t>UAN NO.</t>
  </si>
  <si>
    <t>PF NO.</t>
  </si>
  <si>
    <t>ESI</t>
  </si>
  <si>
    <t>AADHAR</t>
  </si>
  <si>
    <t>PAN</t>
  </si>
  <si>
    <t>BANK A/C NO</t>
  </si>
  <si>
    <t>IFSC CODE</t>
  </si>
  <si>
    <t>BANK NAME</t>
  </si>
  <si>
    <t>BRANCH</t>
  </si>
  <si>
    <t>PRESENT
ADDRESS</t>
  </si>
  <si>
    <t>PERMANENT ADDRESS</t>
  </si>
  <si>
    <t>Basic/ Stipend</t>
  </si>
  <si>
    <t>VDA</t>
  </si>
  <si>
    <t>HRA</t>
  </si>
  <si>
    <t>TRV Allow</t>
  </si>
  <si>
    <t>SPL Allow</t>
  </si>
  <si>
    <t>Gross</t>
  </si>
  <si>
    <t>PF Basic</t>
  </si>
  <si>
    <t>PF 13%</t>
  </si>
  <si>
    <t>ESI 3.25%</t>
  </si>
  <si>
    <t>Bonus</t>
  </si>
  <si>
    <t>Gratuity</t>
  </si>
  <si>
    <t>Leave with wage 1.2 per month</t>
  </si>
  <si>
    <t>Service  Charges</t>
  </si>
  <si>
    <t>Total CTC</t>
  </si>
  <si>
    <t>J83</t>
  </si>
  <si>
    <t>M.VIJAYAKUMAR</t>
  </si>
  <si>
    <t>FEMALE</t>
  </si>
  <si>
    <t>HELPER</t>
  </si>
  <si>
    <t>ARUGAMPALAYAM</t>
  </si>
  <si>
    <t>PRODUCTION</t>
  </si>
  <si>
    <t xml:space="preserve">Production Helper </t>
  </si>
  <si>
    <t>B.COM CA</t>
  </si>
  <si>
    <t xml:space="preserve">Casuals
</t>
  </si>
  <si>
    <t>MARRIED</t>
  </si>
  <si>
    <t>BHARATHI</t>
  </si>
  <si>
    <t>63852 80812</t>
  </si>
  <si>
    <t>101297618960</t>
  </si>
  <si>
    <t>561631322608</t>
  </si>
  <si>
    <t>501030487231</t>
  </si>
  <si>
    <t>NSPB0000002</t>
  </si>
  <si>
    <t>NSDL PAYMENTS BANK</t>
  </si>
  <si>
    <t>LOWER PAREL</t>
  </si>
  <si>
    <t>ARUGAMPALAYAM,SOMANUR ROAD,SULUR,COIMBATORE,TAMIL NADU-641669</t>
  </si>
  <si>
    <t>J85</t>
  </si>
  <si>
    <t>RATHA GAYATHRI</t>
  </si>
  <si>
    <t>RASIPALAYAM</t>
  </si>
  <si>
    <t>5TH</t>
  </si>
  <si>
    <t>SARASWATHI</t>
  </si>
  <si>
    <t>CHAKKARAVARTHI</t>
  </si>
  <si>
    <t>101569015376</t>
  </si>
  <si>
    <t>808542120687</t>
  </si>
  <si>
    <t>1677155000072273</t>
  </si>
  <si>
    <t>KVBL0001677</t>
  </si>
  <si>
    <t>KVB</t>
  </si>
  <si>
    <t>CHINNIYAMPALAYAM</t>
  </si>
  <si>
    <t>7/92/B, EZHIL NAGAR,RASIPALAYAM,UTHUPALAYAM ROAD,SULUR,COIMBATORE,TAMILNADU-641402</t>
  </si>
  <si>
    <t>J111</t>
  </si>
  <si>
    <t>RAJA MUNDA</t>
  </si>
  <si>
    <t>MALE</t>
  </si>
  <si>
    <t>MUTHUGOUNDAPUDUR</t>
  </si>
  <si>
    <t>DHILIP MUNDA</t>
  </si>
  <si>
    <t>SOMPARI MUNDA</t>
  </si>
  <si>
    <t>UNMARRIED</t>
  </si>
  <si>
    <t>102129597358</t>
  </si>
  <si>
    <t>454741108234</t>
  </si>
  <si>
    <t>501032872508</t>
  </si>
  <si>
    <t>LMW NEAR, LMW ROAD, MUTHUGOUNDANPUDUR, SULUR, COIMBATORE, TAMILNADU- 641402</t>
  </si>
  <si>
    <t>J123</t>
  </si>
  <si>
    <t>REVATHI V</t>
  </si>
  <si>
    <t>10th</t>
  </si>
  <si>
    <t>Married</t>
  </si>
  <si>
    <t>W/O VAIRAMUTHU</t>
  </si>
  <si>
    <t>101500927057</t>
  </si>
  <si>
    <t>964896114852</t>
  </si>
  <si>
    <t>42845971468</t>
  </si>
  <si>
    <t>SBIN0071057</t>
  </si>
  <si>
    <t>STATE BANK OF INDIA</t>
  </si>
  <si>
    <t>MADAPPUR</t>
  </si>
  <si>
    <t>4/52, VINAYAGAR KOVIL STREET, ARUGAMPALAYAM, RASIPALAYAM, COIMBATORE, TAMILNADU-641402</t>
  </si>
  <si>
    <t>J214</t>
  </si>
  <si>
    <t>SUDHA T.</t>
  </si>
  <si>
    <t>THOTTIPALAYAM</t>
  </si>
  <si>
    <t>12TH</t>
  </si>
  <si>
    <t>THIRUMOORTHI</t>
  </si>
  <si>
    <t>101763385285</t>
  </si>
  <si>
    <t>939680244216</t>
  </si>
  <si>
    <t>334902010139610</t>
  </si>
  <si>
    <t>UBIN0533491</t>
  </si>
  <si>
    <t>UNION BANK</t>
  </si>
  <si>
    <t>SOMANUR</t>
  </si>
  <si>
    <t>190A THOTTIPALAYAM,KARAVALLIMADAPPUR,COIMBATORE,TAMILNADU-641 668</t>
  </si>
  <si>
    <t>J181</t>
  </si>
  <si>
    <t>GANESAN P</t>
  </si>
  <si>
    <t>Male</t>
  </si>
  <si>
    <t>Production</t>
  </si>
  <si>
    <t>10TH</t>
  </si>
  <si>
    <t>RANI</t>
  </si>
  <si>
    <t>102179081680</t>
  </si>
  <si>
    <t>541970516839</t>
  </si>
  <si>
    <t>20530725774</t>
  </si>
  <si>
    <t>SBIN0013438</t>
  </si>
  <si>
    <t>AVINASHI ROAD</t>
  </si>
  <si>
    <t>2/174, Kurumbapalayam, Kurumbapalayam, , PO:MUTHUGOUDANPUDUR, DIST: Coimbatore, Tamil Nadu -641402</t>
  </si>
  <si>
    <t>J203</t>
  </si>
  <si>
    <t>NEELA R</t>
  </si>
  <si>
    <t>RAMESH</t>
  </si>
  <si>
    <t>101703955144</t>
  </si>
  <si>
    <t>469636709269</t>
  </si>
  <si>
    <t>67347683097</t>
  </si>
  <si>
    <t>1/128,THOTTIPALAYAM,SULUR TALUK,KARAVALLIMADAPPUR,COIMBATORE, TAMILNADU-641668</t>
  </si>
  <si>
    <t>J232</t>
  </si>
  <si>
    <t>GOWRI MANOHARI</t>
  </si>
  <si>
    <t>SULUR</t>
  </si>
  <si>
    <t>VIGNESH</t>
  </si>
  <si>
    <t>101528268509</t>
  </si>
  <si>
    <t>673273625358</t>
  </si>
  <si>
    <t>24130100013926</t>
  </si>
  <si>
    <t>FDRL0002413</t>
  </si>
  <si>
    <t>FEDERAL BANK</t>
  </si>
  <si>
    <t>1/180, PATTATHARASIAMMAN KOVIL STREET, THOTTIPALAYAM, KARAVALIMADAPUR, SULUR, COIMBATORE, TAMILNADU - 641668</t>
  </si>
  <si>
    <t>J237</t>
  </si>
  <si>
    <t>AISWARIYA ANANTHAN</t>
  </si>
  <si>
    <t>RADHA</t>
  </si>
  <si>
    <t>RAGAVAN</t>
  </si>
  <si>
    <t>102162891516 </t>
  </si>
  <si>
    <t>477100812174</t>
  </si>
  <si>
    <t>713311337</t>
  </si>
  <si>
    <t>TNSC0010000</t>
  </si>
  <si>
    <t>THE COIMBATORE DISTRICT CENTRAL CO OPERETIVE BANK</t>
  </si>
  <si>
    <t>SOMANJUR</t>
  </si>
  <si>
    <t>1-221, KOVIL STREET, THOTTIPALAYAM, KARAVALLI MADHAPUR, SOMANUR, COIMBATORE, TAMILNADU - 641668</t>
  </si>
  <si>
    <t>J239</t>
  </si>
  <si>
    <t>THAILA G</t>
  </si>
  <si>
    <t>W/O GOPINATH</t>
  </si>
  <si>
    <t>102139430777</t>
  </si>
  <si>
    <t>954534895869</t>
  </si>
  <si>
    <t>4367101004522</t>
  </si>
  <si>
    <t>CNRB0005997</t>
  </si>
  <si>
    <t>CANARA BANK</t>
  </si>
  <si>
    <t>N0,343,NORYH STREET,MUTHUGOUNDAPUDUR,COIMBATORE,641014</t>
  </si>
  <si>
    <t>1/16, VALLIMADURAI, KIRAIPATTI, DHARMAPURI, TAMILNADU-636903</t>
  </si>
  <si>
    <t>J240</t>
  </si>
  <si>
    <t>GLORY</t>
  </si>
  <si>
    <t>AYYAMPALAYAM</t>
  </si>
  <si>
    <t>PAPPA</t>
  </si>
  <si>
    <t>W/O TAMILKKUMARAN</t>
  </si>
  <si>
    <t>102098477464</t>
  </si>
  <si>
    <t>633556961233</t>
  </si>
  <si>
    <t>1279155000149416</t>
  </si>
  <si>
    <t>KVBL0001279</t>
  </si>
  <si>
    <t>KARUR VYSYA BANK</t>
  </si>
  <si>
    <t>VALLIMURUGAN SIZING,AYYAMPALAYAM ROAD,TIRUPUR,TAMIL NADU</t>
  </si>
  <si>
    <t>NO 3/352,WEST STREET,ATHANKOTHANGUDI,MUTHUKULATHUR,RAMANATHAPURAM,TAMIL NADU-623711</t>
  </si>
  <si>
    <t>J242</t>
  </si>
  <si>
    <t>SOWPARNIKA SUBRAMANIYAM</t>
  </si>
  <si>
    <t>SUBRAMANIYAM</t>
  </si>
  <si>
    <t>VASANTHI</t>
  </si>
  <si>
    <t>W/O KARTHIK</t>
  </si>
  <si>
    <t>101330310840</t>
  </si>
  <si>
    <t>438326909107</t>
  </si>
  <si>
    <t>41806844387</t>
  </si>
  <si>
    <t>3/39,EAST STREET,SULUR,RASIPALAYAM,SULUR (T.P),COIMBATORE,TAMIL NADU,641402</t>
  </si>
  <si>
    <t>J246</t>
  </si>
  <si>
    <t>PREMA</t>
  </si>
  <si>
    <t>SAMINATHAN</t>
  </si>
  <si>
    <t>SUMATHI</t>
  </si>
  <si>
    <t>101647086994</t>
  </si>
  <si>
    <t>845877132491</t>
  </si>
  <si>
    <t>67372132221</t>
  </si>
  <si>
    <t>1/297, PADEESWARAN KOVIL STREET, THOTTIPALAYAM,  SULUR, KARAVALIMADAPPUR, COIMBATORE, TAMILNADU - 641668</t>
  </si>
  <si>
    <t>J247</t>
  </si>
  <si>
    <t>MAHALAKSHMI</t>
  </si>
  <si>
    <t>KARAVALIMADAPUR</t>
  </si>
  <si>
    <t>RANGASAMY</t>
  </si>
  <si>
    <t>PALANATHAL</t>
  </si>
  <si>
    <t>W/O THANGAVEL</t>
  </si>
  <si>
    <t>102266104436</t>
  </si>
  <si>
    <t>526455337175</t>
  </si>
  <si>
    <t>39598631742</t>
  </si>
  <si>
    <t>1/218 PATTATHARAM KOVIL STREET THENAMPALAYAM KARAVALIMADAPPUR,COIMBATORE,TAMILNADU</t>
  </si>
  <si>
    <t>J250</t>
  </si>
  <si>
    <t>RABITHA JAYASEELAN</t>
  </si>
  <si>
    <t>KURUMBAPALAYAM</t>
  </si>
  <si>
    <t>9TH</t>
  </si>
  <si>
    <t>RAJI</t>
  </si>
  <si>
    <t>SERAL MARIA</t>
  </si>
  <si>
    <t>W/O JAYASEELAN</t>
  </si>
  <si>
    <t>101710793475</t>
  </si>
  <si>
    <t>317316657198</t>
  </si>
  <si>
    <t>6206242900</t>
  </si>
  <si>
    <t>IDIB000C062</t>
  </si>
  <si>
    <t>INDIAN BANK</t>
  </si>
  <si>
    <t>CHENNIYAMPALAYAM</t>
  </si>
  <si>
    <t>2/404, V.I.P NAGAR, KURUMBAPALAYAM, SULUR, COIMBATORE, TAMILNADU-641402</t>
  </si>
  <si>
    <t>J253</t>
  </si>
  <si>
    <t>KARTHIKA</t>
  </si>
  <si>
    <t>BSC CS</t>
  </si>
  <si>
    <t>VELMURUGAN</t>
  </si>
  <si>
    <t>MAHEESHWARI</t>
  </si>
  <si>
    <t>W/O MUTHURAMALINGAM</t>
  </si>
  <si>
    <t>102278923376</t>
  </si>
  <si>
    <t>5704086402</t>
  </si>
  <si>
    <t>588026763574</t>
  </si>
  <si>
    <t>PPVPK3421N</t>
  </si>
  <si>
    <t>4010120000422</t>
  </si>
  <si>
    <t>CNRB0004010</t>
  </si>
  <si>
    <t>THENI</t>
  </si>
  <si>
    <t>KURUMBAPALAYAM SULUR,COIMBATORE,TAMIL NADU,641402</t>
  </si>
  <si>
    <t>J254</t>
  </si>
  <si>
    <t>MALLI TIRIA</t>
  </si>
  <si>
    <t>PAMU TIRIA</t>
  </si>
  <si>
    <t>W/O DILLIP KUMAR MUNDA</t>
  </si>
  <si>
    <t>102163048004</t>
  </si>
  <si>
    <t>390470721889</t>
  </si>
  <si>
    <t>6371918966</t>
  </si>
  <si>
    <t>AIRP0000001</t>
  </si>
  <si>
    <t>AIRTEL PAYMENT BANK</t>
  </si>
  <si>
    <t>MUTHUGOUNDAPUTHUR,SULUR,COIMBATORE,TAMIL NADU,641402</t>
  </si>
  <si>
    <t>DHORADIAMBA, KENDUJHAR, ODISHA-758080</t>
  </si>
  <si>
    <t>J255</t>
  </si>
  <si>
    <t>DILLIP KUMAR MUNDA</t>
  </si>
  <si>
    <t>STORE</t>
  </si>
  <si>
    <t>STORE HELPER</t>
  </si>
  <si>
    <t>TURAM MUNDA</t>
  </si>
  <si>
    <t>102129734664</t>
  </si>
  <si>
    <t>614988578277</t>
  </si>
  <si>
    <t>501032871090</t>
  </si>
  <si>
    <t>J256</t>
  </si>
  <si>
    <t>PRIYANKA</t>
  </si>
  <si>
    <t>12th</t>
  </si>
  <si>
    <t xml:space="preserve">Ammasai </t>
  </si>
  <si>
    <t>MALAR KODI</t>
  </si>
  <si>
    <t>Unmarried</t>
  </si>
  <si>
    <t>102015250116</t>
  </si>
  <si>
    <t>6798 1297 6028</t>
  </si>
  <si>
    <t>110142308732</t>
  </si>
  <si>
    <t>CNRB0004260</t>
  </si>
  <si>
    <t>CANARA</t>
  </si>
  <si>
    <t xml:space="preserve">SAMALAPURAM </t>
  </si>
  <si>
    <t>1/119,pattatharasi Amman Kovil Street,thottipalayam,sulur taluk, karvalimadappur, coimbatore tamilnadu 641668</t>
  </si>
  <si>
    <t>J257</t>
  </si>
  <si>
    <t>RAJESHWARI</t>
  </si>
  <si>
    <t>SELVAN</t>
  </si>
  <si>
    <t>102154675464</t>
  </si>
  <si>
    <t>843406043038</t>
  </si>
  <si>
    <t>43594224366</t>
  </si>
  <si>
    <t>SBIN0010617</t>
  </si>
  <si>
    <t>SULUR TOWN</t>
  </si>
  <si>
    <t>3/6 E, EAST STREET, RASIPALAYAM, SULUR, COIMBATORE, TAMILNADU - 641402</t>
  </si>
  <si>
    <t>J258</t>
  </si>
  <si>
    <t>DEVI</t>
  </si>
  <si>
    <t>YASOTHA</t>
  </si>
  <si>
    <t>THNGAVEL</t>
  </si>
  <si>
    <t>101509336311</t>
  </si>
  <si>
    <t>433414260057</t>
  </si>
  <si>
    <t>1186110010059952</t>
  </si>
  <si>
    <t>UJVN0001186</t>
  </si>
  <si>
    <t>UJJIVAN SMALL FINANCE BANK</t>
  </si>
  <si>
    <t>RAMANATHAPURAM</t>
  </si>
  <si>
    <t>3/43, RASIPALAYAM, SULUR, COIMBATORE, TAMILNADU - 641402</t>
  </si>
  <si>
    <t>J261</t>
  </si>
  <si>
    <t>TARUN MAHANTA</t>
  </si>
  <si>
    <t>SANTHOSH MAHANTA</t>
  </si>
  <si>
    <t>KUNTALA BEHERA</t>
  </si>
  <si>
    <t>102352943920</t>
  </si>
  <si>
    <t>836938123478</t>
  </si>
  <si>
    <t>44843330646</t>
  </si>
  <si>
    <t>SBIN0016127</t>
  </si>
  <si>
    <t>SWAMPATNA</t>
  </si>
  <si>
    <t>MIRIGIKHAJLI PATNA KENAUJHAR ODISHA - 758081</t>
  </si>
  <si>
    <t>J262</t>
  </si>
  <si>
    <t>TARUN  MAHANTA</t>
  </si>
  <si>
    <t>102353300009</t>
  </si>
  <si>
    <t>255969556035</t>
  </si>
  <si>
    <t>22840110050873</t>
  </si>
  <si>
    <t>UCBA0002284</t>
  </si>
  <si>
    <t>UCO BANK</t>
  </si>
  <si>
    <t>KHONJHAR</t>
  </si>
  <si>
    <t>MAIDANKEL KENDUJHAR ODISHA - 758014</t>
  </si>
  <si>
    <t>J260</t>
  </si>
  <si>
    <t xml:space="preserve">SHIVANI KUMARI CHOUDHARY </t>
  </si>
  <si>
    <t>JITU CHOUDHARY</t>
  </si>
  <si>
    <t>SUJAL KUMAR</t>
  </si>
  <si>
    <t>549159368433</t>
  </si>
  <si>
    <t>20347667344</t>
  </si>
  <si>
    <t>FINO0001157</t>
  </si>
  <si>
    <t>FINO PAYMENTS BANK</t>
  </si>
  <si>
    <t>GRAM RAHARGORA THANA-PARSUDIH JOJOBERA EAST SINGHBHURM JHARKHAND - 831016</t>
  </si>
  <si>
    <t>J263</t>
  </si>
  <si>
    <t>PARSHURAM BEHARA</t>
  </si>
  <si>
    <t>LALITA BEHERA</t>
  </si>
  <si>
    <t>102352910331</t>
  </si>
  <si>
    <t>509899208728</t>
  </si>
  <si>
    <t>GORANDIJODI KENDUJHAR ODISHA - 758016</t>
  </si>
  <si>
    <t>J264</t>
  </si>
  <si>
    <t>KAMAL BEHERA</t>
  </si>
  <si>
    <t>PARHURAM BEHERA</t>
  </si>
  <si>
    <t>102352912918</t>
  </si>
  <si>
    <t>617260543846</t>
  </si>
  <si>
    <t>MAIDANKELA KENDUJHAR ODISHA - 758014</t>
  </si>
  <si>
    <t>J265</t>
  </si>
  <si>
    <t>THULASIMANI</t>
  </si>
  <si>
    <t>MURUGAN</t>
  </si>
  <si>
    <t>VASANTHAMANI</t>
  </si>
  <si>
    <t>102353748801</t>
  </si>
  <si>
    <t>317920813919</t>
  </si>
  <si>
    <t>334902120001508</t>
  </si>
  <si>
    <t>4/109,PERUMAL KOVIL STREET,KARAVAZHI MADAPPUR,SULUR TALUK,COIMBATORE,TAMIL NADU,641668</t>
  </si>
  <si>
    <t>FEBUARY.2026</t>
  </si>
  <si>
    <t>SELVARAJ</t>
  </si>
  <si>
    <t>PAPA</t>
  </si>
  <si>
    <t>ANANTHAN</t>
  </si>
  <si>
    <t>ANNAMALAI</t>
  </si>
  <si>
    <t>MAUGA</t>
  </si>
  <si>
    <t>CHINNATHAMBI</t>
  </si>
  <si>
    <t>J248</t>
  </si>
  <si>
    <t>THILAGAMANI SENNIAPPAN</t>
  </si>
  <si>
    <t>B.COM DISCONTINUE</t>
  </si>
  <si>
    <t>SENNIAPPAN</t>
  </si>
  <si>
    <t>RADHAMANI</t>
  </si>
  <si>
    <t>W/O SENNIAPPAN</t>
  </si>
  <si>
    <t>101772419375</t>
  </si>
  <si>
    <t>375376698043</t>
  </si>
  <si>
    <t>334902120001580</t>
  </si>
  <si>
    <t>3/126 SOUTH STREET RASIPALAYAM SULUR COIMBATORE,TAMILNADU</t>
  </si>
  <si>
    <t>J259</t>
  </si>
  <si>
    <t>INDHUMATHI</t>
  </si>
  <si>
    <t>ARASUR</t>
  </si>
  <si>
    <t>GANESH</t>
  </si>
  <si>
    <t>KASUTHURI</t>
  </si>
  <si>
    <t>RAGESH</t>
  </si>
  <si>
    <t>951837863822</t>
  </si>
  <si>
    <t>010067894633</t>
  </si>
  <si>
    <t>IPOS0000DOP</t>
  </si>
  <si>
    <t>INDIAN POST PAYMENT BANK</t>
  </si>
  <si>
    <t>PALAKKAD</t>
  </si>
  <si>
    <t>5/162/4 EAST ARASUR THENNAMPALAYAM COIMBATORE TAMILNADU - 641407</t>
  </si>
  <si>
    <t>J04</t>
  </si>
  <si>
    <t>Sunita gouda</t>
  </si>
  <si>
    <t>Female</t>
  </si>
  <si>
    <t xml:space="preserve">Maheshwar gouda </t>
  </si>
  <si>
    <t>102013524807</t>
  </si>
  <si>
    <t>6080 5283 3605</t>
  </si>
  <si>
    <t>Dhaumudla,badako danda,dhaumundla,ganjam,odlsha-761125</t>
  </si>
  <si>
    <t>J05</t>
  </si>
  <si>
    <t>Prabha takri</t>
  </si>
  <si>
    <t>Kahnei Karakaria</t>
  </si>
  <si>
    <t>102013526707</t>
  </si>
  <si>
    <t>8267 8337 4168</t>
  </si>
  <si>
    <t>Jhigidi,jhigidi,Rayagada,jhigidi,odisha,765019</t>
  </si>
  <si>
    <t>J15</t>
  </si>
  <si>
    <t>Devaki</t>
  </si>
  <si>
    <t>Govindhraj</t>
  </si>
  <si>
    <t>101841497512</t>
  </si>
  <si>
    <t>7886 6251 2830</t>
  </si>
  <si>
    <t xml:space="preserve">INDIAN BANK </t>
  </si>
  <si>
    <t xml:space="preserve">SULUR </t>
  </si>
  <si>
    <t>31/1-1a,kalaignar nagar,sulur taluk, sulur(tp) coimbatore, tamilnadu - 641402</t>
  </si>
  <si>
    <t>J16</t>
  </si>
  <si>
    <t>Nithya</t>
  </si>
  <si>
    <t>Palanisamy</t>
  </si>
  <si>
    <t>102014718136</t>
  </si>
  <si>
    <t>5321 2286 8515</t>
  </si>
  <si>
    <t>184501000011601</t>
  </si>
  <si>
    <t>IOBA0001845</t>
  </si>
  <si>
    <t>IOB</t>
  </si>
  <si>
    <t>THENNAMPALAYAM</t>
  </si>
  <si>
    <t>5/7,Madurai veeran Kovil Street,East arasur,sulur taluk,arasur,coimbatore,arasur,Tamil Nadu -641407</t>
  </si>
  <si>
    <t>J17</t>
  </si>
  <si>
    <t>Radhadevi selvaraj</t>
  </si>
  <si>
    <t>Selvaraj</t>
  </si>
  <si>
    <t>102014719469</t>
  </si>
  <si>
    <t>8742 4589 2266</t>
  </si>
  <si>
    <t>184501000019142</t>
  </si>
  <si>
    <t>5/68,maduraiveeran koyil Street,East arasur,arasur, coimbatore,Tamil nadu-641407</t>
  </si>
  <si>
    <t>J18</t>
  </si>
  <si>
    <t>Aishwarya veeran</t>
  </si>
  <si>
    <t>EAST ARASUR</t>
  </si>
  <si>
    <t>Veeran</t>
  </si>
  <si>
    <t>102014720223</t>
  </si>
  <si>
    <t>7507 6102 2949</t>
  </si>
  <si>
    <t>5/76,maduraiveeran Kovil Street, East arasur coimbatore</t>
  </si>
  <si>
    <t>J47</t>
  </si>
  <si>
    <t>SHRINATH KISKU</t>
  </si>
  <si>
    <t>RABIN KISKU</t>
  </si>
  <si>
    <t>101901417606</t>
  </si>
  <si>
    <t>4277 0577 8699</t>
  </si>
  <si>
    <t>NAVGRAM, POST PATJORE PPS, RANKSHWAR, DUMKA, JHARKHAND-814148</t>
  </si>
  <si>
    <t>J48</t>
  </si>
  <si>
    <t>KALICHARAN HEMBROM</t>
  </si>
  <si>
    <t>8TH</t>
  </si>
  <si>
    <t>SUKU HEMBRAM</t>
  </si>
  <si>
    <t>102022656963</t>
  </si>
  <si>
    <t>3817 7017 0018</t>
  </si>
  <si>
    <t>PAHARPUR, POST-PATJORE, PS-RANISHWAR, DUMKA, JHARKHAND-814148</t>
  </si>
  <si>
    <t>J13</t>
  </si>
  <si>
    <t>Arul deepa</t>
  </si>
  <si>
    <t>Arul darzan</t>
  </si>
  <si>
    <t>102014713522</t>
  </si>
  <si>
    <t>9496 8809 6760</t>
  </si>
  <si>
    <t>184501000019121</t>
  </si>
  <si>
    <t>2/101,Annur road,thennapalayam,mudhalipalayam, coimbatore,tamilnadu,641407</t>
  </si>
  <si>
    <t>J28</t>
  </si>
  <si>
    <t>Sellammal</t>
  </si>
  <si>
    <t>102026476021</t>
  </si>
  <si>
    <t>32/43 Chandra nagar,kurumbapalayam,muthugoudanpudur,sulur, coimbatore,tamilnadu - 641402</t>
  </si>
  <si>
    <t>J37</t>
  </si>
  <si>
    <t xml:space="preserve">Parimala ramamoorthi </t>
  </si>
  <si>
    <t xml:space="preserve">Ramamoorthi </t>
  </si>
  <si>
    <t>102014533700</t>
  </si>
  <si>
    <t>3722 2341 4309</t>
  </si>
  <si>
    <t>328/5/62, Pilliaiyar Kovil Street, Thillaisthanum, Thiruvaiyaru taluk, Thanjavur, tamil nadu -613203</t>
  </si>
  <si>
    <t>J39</t>
  </si>
  <si>
    <t xml:space="preserve">Rinku Singh </t>
  </si>
  <si>
    <t>Saniscahr Singh</t>
  </si>
  <si>
    <t>101219897295</t>
  </si>
  <si>
    <t>8750 4484 1942</t>
  </si>
  <si>
    <t>110001844562</t>
  </si>
  <si>
    <t>CNRB0016146</t>
  </si>
  <si>
    <t xml:space="preserve">CANARA </t>
  </si>
  <si>
    <t>KANIYUR</t>
  </si>
  <si>
    <t>Baragochha, banjimunda ,baudh,odisha-762016</t>
  </si>
  <si>
    <t>J36</t>
  </si>
  <si>
    <t>Ananthi karthik</t>
  </si>
  <si>
    <t>MUDHALIPALAYAM</t>
  </si>
  <si>
    <t>Karthik</t>
  </si>
  <si>
    <t>101526606335</t>
  </si>
  <si>
    <t>8644 1193 6743</t>
  </si>
  <si>
    <t xml:space="preserve">THENNAMPALAYAM </t>
  </si>
  <si>
    <t>1/526,pattatharasiyammam Kovil street,mudhalipalayam, coimbatore, tamilnadu 641407</t>
  </si>
  <si>
    <t>J41</t>
  </si>
  <si>
    <t xml:space="preserve">Saraswathi Shanmugasundaram </t>
  </si>
  <si>
    <t>17/10/1976</t>
  </si>
  <si>
    <t>Shanmugasundaram</t>
  </si>
  <si>
    <t>101803378635</t>
  </si>
  <si>
    <t>4079 1243 4134</t>
  </si>
  <si>
    <t>67317897050</t>
  </si>
  <si>
    <t>SBI</t>
  </si>
  <si>
    <t xml:space="preserve">MADAPPUR </t>
  </si>
  <si>
    <t>1/291,Thottipalayam, karavalimadappur, sulur,coimbatore - 641668</t>
  </si>
  <si>
    <t>J31</t>
  </si>
  <si>
    <t>Umamahewari arumugam</t>
  </si>
  <si>
    <t>MUDHUGOUNDAPUDHUR</t>
  </si>
  <si>
    <t>Arumugam</t>
  </si>
  <si>
    <t>101961607780</t>
  </si>
  <si>
    <t>7197 9653 5359</t>
  </si>
  <si>
    <t>1/524,pattatharasiyamman Kovil Street,mudhalipalayam,Muthu goundan pudur,arasur, arasur, sulur, coimbatore, tamilnadu - 641407</t>
  </si>
  <si>
    <t>J43</t>
  </si>
  <si>
    <t>MUNI SAKARA</t>
  </si>
  <si>
    <t>RAIPHUL SARAKA</t>
  </si>
  <si>
    <t>102026583252</t>
  </si>
  <si>
    <t>3504 6486 4076</t>
  </si>
  <si>
    <t>56, KANABAI, RAYAGADA, ODISHA - 765019</t>
  </si>
  <si>
    <t>J24</t>
  </si>
  <si>
    <t>Madhupriya</t>
  </si>
  <si>
    <t>B.B.A</t>
  </si>
  <si>
    <t>Jagan</t>
  </si>
  <si>
    <t>101984870621</t>
  </si>
  <si>
    <t>9859 8920 5799</t>
  </si>
  <si>
    <t xml:space="preserve">ALANGULAM </t>
  </si>
  <si>
    <t>2/17,Thilagar Street, Alangulam,Alangulam,Alangulam,Alangulam,Tirunelveli, tamilnadu - 627851</t>
  </si>
  <si>
    <t>J38</t>
  </si>
  <si>
    <t>Geetha S</t>
  </si>
  <si>
    <t>102015672580</t>
  </si>
  <si>
    <t>3700 2592 3493</t>
  </si>
  <si>
    <t>800000027581117</t>
  </si>
  <si>
    <t>YESB0CMSNOC</t>
  </si>
  <si>
    <t xml:space="preserve">YES BANK </t>
  </si>
  <si>
    <t>CMS NATIONAL OPERATING CENTRE MMR</t>
  </si>
  <si>
    <t>Naduvelampalayam, palladam, poomalur, tiruppur, Tamil Nadu -641663</t>
  </si>
  <si>
    <t>J26</t>
  </si>
  <si>
    <t>Jeevitha</t>
  </si>
  <si>
    <t>B.com(CA)</t>
  </si>
  <si>
    <t>101106558861</t>
  </si>
  <si>
    <t>3292 2163 6816</t>
  </si>
  <si>
    <t xml:space="preserve">AXIS </t>
  </si>
  <si>
    <t xml:space="preserve">AVINASHI </t>
  </si>
  <si>
    <t>1/240,mainroad, Thottipalayam, sulur thalukka, karavalimadhapur, karavalimadhapur, coimbatore, tamilnadu 641668</t>
  </si>
  <si>
    <t>J14</t>
  </si>
  <si>
    <t>Selvi ravichandara</t>
  </si>
  <si>
    <t xml:space="preserve">Rangasamy </t>
  </si>
  <si>
    <t>101207717260</t>
  </si>
  <si>
    <t>5559 8159 1880</t>
  </si>
  <si>
    <t>184501000023601</t>
  </si>
  <si>
    <t>1/167-Rasipalayam post,rasipalayam,rasipalayam,sulur, coimbatore, tamilnadu 641402</t>
  </si>
  <si>
    <t>J50</t>
  </si>
  <si>
    <t>DIVYA RANGASAMY</t>
  </si>
  <si>
    <t>6TH</t>
  </si>
  <si>
    <t>101327145616</t>
  </si>
  <si>
    <t>3904 0555 0451</t>
  </si>
  <si>
    <t>334902010153148</t>
  </si>
  <si>
    <t xml:space="preserve">UBIN0533491 </t>
  </si>
  <si>
    <t xml:space="preserve">SOMANUR </t>
  </si>
  <si>
    <t>1/159 KOVIL STREET THOTTIAPALAYAM, SULUR TALUKKA KARAVALLIMADAPPUR COIMBATORE TAMIL NADU-641668</t>
  </si>
  <si>
    <t>J42</t>
  </si>
  <si>
    <t>PRADEEP NAG</t>
  </si>
  <si>
    <t>KABU NAG</t>
  </si>
  <si>
    <t>102024486887</t>
  </si>
  <si>
    <t>6609 8746 4321</t>
  </si>
  <si>
    <t>001901000011845</t>
  </si>
  <si>
    <t>IOBA0000453</t>
  </si>
  <si>
    <t>BISSAM CUTTACY</t>
  </si>
  <si>
    <t>KANABAI, RAYAGADA, ODISHA - 765019</t>
  </si>
  <si>
    <t>J46</t>
  </si>
  <si>
    <t>GOWTHAMSUNDAR</t>
  </si>
  <si>
    <t>BUVANESWARAN</t>
  </si>
  <si>
    <t>102022678849</t>
  </si>
  <si>
    <t>7437 6476 9479</t>
  </si>
  <si>
    <t>4260120001187</t>
  </si>
  <si>
    <t>3, THANGAVEL LINE HOUSE, KOMBAKADU PUDHUR, ICHIPATTI, TIRUPPUR, PALLADAM, TAMIL NADU - 641668</t>
  </si>
  <si>
    <t>J54</t>
  </si>
  <si>
    <t>LATHA</t>
  </si>
  <si>
    <t>102027876596</t>
  </si>
  <si>
    <t>7050 5427 4974</t>
  </si>
  <si>
    <t>36930770022</t>
  </si>
  <si>
    <t>SBIN0004882</t>
  </si>
  <si>
    <t>AIR FORCE  STATION, SULUR COIMBATORE</t>
  </si>
  <si>
    <t>3 THANGAVEL LINE HOUSE, KOMBAKADU PUDHUR, CHIPATTI, ICHIPATTI, TIRUPPUR, TAMIL NADU-641668</t>
  </si>
  <si>
    <t>J25</t>
  </si>
  <si>
    <t>Saraswathi K</t>
  </si>
  <si>
    <t xml:space="preserve">Kandhasamy </t>
  </si>
  <si>
    <t>102015257141</t>
  </si>
  <si>
    <t>3261 6696 3133</t>
  </si>
  <si>
    <t xml:space="preserve">SULUR TOWN </t>
  </si>
  <si>
    <t>4/13,kaliyapuram,sullur thalukka,muttugoudanpudur, coimbatore, tamilnadu 641402</t>
  </si>
  <si>
    <t>J08</t>
  </si>
  <si>
    <t>Sriel behera</t>
  </si>
  <si>
    <t>Panchu behera</t>
  </si>
  <si>
    <t>101680072987</t>
  </si>
  <si>
    <t>5839 9187 1112</t>
  </si>
  <si>
    <t>800000027580952</t>
  </si>
  <si>
    <t>32(2)mallikpada,mallikpada,boudh,mallikpada,odisha,762020</t>
  </si>
  <si>
    <t>J55</t>
  </si>
  <si>
    <t>BISHNU MUNDA</t>
  </si>
  <si>
    <t>JUGAL MUNDA</t>
  </si>
  <si>
    <t>102016314164</t>
  </si>
  <si>
    <t>3020 1840 3236</t>
  </si>
  <si>
    <t>800000027865055</t>
  </si>
  <si>
    <t>GAUAPADA PARAMANPUR BARADUNGUN SAMBALPUR TAMPERKELA ODISHA-768200</t>
  </si>
  <si>
    <t>J09</t>
  </si>
  <si>
    <t>Rajeshwari</t>
  </si>
  <si>
    <t>B,A History</t>
  </si>
  <si>
    <t>Kannan</t>
  </si>
  <si>
    <t>101553702804</t>
  </si>
  <si>
    <t>5084 0439 7890</t>
  </si>
  <si>
    <t>024001000018901</t>
  </si>
  <si>
    <t>IOBA0000246</t>
  </si>
  <si>
    <t xml:space="preserve">SURAMANGALAM </t>
  </si>
  <si>
    <t>4/522-2, kalkabbi thottam,somanur road,karvalimadappur,sulur block,coimbatore,Tamil Nadu,641668</t>
  </si>
  <si>
    <t>J52</t>
  </si>
  <si>
    <t>DIPAK KHADIA</t>
  </si>
  <si>
    <t>SURU KHADIA</t>
  </si>
  <si>
    <t>101985757924</t>
  </si>
  <si>
    <t>5280 3594 0642</t>
  </si>
  <si>
    <t>800000028812206</t>
  </si>
  <si>
    <t>YES BANK</t>
  </si>
  <si>
    <t>KADALIPITA, KATARABAGA, BRAHMANIPALI, SAMBALPUR, ODISHA-768212</t>
  </si>
  <si>
    <t>J23</t>
  </si>
  <si>
    <t>Sobiya</t>
  </si>
  <si>
    <t>B.E.</t>
  </si>
  <si>
    <t>Paldevit</t>
  </si>
  <si>
    <t>102015250003</t>
  </si>
  <si>
    <t>4112 3744 2469</t>
  </si>
  <si>
    <t>SBIN0018670</t>
  </si>
  <si>
    <t>1/4c,Pillayar Kovil Street,Alangulam, Alangulam, Alangulam, Tirunelveli, tamilnadu - 627851</t>
  </si>
  <si>
    <t>J44</t>
  </si>
  <si>
    <t>PRAHALLAD MOHANTY</t>
  </si>
  <si>
    <t>NRUSINGHA CHARAN MOHANTY</t>
  </si>
  <si>
    <t>102021685403</t>
  </si>
  <si>
    <t xml:space="preserve">7203 9933 7979 </t>
  </si>
  <si>
    <t>SBIN0010915</t>
  </si>
  <si>
    <t>BALIKUDA</t>
  </si>
  <si>
    <t>MACHAGAON OCHINDA, MACHHAGAON, JAGATSINGHAPUR, ODISHA - 754119</t>
  </si>
  <si>
    <t>J27</t>
  </si>
  <si>
    <t>Sumitra pradhan</t>
  </si>
  <si>
    <t xml:space="preserve">Nakul pradhan </t>
  </si>
  <si>
    <t>102015576711</t>
  </si>
  <si>
    <t>5990 6557 5991</t>
  </si>
  <si>
    <t>1121193000005095</t>
  </si>
  <si>
    <t>KVBL0001121</t>
  </si>
  <si>
    <t xml:space="preserve">KARUR VIYSYA </t>
  </si>
  <si>
    <t>COIMBATORE Dr. NANJAPPA ROAD</t>
  </si>
  <si>
    <t>Ramagiri,ramagiri,sheragada,ramagiri,ganjam,odisha-761106</t>
  </si>
  <si>
    <t>J45</t>
  </si>
  <si>
    <t>THANRAJ M</t>
  </si>
  <si>
    <t>MATHIYAZHAGAN</t>
  </si>
  <si>
    <t>102031980486</t>
  </si>
  <si>
    <t>5520 2183 4090</t>
  </si>
  <si>
    <t>SBIN0011937</t>
  </si>
  <si>
    <t>MANNACHANALLUR</t>
  </si>
  <si>
    <t xml:space="preserve">2/172, ARISANA STREET, THATHAMANGALAM SOUTH, MANNACHANALLUR, TIRUCHIRAPALLI, TAMIL NADU </t>
  </si>
  <si>
    <t>J58</t>
  </si>
  <si>
    <t>VIGNESHWARI LAWRANCE</t>
  </si>
  <si>
    <t>LAWRANCE</t>
  </si>
  <si>
    <t>102033060394</t>
  </si>
  <si>
    <t>3447 9950 7928</t>
  </si>
  <si>
    <t>800000026115495</t>
  </si>
  <si>
    <t>9/56, ANGALAAMMAN KOVILVEETHI, SULUR , COIMBATORE, TAMIL NADU-641402</t>
  </si>
  <si>
    <t>J34</t>
  </si>
  <si>
    <t>Nakul pradhan</t>
  </si>
  <si>
    <t>Bipra pradhan</t>
  </si>
  <si>
    <t>8681 1424 8360</t>
  </si>
  <si>
    <t>1121193000005107</t>
  </si>
  <si>
    <t>Sheragada,ramagiri,ganjam,odisha</t>
  </si>
  <si>
    <t>J56</t>
  </si>
  <si>
    <t>MASILAMANI P</t>
  </si>
  <si>
    <t>NEELAMBUR</t>
  </si>
  <si>
    <t>PAULJAYARAJ</t>
  </si>
  <si>
    <t>100548674428</t>
  </si>
  <si>
    <t>5033 5427 3793</t>
  </si>
  <si>
    <t>800000026115503</t>
  </si>
  <si>
    <t>9/56 ANGALAMMAN KOVIL STREET SULUR (TP) COIMBATORE TAMIL NADU-641402</t>
  </si>
  <si>
    <t>J29</t>
  </si>
  <si>
    <t>Rina munda</t>
  </si>
  <si>
    <t>Prafulla munda</t>
  </si>
  <si>
    <t>102015583994</t>
  </si>
  <si>
    <t>5881 8510 9860</t>
  </si>
  <si>
    <t>0048941815</t>
  </si>
  <si>
    <t>KKBK0008668</t>
  </si>
  <si>
    <t>KOTAK</t>
  </si>
  <si>
    <t xml:space="preserve">KALAPATTI </t>
  </si>
  <si>
    <t>Chhamunda,kendujhar,odisha-758019</t>
  </si>
  <si>
    <t>J51</t>
  </si>
  <si>
    <t>VIJAYA RANGASAMY</t>
  </si>
  <si>
    <t>101198101430</t>
  </si>
  <si>
    <t>2178 8189 6067</t>
  </si>
  <si>
    <t>334902010153177</t>
  </si>
  <si>
    <t>J53</t>
  </si>
  <si>
    <t>PONNARASI G</t>
  </si>
  <si>
    <t>B.ED</t>
  </si>
  <si>
    <t>GANESHAN</t>
  </si>
  <si>
    <t>101204140255</t>
  </si>
  <si>
    <t>6174 9864 5759</t>
  </si>
  <si>
    <t>083901000009808</t>
  </si>
  <si>
    <t>IOBA0000839</t>
  </si>
  <si>
    <t>NO 4/51 ATTRU METTU STREET VALAYAPALAYAM ATHIPALAYAM KARUR TAMIL NADU-639111</t>
  </si>
  <si>
    <t>J57</t>
  </si>
  <si>
    <t>PAPPAMMAL</t>
  </si>
  <si>
    <t>XAVIER JOSEPH ROYAN</t>
  </si>
  <si>
    <t>100675831580</t>
  </si>
  <si>
    <t>6161 8860 8461</t>
  </si>
  <si>
    <t>629302010008738</t>
  </si>
  <si>
    <t>UBIN0562939</t>
  </si>
  <si>
    <t>1/17 KALLIMEDU ANNA NAGAR NEELAMBUR COIMBATORE TAMIL NADU - 641062</t>
  </si>
  <si>
    <t>J66</t>
  </si>
  <si>
    <t>SANGARI S</t>
  </si>
  <si>
    <t>101557508109</t>
  </si>
  <si>
    <t>2642 0167 6497</t>
  </si>
  <si>
    <t>3557119000534</t>
  </si>
  <si>
    <t>CNRB0003557</t>
  </si>
  <si>
    <t>1/194-C,KUTTAI VEETHI,VTC:NILAMBUR,SULUR,COIMBATORE TAMIL NADU-641062</t>
  </si>
  <si>
    <t>J12</t>
  </si>
  <si>
    <t>Pinki biswal</t>
  </si>
  <si>
    <t xml:space="preserve">Ashok biswal </t>
  </si>
  <si>
    <t>101517635166</t>
  </si>
  <si>
    <t>7809 5037 9266</t>
  </si>
  <si>
    <t>800000027581000</t>
  </si>
  <si>
    <t>Kolapada,seledi,seledi,sonapur,odisha</t>
  </si>
  <si>
    <t>J40</t>
  </si>
  <si>
    <t>Sawan Kumar Nath</t>
  </si>
  <si>
    <t>Suchanda Nath</t>
  </si>
  <si>
    <t>101370879234</t>
  </si>
  <si>
    <t>5489 7842 1031</t>
  </si>
  <si>
    <t>800000027581018</t>
  </si>
  <si>
    <t xml:space="preserve">Village-Dighi, Post-Madhupur, -, ThanaSeraikella, Madhupur, Dighi, Seraikela-Kharsawan, Jharkhand, 833220 </t>
  </si>
  <si>
    <t>J65</t>
  </si>
  <si>
    <t>NAVAKRISHNAVENI PETTER PRABU</t>
  </si>
  <si>
    <t>PETTER PRABU</t>
  </si>
  <si>
    <t>102043331337</t>
  </si>
  <si>
    <t>7163 9206 0196</t>
  </si>
  <si>
    <t>38597255425</t>
  </si>
  <si>
    <t>MADHAPUR</t>
  </si>
  <si>
    <t>1/427 PATTATHARASIAMMAN KOVIL STREET THOTTIPALAYAM,SULUR TALUK, KARAVALLIMADAPPUR COIMBATORE,TAMIL NADU-641668</t>
  </si>
  <si>
    <t>J21</t>
  </si>
  <si>
    <t>Menaka</t>
  </si>
  <si>
    <t>9th</t>
  </si>
  <si>
    <t xml:space="preserve">Boopathi </t>
  </si>
  <si>
    <t>102015901443</t>
  </si>
  <si>
    <t>3786 0767 0227</t>
  </si>
  <si>
    <t>110154007050</t>
  </si>
  <si>
    <t>1/140 pattatharasi Amman Kovil Street,thotti palayam,karvalimadappur, coimbatore tamilnadu 641668</t>
  </si>
  <si>
    <t>J22</t>
  </si>
  <si>
    <t>Priyanka</t>
  </si>
  <si>
    <t>J33</t>
  </si>
  <si>
    <t>Kiruthika</t>
  </si>
  <si>
    <t>Kanagaraj</t>
  </si>
  <si>
    <t>102015671193</t>
  </si>
  <si>
    <t>5484 2372 8505</t>
  </si>
  <si>
    <t>334902010151065</t>
  </si>
  <si>
    <t>UNION</t>
  </si>
  <si>
    <t>1-246/1-181,thoottipalayam,karavallimadappur, coimbatore, tamilnadu h 641668</t>
  </si>
  <si>
    <t>J19</t>
  </si>
  <si>
    <t>Paku murmu</t>
  </si>
  <si>
    <t xml:space="preserve">Logen tudu </t>
  </si>
  <si>
    <t>102004324881</t>
  </si>
  <si>
    <t>8845 0695 7773</t>
  </si>
  <si>
    <t>800000027581240</t>
  </si>
  <si>
    <t>Thana masalia,jaruadih,jawadi,masalia,dumka,jharkhand-814146</t>
  </si>
  <si>
    <t>J20</t>
  </si>
  <si>
    <t>Logen tudu</t>
  </si>
  <si>
    <t xml:space="preserve">Vipin tudu </t>
  </si>
  <si>
    <t>101709036668</t>
  </si>
  <si>
    <t>4822 7795 6142</t>
  </si>
  <si>
    <t>8548389793</t>
  </si>
  <si>
    <t>Panchayat-mahuadabar,vill-amgachhi po-baijnathpur ps-palojori,amgachhi,deoghar,jharkhand - 814145</t>
  </si>
  <si>
    <t>J61</t>
  </si>
  <si>
    <t>KISHOR MURMU</t>
  </si>
  <si>
    <t>PANESHWAR MURMU</t>
  </si>
  <si>
    <t>101882950518</t>
  </si>
  <si>
    <t>9991 2140 5256</t>
  </si>
  <si>
    <t>800000029307438</t>
  </si>
  <si>
    <t>BHOURADIH PALOJORI DEOGHAR JHARKHAND-814146</t>
  </si>
  <si>
    <t>J81</t>
  </si>
  <si>
    <t>UTTAM NAYAK</t>
  </si>
  <si>
    <t>UMAKANT NAYAK</t>
  </si>
  <si>
    <t>101634099625</t>
  </si>
  <si>
    <t>4420 1099 6203</t>
  </si>
  <si>
    <t>800000039705874</t>
  </si>
  <si>
    <t>GURUSANG NUAKESALA DEBAGATH ODISHA-768110</t>
  </si>
  <si>
    <t>J78</t>
  </si>
  <si>
    <t>K SARASWATHI</t>
  </si>
  <si>
    <t>20/04/1970</t>
  </si>
  <si>
    <t>KANDHASAMY</t>
  </si>
  <si>
    <t>30731542778</t>
  </si>
  <si>
    <t>4/13 KALIYAPURAM SULLUR THALUK,MUTHUGOUNDANPUDUR ,COIMBATORE ,TAMILNADU-641402</t>
  </si>
  <si>
    <t>J01</t>
  </si>
  <si>
    <t>Shalini</t>
  </si>
  <si>
    <t>Ramamoorthi</t>
  </si>
  <si>
    <t>102013520371</t>
  </si>
  <si>
    <t>5476 4320 0012</t>
  </si>
  <si>
    <t>0048951883</t>
  </si>
  <si>
    <t>Line house, mariyamman Kovil street,karavali madhapoor</t>
  </si>
  <si>
    <t>J02</t>
  </si>
  <si>
    <t>Banu priya</t>
  </si>
  <si>
    <t xml:space="preserve">K Palanisamy </t>
  </si>
  <si>
    <t>101971492597</t>
  </si>
  <si>
    <t>4664 3362 3925</t>
  </si>
  <si>
    <t>40799080885</t>
  </si>
  <si>
    <t>4/16 Mahaliamman temple Street,sulur taluka,karavalimadapur,karavalimadapur,coimbatore, Tamil Nadu 641668</t>
  </si>
  <si>
    <t>J63</t>
  </si>
  <si>
    <t>SANDHIYA V</t>
  </si>
  <si>
    <t>RAMU</t>
  </si>
  <si>
    <t>101178601295</t>
  </si>
  <si>
    <t>2113 3796 2304</t>
  </si>
  <si>
    <t>629302010008819</t>
  </si>
  <si>
    <t>1/29,ANNA NAGAR,KATHIR COLLEGE,SULUR TK,NILAMBUR COIMBATORE TAMIL NADU-641062</t>
  </si>
  <si>
    <t>J64</t>
  </si>
  <si>
    <t>MANJULA</t>
  </si>
  <si>
    <t>RAVI</t>
  </si>
  <si>
    <t>UN Married</t>
  </si>
  <si>
    <t>101801978822</t>
  </si>
  <si>
    <t>2797 1571 8409</t>
  </si>
  <si>
    <t>36155605557</t>
  </si>
  <si>
    <t>SBIN0009611</t>
  </si>
  <si>
    <t xml:space="preserve">SBI </t>
  </si>
  <si>
    <t>SAMALABURAM</t>
  </si>
  <si>
    <t>6/337,GANAPATHY NAGAR ELLAIKADU UNJAPALAYAM,SEMMANDAMPALAYAM,COIMBATORE TAMIL NADU-279715718409</t>
  </si>
  <si>
    <t>J67</t>
  </si>
  <si>
    <t>JEEVITHAPALANISAMY</t>
  </si>
  <si>
    <t>PALANISAMY</t>
  </si>
  <si>
    <t>917010060652135</t>
  </si>
  <si>
    <t>UTIB0003462</t>
  </si>
  <si>
    <t>AXIS</t>
  </si>
  <si>
    <t>AVINASI</t>
  </si>
  <si>
    <t>1/240 MANIROAD THOTTIPALAYAM SULUR,THALUKKA KARAVALLIMADAPPUR,COIMBATORE TAMIL NADU-641668</t>
  </si>
  <si>
    <t>J10</t>
  </si>
  <si>
    <t>Sri Lakshmi rajan</t>
  </si>
  <si>
    <t>Rajan</t>
  </si>
  <si>
    <t>102015938573</t>
  </si>
  <si>
    <t>7970 1100 9890</t>
  </si>
  <si>
    <t>150010100062283</t>
  </si>
  <si>
    <t>UBIN0554863</t>
  </si>
  <si>
    <t xml:space="preserve">COIMBATORE </t>
  </si>
  <si>
    <t>1/241 thottipalayam,karavalimadhapur,sulur thalukka,karavalimadhapur,karavalimathapur, tamilnadu 641668</t>
  </si>
  <si>
    <t>J11</t>
  </si>
  <si>
    <t>Gobika rajan</t>
  </si>
  <si>
    <t>101794754002</t>
  </si>
  <si>
    <t>6702 3038 4560</t>
  </si>
  <si>
    <t>150010100062210</t>
  </si>
  <si>
    <t>1/231,Thottipalayam,karavalimadhapur,sulur thalukka,karavalimadhapur,karavalimadhapur, coimbatore, tamilnadu 641668</t>
  </si>
  <si>
    <t>J30</t>
  </si>
  <si>
    <t>Hemant munda</t>
  </si>
  <si>
    <t>Mangulu munda</t>
  </si>
  <si>
    <t>101934550476</t>
  </si>
  <si>
    <t>2130 6016 8887</t>
  </si>
  <si>
    <t>0048942058</t>
  </si>
  <si>
    <t>Sankhamur, sankhamur, sankhamur,angul, odisha,759118</t>
  </si>
  <si>
    <t>J32</t>
  </si>
  <si>
    <t>Binthu rajan</t>
  </si>
  <si>
    <t>101047686025</t>
  </si>
  <si>
    <t>8205 9828 2890</t>
  </si>
  <si>
    <t>67340948971</t>
  </si>
  <si>
    <t>1/231, thottipalayam, karavalimadhapur, sulur thalukka, karavalimadhapur coimbatore tamilnadu - 641668</t>
  </si>
  <si>
    <t>J35</t>
  </si>
  <si>
    <t>Sakuntala munda</t>
  </si>
  <si>
    <t>Butta munda</t>
  </si>
  <si>
    <t>101998620164</t>
  </si>
  <si>
    <t>6291 6879 3069</t>
  </si>
  <si>
    <t>0048942454</t>
  </si>
  <si>
    <t>Saruali,tungurabahal,kendujhar,saruali,odisha-758019</t>
  </si>
  <si>
    <t>J49</t>
  </si>
  <si>
    <t>NIKITA KHADIA</t>
  </si>
  <si>
    <t>SANTOSH KHADIA</t>
  </si>
  <si>
    <t>102019086427</t>
  </si>
  <si>
    <t>7856 2880 0044</t>
  </si>
  <si>
    <t>800000027581091</t>
  </si>
  <si>
    <t>SAMBALPUR, SUBANPUR, AMKUNI, ODISHA-768113</t>
  </si>
  <si>
    <t>J59</t>
  </si>
  <si>
    <t>RAJANI MUNDA</t>
  </si>
  <si>
    <t>JUDHISTIR MUNDA</t>
  </si>
  <si>
    <t>101913881465</t>
  </si>
  <si>
    <t>7266 5666 9754</t>
  </si>
  <si>
    <t>110117069510</t>
  </si>
  <si>
    <t>CNRD0016146</t>
  </si>
  <si>
    <t>KANIUR</t>
  </si>
  <si>
    <t>SANJKARMA,MALIPALI,SAMBALPUR SANKARMA ODISHA-768006</t>
  </si>
  <si>
    <t>J69</t>
  </si>
  <si>
    <t>SUDHAPRIYA PALANISAMY</t>
  </si>
  <si>
    <t>03/13/2024</t>
  </si>
  <si>
    <t>101701659866</t>
  </si>
  <si>
    <t>4068 7177 0547</t>
  </si>
  <si>
    <t>40900386038</t>
  </si>
  <si>
    <t>1/259 PATTARASIYAMMAN KOVIL STREET THOTTIPALAYAM,KARAVALLIMADAPPUR,COIMBATORE TAMILNADU-641668</t>
  </si>
  <si>
    <t>J70</t>
  </si>
  <si>
    <t>VIMALA KATTYURAJAN</t>
  </si>
  <si>
    <t>KANDURAJA</t>
  </si>
  <si>
    <t>101150602855</t>
  </si>
  <si>
    <t>2033 0198 3270</t>
  </si>
  <si>
    <t>800000029307479</t>
  </si>
  <si>
    <t>7/88 E3, EZHIL NAGAR, RASIPALAYAM, COIMBATORE</t>
  </si>
  <si>
    <t>J71</t>
  </si>
  <si>
    <t>SATHYA PRIYA</t>
  </si>
  <si>
    <t>102051471950</t>
  </si>
  <si>
    <t>3390 9503 8114</t>
  </si>
  <si>
    <t>334902010148495</t>
  </si>
  <si>
    <t>4/109, PERUMAL KOVIL STREET,KARAVAZHI MADAPPUR,SULUR TALUK,SULUR,COIMBATORE,TAMIL NADU-641668</t>
  </si>
  <si>
    <t>J72</t>
  </si>
  <si>
    <t>PAVITHRA DHANDAPANI</t>
  </si>
  <si>
    <t>BA</t>
  </si>
  <si>
    <t>DHANDAPANI</t>
  </si>
  <si>
    <t>101849919905</t>
  </si>
  <si>
    <t>2169 4800 1661</t>
  </si>
  <si>
    <t>4260120000348</t>
  </si>
  <si>
    <t>1/163, PATTATHARASIYAMMAN KOVIL STREET,THOTTI PALAYAM,SULUR TALUK,KARAVALLI MADAPPUR,COIMBATORE,TAMIL NADU-641668</t>
  </si>
  <si>
    <t>J76</t>
  </si>
  <si>
    <t>JAMUNA NAIK</t>
  </si>
  <si>
    <t>DHABALA NAIK</t>
  </si>
  <si>
    <t>101870317123</t>
  </si>
  <si>
    <t>5852 8587 3226</t>
  </si>
  <si>
    <t>42580521202</t>
  </si>
  <si>
    <t>SBIN0016548</t>
  </si>
  <si>
    <t>KALLUPATTI</t>
  </si>
  <si>
    <t xml:space="preserve">Somanur pirivu, Muthugoundanpudur, sulur, Coimbatore, Tamil Nadu </t>
  </si>
  <si>
    <t>J77</t>
  </si>
  <si>
    <t>KURESH KUMAR</t>
  </si>
  <si>
    <t>TARINI KAMAR</t>
  </si>
  <si>
    <t>102021707073</t>
  </si>
  <si>
    <t>4012 8411 8962</t>
  </si>
  <si>
    <t>38621154807</t>
  </si>
  <si>
    <t>SBIN0012116</t>
  </si>
  <si>
    <t>MOHANA</t>
  </si>
  <si>
    <t>013,KARCHIBADI,DHEPANAJU,GAJAPATI,KARCHABADI,ODISHA-761212</t>
  </si>
  <si>
    <t>J74</t>
  </si>
  <si>
    <t xml:space="preserve"> RADHA GAYATHIRI</t>
  </si>
  <si>
    <t>8085 4212 0687</t>
  </si>
  <si>
    <t>J80</t>
  </si>
  <si>
    <t>ANITA PRADHAN</t>
  </si>
  <si>
    <t>22/2/1992</t>
  </si>
  <si>
    <t>PRAVEEN PRADHAN</t>
  </si>
  <si>
    <t>102020361239</t>
  </si>
  <si>
    <t>8242 0445 9148</t>
  </si>
  <si>
    <t>1121193000005639</t>
  </si>
  <si>
    <t>Coimbatore DR.Nanjappa Road</t>
  </si>
  <si>
    <t>SARASWATIPUR TEA GARDEN,JALPAIGURI,WEST BENGAL-735133</t>
  </si>
  <si>
    <t>J82</t>
  </si>
  <si>
    <t>MUTHUKRISHNAN JAYABAL</t>
  </si>
  <si>
    <t>JJAYABAL</t>
  </si>
  <si>
    <t>102059376697</t>
  </si>
  <si>
    <t>7438 0990 2663</t>
  </si>
  <si>
    <t>50100508279447</t>
  </si>
  <si>
    <t>HDFC0009592</t>
  </si>
  <si>
    <t>HDFC</t>
  </si>
  <si>
    <t>2/30, MATHIYALAGAN NAGAR, 5TH STREET, SULUR, THALUK, SULUR, COIMBATORE, TAMIL NADU-641402</t>
  </si>
  <si>
    <t>J79</t>
  </si>
  <si>
    <t>BIDHYA PRADHAN</t>
  </si>
  <si>
    <t>102020361764</t>
  </si>
  <si>
    <t>3996 5015 1746</t>
  </si>
  <si>
    <t>1121193000005603</t>
  </si>
  <si>
    <t>J90</t>
  </si>
  <si>
    <t>SAKUNTALA MUNDA</t>
  </si>
  <si>
    <t>J60</t>
  </si>
  <si>
    <t>SUKDEV HANSDA</t>
  </si>
  <si>
    <t>Store Helper</t>
  </si>
  <si>
    <t>MANJHI HANSDA</t>
  </si>
  <si>
    <t>101445037038</t>
  </si>
  <si>
    <t>9306 8987 5750</t>
  </si>
  <si>
    <t>33122962943</t>
  </si>
  <si>
    <t>SBIN0009812</t>
  </si>
  <si>
    <t>BABUPUR</t>
  </si>
  <si>
    <t>PO-KUNDAHIT RAMPUR,JAMTARA JHARKHAND-815359</t>
  </si>
  <si>
    <t>J99</t>
  </si>
  <si>
    <t>RAHUL KUMAR</t>
  </si>
  <si>
    <t>NANHKU MANJHHI</t>
  </si>
  <si>
    <t>102101498121</t>
  </si>
  <si>
    <t>390506811603</t>
  </si>
  <si>
    <t>923010053511943</t>
  </si>
  <si>
    <t>UTIB0003300</t>
  </si>
  <si>
    <t>AXIS BANK</t>
  </si>
  <si>
    <t>THUDIYALUR</t>
  </si>
  <si>
    <t>GRAM-KUMARADIH, POST SAREN,PS-MAKHDUMPUR, TEHTA, JEHANABAD, BIHAR-804427</t>
  </si>
  <si>
    <t>J100</t>
  </si>
  <si>
    <t>BIJALI KUMAR</t>
  </si>
  <si>
    <t>SANJAY MANJHI</t>
  </si>
  <si>
    <t>102101498081</t>
  </si>
  <si>
    <t>514620912499</t>
  </si>
  <si>
    <t>923010053426190</t>
  </si>
  <si>
    <t>GRAM USMANCHAK POST, NISLAWAN, PATNA, BIHAR-804452</t>
  </si>
  <si>
    <t>J101</t>
  </si>
  <si>
    <t>SUBODH KUMAR</t>
  </si>
  <si>
    <t>7TH</t>
  </si>
  <si>
    <t>DUKHAHARAN MANJHI</t>
  </si>
  <si>
    <t>101974772783</t>
  </si>
  <si>
    <t>206392959507</t>
  </si>
  <si>
    <t>923010053513347</t>
  </si>
  <si>
    <t>J109</t>
  </si>
  <si>
    <t>DHANESWAR MUNDA</t>
  </si>
  <si>
    <t>DUMBI MUNDA</t>
  </si>
  <si>
    <t>101479325065</t>
  </si>
  <si>
    <t>995996627490</t>
  </si>
  <si>
    <t>40168228824</t>
  </si>
  <si>
    <t>SBIN0013612</t>
  </si>
  <si>
    <t>GHASIPURA</t>
  </si>
  <si>
    <t>SCHOOL SAHI, KOLIMATI, DARAKHOLA, KEDUNJHAR, SANTOSPUR, ODISHA-758015</t>
  </si>
  <si>
    <t>J84</t>
  </si>
  <si>
    <t>BINDHU RAJAN</t>
  </si>
  <si>
    <t>J98</t>
  </si>
  <si>
    <t>RAJKAPUR SONI</t>
  </si>
  <si>
    <t>11TH</t>
  </si>
  <si>
    <t>VASHUDEV SAW</t>
  </si>
  <si>
    <t>101995508750</t>
  </si>
  <si>
    <t>5610720724</t>
  </si>
  <si>
    <t>453340121157</t>
  </si>
  <si>
    <t>501030613799</t>
  </si>
  <si>
    <t>NAWARI PARA SONARMUHALA WARD NO 20, LOHARDAGA, JHARKHAND-835302</t>
  </si>
  <si>
    <t>J62</t>
  </si>
  <si>
    <t>PARTHIBAN SURESHKUMAR</t>
  </si>
  <si>
    <t>KANNIYAMPALAYAM</t>
  </si>
  <si>
    <t>SURESHKUMAR</t>
  </si>
  <si>
    <t>102042558010</t>
  </si>
  <si>
    <t>7014 5964 1439</t>
  </si>
  <si>
    <t>289810100006676</t>
  </si>
  <si>
    <t>UBIN0828980</t>
  </si>
  <si>
    <t>KADAMBADI</t>
  </si>
  <si>
    <t>3/195H,NEHRUNARAR,KANGAYAMPALAYAM, COIMBATORE TAMIL NADU-641401</t>
  </si>
  <si>
    <t>J117</t>
  </si>
  <si>
    <t>VIGNESH VELLINGIRI</t>
  </si>
  <si>
    <t>VELLIANGIRI</t>
  </si>
  <si>
    <t>101622072182</t>
  </si>
  <si>
    <t>648777300605</t>
  </si>
  <si>
    <t>824010110010852</t>
  </si>
  <si>
    <t>BKID0008240</t>
  </si>
  <si>
    <t>BANK OF INDIA</t>
  </si>
  <si>
    <t>6/87-2, ANNA NAGAR, KANNAMPALAYAM, SULUR, COIMBATORE, TAMILNADU-641402</t>
  </si>
  <si>
    <t>J94</t>
  </si>
  <si>
    <t>BAISAKHI NAIK</t>
  </si>
  <si>
    <t>DAYA NAIK</t>
  </si>
  <si>
    <t>101899451414</t>
  </si>
  <si>
    <t>273428930476</t>
  </si>
  <si>
    <t>23620110101773</t>
  </si>
  <si>
    <t>UCBA0002362</t>
  </si>
  <si>
    <t>KAMAKHYANAGAR</t>
  </si>
  <si>
    <t>MAHULPALA,KAKUDIA,MAHULPAL DHENKANAL,ODISHA-759018</t>
  </si>
  <si>
    <t>J118</t>
  </si>
  <si>
    <t>BASKAR J</t>
  </si>
  <si>
    <t>JAYAKUMAR</t>
  </si>
  <si>
    <t>102076748280</t>
  </si>
  <si>
    <t>262048847242</t>
  </si>
  <si>
    <t>4260101007049</t>
  </si>
  <si>
    <t>1/575, SINGAPORE STREET, DEVARAYANPALAYAM, ICHIPATTI, PALLADAM, TIRUPPUR, TAMIL NADU-641668</t>
  </si>
  <si>
    <t>J120</t>
  </si>
  <si>
    <t>SRIDHAR R</t>
  </si>
  <si>
    <t>RAJADURAI</t>
  </si>
  <si>
    <t>102076749431</t>
  </si>
  <si>
    <t>760240780582</t>
  </si>
  <si>
    <t>36043831097</t>
  </si>
  <si>
    <t>SBIN0006911</t>
  </si>
  <si>
    <t>SAMALAPURAM</t>
  </si>
  <si>
    <t>3/227, B R T QUARTERS, KOMBAKKADU PUDUR, ICHIPATTI, PALLADAM, TIRUPPUR, TAMILNADU-641668</t>
  </si>
  <si>
    <t>J97</t>
  </si>
  <si>
    <t>MOHANTY MAHAKUD</t>
  </si>
  <si>
    <t>SELAI MAHAKUD</t>
  </si>
  <si>
    <t>101708949150</t>
  </si>
  <si>
    <t>5610760241</t>
  </si>
  <si>
    <t>663534761553</t>
  </si>
  <si>
    <t>39931333364</t>
  </si>
  <si>
    <t>SCHOOL SAHI, KOLIMATI, DARAKHOLA, KENDUJHAR, SANTOSPUR, ODISHA-758015</t>
  </si>
  <si>
    <t>J113</t>
  </si>
  <si>
    <t>ESTHER MERLIN ANTONY RAJ</t>
  </si>
  <si>
    <t>ANTONY RAJ</t>
  </si>
  <si>
    <t>101147956817</t>
  </si>
  <si>
    <t>357996185258</t>
  </si>
  <si>
    <t>67359587582</t>
  </si>
  <si>
    <t>45/4G, CHURCH STREET, MARIYANALLUR, SOMANUR, COIMBATORE, TAMILNADU-641668</t>
  </si>
  <si>
    <t>J116</t>
  </si>
  <si>
    <t>SHANTHI PALANISAMY</t>
  </si>
  <si>
    <t>101451687394</t>
  </si>
  <si>
    <t>412178395933</t>
  </si>
  <si>
    <t>35146196893</t>
  </si>
  <si>
    <t>1/278, PADEESWARAN KOVIL STREET, THOTTIPALAYAM, SULUR, KARAVALLIMADAPPUR, COIMBATORE, TAMILNADU-641668</t>
  </si>
  <si>
    <t>J124</t>
  </si>
  <si>
    <t>BANUPRIYA KARUPPUSAMY</t>
  </si>
  <si>
    <t>VELLANAIPATTI</t>
  </si>
  <si>
    <t>KARUPPUSAMY</t>
  </si>
  <si>
    <t>101525496189</t>
  </si>
  <si>
    <t>467441868145</t>
  </si>
  <si>
    <t>50200004269738</t>
  </si>
  <si>
    <t>ESMF0001323</t>
  </si>
  <si>
    <t>ESAF SMALL FINANCE BANK</t>
  </si>
  <si>
    <t>6/17, MGR NAGAR, VELLANAIPATTI, COIMBATORE, TAMIL NADU-641048</t>
  </si>
  <si>
    <t>J68</t>
  </si>
  <si>
    <t>HARIHARAN M</t>
  </si>
  <si>
    <t>DIPLOMA</t>
  </si>
  <si>
    <t>MANI</t>
  </si>
  <si>
    <t>102046223815</t>
  </si>
  <si>
    <t>3895 5217 8675</t>
  </si>
  <si>
    <t>50100400234419</t>
  </si>
  <si>
    <t>48/9,KUPPA THNAR STREET SULUR TALUK,SULUR COIMBATORE TAMIL NADU-641402</t>
  </si>
  <si>
    <t>J88</t>
  </si>
  <si>
    <t>J91</t>
  </si>
  <si>
    <t>DIPLOMA NURSING</t>
  </si>
  <si>
    <t>6567423360</t>
  </si>
  <si>
    <t>IDIB000T128</t>
  </si>
  <si>
    <t>J127</t>
  </si>
  <si>
    <t xml:space="preserve">VIKASH KUMAR  </t>
  </si>
  <si>
    <t>KAPIL MANJHI</t>
  </si>
  <si>
    <t>102106763666</t>
  </si>
  <si>
    <t>280322312483</t>
  </si>
  <si>
    <t>20298327333</t>
  </si>
  <si>
    <t>FINO0001001</t>
  </si>
  <si>
    <t>FINO BANK</t>
  </si>
  <si>
    <t>SATIVALI</t>
  </si>
  <si>
    <t>PARNAWADA POST,MAJHAUL,THANA,SIRADALA,NAWADA,BIHAR-805127</t>
  </si>
  <si>
    <t>J108</t>
  </si>
  <si>
    <t>930689875750</t>
  </si>
  <si>
    <t>9148363237</t>
  </si>
  <si>
    <t>KKBK0000205</t>
  </si>
  <si>
    <t>KOTAK MAHINDRA BANK</t>
  </si>
  <si>
    <t>DELHI-OKHLA</t>
  </si>
  <si>
    <t>KUNDAHIT,RAMPUR,JAMTARA,JHARKHAND-815359</t>
  </si>
  <si>
    <t>J122</t>
  </si>
  <si>
    <t>BANITA BEHERA</t>
  </si>
  <si>
    <t>NARAHARI BEHERA</t>
  </si>
  <si>
    <t>102117687721</t>
  </si>
  <si>
    <t>568689359968</t>
  </si>
  <si>
    <t>37247211746</t>
  </si>
  <si>
    <t>SBIN0003088</t>
  </si>
  <si>
    <t>PURUSOTTAMPUR</t>
  </si>
  <si>
    <t>BARAPALLI, ALLADIGAM, PURUSOTTAMPUR, GANJAM, ODISHA-761019</t>
  </si>
  <si>
    <t>J75</t>
  </si>
  <si>
    <t>BANUPRIYA MURUGESAN</t>
  </si>
  <si>
    <t>KARUMATHAPATTI</t>
  </si>
  <si>
    <t>B.COM</t>
  </si>
  <si>
    <t>MURUGESAN</t>
  </si>
  <si>
    <t>101338208181</t>
  </si>
  <si>
    <t>433161213568</t>
  </si>
  <si>
    <t>IDIB000V058</t>
  </si>
  <si>
    <t>VAGARAYAMPALAYAM</t>
  </si>
  <si>
    <t>RAJEEV NAGAR,MADAPUR ROAD,KANIYUR,KARUMATHAMPATTI COIMBATORE,TAMIL NADU-641659</t>
  </si>
  <si>
    <t>J73</t>
  </si>
  <si>
    <t>VIDIVELLI GOVINDARAJ</t>
  </si>
  <si>
    <t>GOVINDARAJ</t>
  </si>
  <si>
    <t>101586130305</t>
  </si>
  <si>
    <t>465428665059</t>
  </si>
  <si>
    <t>158220865375</t>
  </si>
  <si>
    <t>INDB0000080</t>
  </si>
  <si>
    <t>INDUSLAND BANK</t>
  </si>
  <si>
    <t>INDHIRA NAGAR,UNJAPALAYAM,VTC;KANIYUR,PO-KANIYUR PALLADAM,COIMBATORE TAMIL NADU-641659</t>
  </si>
  <si>
    <t>J103</t>
  </si>
  <si>
    <t>BINOD  MARANDI</t>
  </si>
  <si>
    <t>SRI RABILAL MARANDI</t>
  </si>
  <si>
    <t>102109180686</t>
  </si>
  <si>
    <t>5610770778</t>
  </si>
  <si>
    <t>588225785137</t>
  </si>
  <si>
    <t>501030187977</t>
  </si>
  <si>
    <t>POST GUNDLI DANGAL, THANA JAMA, MADHUBAN, DUMKA, JHARKHAND-814146</t>
  </si>
  <si>
    <t>J104</t>
  </si>
  <si>
    <t>MENEJAR HEMBROM</t>
  </si>
  <si>
    <t>BABURAM HEMBROM</t>
  </si>
  <si>
    <t>101552018310</t>
  </si>
  <si>
    <t>5610770811</t>
  </si>
  <si>
    <t>736430276955</t>
  </si>
  <si>
    <t>501030187478</t>
  </si>
  <si>
    <t>MADHUBAN, PO-GUNDALI DANGAL, THANA-JAMA, DUMKA, JHARKHAND-814146</t>
  </si>
  <si>
    <t>J105</t>
  </si>
  <si>
    <t>BUDILAL HEMBROM</t>
  </si>
  <si>
    <t>BULIRAM HEMBROM</t>
  </si>
  <si>
    <t>102109429565</t>
  </si>
  <si>
    <t>5610770878</t>
  </si>
  <si>
    <t>543907310744</t>
  </si>
  <si>
    <t>501030187259</t>
  </si>
  <si>
    <t>J106</t>
  </si>
  <si>
    <t>AAILET TUDU</t>
  </si>
  <si>
    <t>SUDHIR TUDU</t>
  </si>
  <si>
    <t>102109429577</t>
  </si>
  <si>
    <t>5610770938</t>
  </si>
  <si>
    <t>463276455801</t>
  </si>
  <si>
    <t>501030186100</t>
  </si>
  <si>
    <t>MANKACHAK, POST-BHOTOKAURIA, THANA-JAMA, DUMKA, JHARKHAND-814146</t>
  </si>
  <si>
    <t>J107</t>
  </si>
  <si>
    <t>DEBISHAL HEMBROM</t>
  </si>
  <si>
    <t>101598795973</t>
  </si>
  <si>
    <t>5610770992</t>
  </si>
  <si>
    <t>329545361546</t>
  </si>
  <si>
    <t>501030187819</t>
  </si>
  <si>
    <t>J112</t>
  </si>
  <si>
    <t>SUSHAMA MUNDA</t>
  </si>
  <si>
    <t>101912409228</t>
  </si>
  <si>
    <t>849230599890</t>
  </si>
  <si>
    <t>SAWKARMA MALIKKALI, SAMBALIPUR, ODISHA-768006</t>
  </si>
  <si>
    <t>J115</t>
  </si>
  <si>
    <t>DIVYA</t>
  </si>
  <si>
    <t>101786127482</t>
  </si>
  <si>
    <t>314377559242</t>
  </si>
  <si>
    <t>334902120002206</t>
  </si>
  <si>
    <t>UNION BANK OF INDIA</t>
  </si>
  <si>
    <t>1/266, ARIJANA COLONY, THOTTIPALAYAM, KARAVALLI,ADAPPUR, COIMBATORE, TAMILNADU-641668</t>
  </si>
  <si>
    <t>J119</t>
  </si>
  <si>
    <t>AMSAVENI SARAVANAKUMAR</t>
  </si>
  <si>
    <t>W/O SARAVANAKUMAR</t>
  </si>
  <si>
    <t>101832089870</t>
  </si>
  <si>
    <t>209867010395</t>
  </si>
  <si>
    <t>334902010137635</t>
  </si>
  <si>
    <t>1/150, PATTATHARASIYAMMAN KOVIL STREET, THOTTIPALAYAM, SULUR, KARAVALLIMADAPUR, COIMBATORE, TAMILNADU-641668</t>
  </si>
  <si>
    <t>J121</t>
  </si>
  <si>
    <t>NISHA S</t>
  </si>
  <si>
    <t>SAGAYARAJ</t>
  </si>
  <si>
    <t>101470886958</t>
  </si>
  <si>
    <t>953626716235</t>
  </si>
  <si>
    <t>3437108001372</t>
  </si>
  <si>
    <t>CNRB0003437</t>
  </si>
  <si>
    <t>KARUMATHAMPATTI</t>
  </si>
  <si>
    <t>10/69, ANNAMMAL KOVIL STREET, MARIYANALLUR, SOMANUR, COIMBATORE, TAMILNADU-641668</t>
  </si>
  <si>
    <t>J125</t>
  </si>
  <si>
    <t>J128</t>
  </si>
  <si>
    <t>SANJUKTA SAHU</t>
  </si>
  <si>
    <t>BASUDEV SAHU</t>
  </si>
  <si>
    <t>102060373229</t>
  </si>
  <si>
    <t>537178726052</t>
  </si>
  <si>
    <t>MALAMUNDA,CHANDIPALI,BARGAM,ODISA-768035</t>
  </si>
  <si>
    <t>J130</t>
  </si>
  <si>
    <t>ANJALI THIRUMALAISAMY</t>
  </si>
  <si>
    <t>W/O ARUN KUMAR</t>
  </si>
  <si>
    <t>101842685493</t>
  </si>
  <si>
    <t>464139589466</t>
  </si>
  <si>
    <t>334902120000531</t>
  </si>
  <si>
    <t>1/272 PATTATHARASIYAMMAN KOVIL STREET, THOTTIPALAYAM, SULUR, KARAVALLIMADAPPUR, KARAVALIMADAPUR, COIMBATORE-641668</t>
  </si>
  <si>
    <t>J06</t>
  </si>
  <si>
    <t xml:space="preserve">Nachammal </t>
  </si>
  <si>
    <t>102013718359</t>
  </si>
  <si>
    <t>333958840595</t>
  </si>
  <si>
    <t>334902010148405</t>
  </si>
  <si>
    <t>4/565,Anna nagar karavazhimadappur,sulur, coimbatore 641668</t>
  </si>
  <si>
    <t>J95</t>
  </si>
  <si>
    <t>406871770547</t>
  </si>
  <si>
    <t>J96</t>
  </si>
  <si>
    <t>RINA MUNDA</t>
  </si>
  <si>
    <t>HEMANT MUNDA</t>
  </si>
  <si>
    <t>588185109860</t>
  </si>
  <si>
    <t>J126</t>
  </si>
  <si>
    <t>KARTHIKEYANI SUBIRAMANIYAN</t>
  </si>
  <si>
    <t>SUBIRAMANIYAN</t>
  </si>
  <si>
    <t>101586902489</t>
  </si>
  <si>
    <t>513392178914</t>
  </si>
  <si>
    <t>33154914050</t>
  </si>
  <si>
    <t>4/187, ARUGAMPALAYAM, RASIPALAYAM, COIMBATORE, TAMILNADU-641402</t>
  </si>
  <si>
    <t>J132</t>
  </si>
  <si>
    <t>J92</t>
  </si>
  <si>
    <t>PINKI BISWAL</t>
  </si>
  <si>
    <t>780950379266</t>
  </si>
  <si>
    <t>501035101359</t>
  </si>
  <si>
    <t>J102</t>
  </si>
  <si>
    <t>NETHISH RAJ S</t>
  </si>
  <si>
    <t>SANKAR</t>
  </si>
  <si>
    <t>102108394977</t>
  </si>
  <si>
    <t>633554299604</t>
  </si>
  <si>
    <t>1665155000078323</t>
  </si>
  <si>
    <t>KVBL0001665</t>
  </si>
  <si>
    <t>KARUR VASYA BANK</t>
  </si>
  <si>
    <t>COIMBATORE-SULUR</t>
  </si>
  <si>
    <t>6/1D, THANDAL MUTHAN STREET, KANNAMPALAYAM, SULUR, COIMBATORE, TAMIL NADU-641402</t>
  </si>
  <si>
    <t>J03</t>
  </si>
  <si>
    <t>RAJESHWARI M</t>
  </si>
  <si>
    <t xml:space="preserve">Muthupandi </t>
  </si>
  <si>
    <t>102013524745</t>
  </si>
  <si>
    <t>525726593136</t>
  </si>
  <si>
    <t>67397461279</t>
  </si>
  <si>
    <t>J133</t>
  </si>
  <si>
    <t>J93</t>
  </si>
  <si>
    <t>RAJANI ORAM</t>
  </si>
  <si>
    <t>SUBASH ORAM</t>
  </si>
  <si>
    <t>102067572091</t>
  </si>
  <si>
    <t>777437970430</t>
  </si>
  <si>
    <t>110167413738</t>
  </si>
  <si>
    <t>CNRB0002805</t>
  </si>
  <si>
    <t>JHARSUGUDA</t>
  </si>
  <si>
    <t>97,ORAMAPASDA,KALIMANDIR,JHARSUGUDA,ODISHA-768202</t>
  </si>
  <si>
    <t>J145</t>
  </si>
  <si>
    <t xml:space="preserve">Sangeetha </t>
  </si>
  <si>
    <t>5th</t>
  </si>
  <si>
    <t xml:space="preserve">Married </t>
  </si>
  <si>
    <t xml:space="preserve">Prasath </t>
  </si>
  <si>
    <t>101932212439</t>
  </si>
  <si>
    <t>451072218991</t>
  </si>
  <si>
    <t>50100610096655</t>
  </si>
  <si>
    <t>HDFC0005194</t>
  </si>
  <si>
    <t>4/296 anna Nagar karavaill madapur coimbatore tamil nadu - 641668</t>
  </si>
  <si>
    <t>J146</t>
  </si>
  <si>
    <t xml:space="preserve">MARAGATHAMANI </t>
  </si>
  <si>
    <t>GOPAL</t>
  </si>
  <si>
    <t>102218786487</t>
  </si>
  <si>
    <t>995240734315</t>
  </si>
  <si>
    <t>184501000019786</t>
  </si>
  <si>
    <t>6/155, ARISANA COLONY, KOLLUPALAYAM, KANIYUR, PALLADAM, TAMILNADU -641659</t>
  </si>
  <si>
    <t>J147</t>
  </si>
  <si>
    <t>Dhanalakshmi</t>
  </si>
  <si>
    <t>Selva Ganapathi</t>
  </si>
  <si>
    <t>101978665969</t>
  </si>
  <si>
    <t>747425637455</t>
  </si>
  <si>
    <t>239100050306866</t>
  </si>
  <si>
    <t>TMBL0000239</t>
  </si>
  <si>
    <t>TMBL</t>
  </si>
  <si>
    <t xml:space="preserve">Somanur </t>
  </si>
  <si>
    <t>17/28 F saradambal Nagar karumattampatti Coimbatore Tamil Nadu 641659</t>
  </si>
  <si>
    <t>J149</t>
  </si>
  <si>
    <t>Saroni.t</t>
  </si>
  <si>
    <t>101434701179</t>
  </si>
  <si>
    <t>256600239846</t>
  </si>
  <si>
    <t>110108005326</t>
  </si>
  <si>
    <t xml:space="preserve">Canara Bank </t>
  </si>
  <si>
    <t>88A/2 pillayar Kovil Street karumattampatti pudur sub sulur coimbatore tamil nadu 641659</t>
  </si>
  <si>
    <t>J150</t>
  </si>
  <si>
    <t xml:space="preserve">Malini </t>
  </si>
  <si>
    <t>Raja</t>
  </si>
  <si>
    <t>101676362002</t>
  </si>
  <si>
    <t>495310064827</t>
  </si>
  <si>
    <t>271301000005358</t>
  </si>
  <si>
    <t>IOBA0002713</t>
  </si>
  <si>
    <t xml:space="preserve">Karumattampatti </t>
  </si>
  <si>
    <t xml:space="preserve">30/f andikadu kallaplayam lchipatti palladam Tiruppur </t>
  </si>
  <si>
    <t>J148</t>
  </si>
  <si>
    <t xml:space="preserve">Niranjana </t>
  </si>
  <si>
    <t xml:space="preserve">Senthil </t>
  </si>
  <si>
    <t xml:space="preserve">Un married </t>
  </si>
  <si>
    <t>102222555139</t>
  </si>
  <si>
    <t>642185207524</t>
  </si>
  <si>
    <t>150010100046063</t>
  </si>
  <si>
    <t>UBINO554863</t>
  </si>
  <si>
    <t xml:space="preserve">Union bank </t>
  </si>
  <si>
    <t xml:space="preserve">Sulur </t>
  </si>
  <si>
    <t>9/18 mariyamman kovil street sulur coimbatore tamil nada 641402</t>
  </si>
  <si>
    <t>J89</t>
  </si>
  <si>
    <t>785628800044</t>
  </si>
  <si>
    <t>501035309152</t>
  </si>
  <si>
    <t>J134</t>
  </si>
  <si>
    <t>J136</t>
  </si>
  <si>
    <t>J137</t>
  </si>
  <si>
    <t>J142</t>
  </si>
  <si>
    <t>Kaveri.K</t>
  </si>
  <si>
    <t xml:space="preserve">Female </t>
  </si>
  <si>
    <t>12 th</t>
  </si>
  <si>
    <t xml:space="preserve">Savath kumar </t>
  </si>
  <si>
    <t>101032111219</t>
  </si>
  <si>
    <t>390732930714</t>
  </si>
  <si>
    <t>HDFC0007651</t>
  </si>
  <si>
    <t>1/7B Mariamman Kovil Street , Coimbatore north Coimbatore Tamil Nadu-641030</t>
  </si>
  <si>
    <t>J140</t>
  </si>
  <si>
    <t>ALAMELUMANGAI S</t>
  </si>
  <si>
    <t>QUALITY</t>
  </si>
  <si>
    <t>QA</t>
  </si>
  <si>
    <t>DIPLAMO</t>
  </si>
  <si>
    <t>W/O VENKATRAJ</t>
  </si>
  <si>
    <t>101255753462</t>
  </si>
  <si>
    <t>200267475749</t>
  </si>
  <si>
    <t>184501000022424</t>
  </si>
  <si>
    <t>POOLAKADU, M.G PUDUR, SULUR, COIMBATORE- 641402</t>
  </si>
  <si>
    <t>J175</t>
  </si>
  <si>
    <t>SOBANA</t>
  </si>
  <si>
    <t>RAJ</t>
  </si>
  <si>
    <t>102239371166</t>
  </si>
  <si>
    <t>490228908748</t>
  </si>
  <si>
    <t>713307987</t>
  </si>
  <si>
    <t>2/129 A, ARASAN THOTTAM, RAMACHIPALAYAM, KARAVALLIMADAPPUR, SOMANUR, SULUR, COIMBATORE, TAMILNADU - 641668</t>
  </si>
  <si>
    <t>J176</t>
  </si>
  <si>
    <t>JEYASRI</t>
  </si>
  <si>
    <t>SARAVANAN</t>
  </si>
  <si>
    <t>101956993551</t>
  </si>
  <si>
    <t>344442737598</t>
  </si>
  <si>
    <t>077301000017900</t>
  </si>
  <si>
    <t>IOBA0000773</t>
  </si>
  <si>
    <t>INDIAN OVERSEAS BANK</t>
  </si>
  <si>
    <t>NEDUNGADU</t>
  </si>
  <si>
    <t>RAMACHIPALAYAM, THOTTIPALAYAM, SULUR, SOMANUR, COIMBATORE, TAMILNADU- 641668</t>
  </si>
  <si>
    <t>J177</t>
  </si>
  <si>
    <t>KARAVALLIMADHAPUR</t>
  </si>
  <si>
    <t>KRISHNA SAMY</t>
  </si>
  <si>
    <t>102239376659</t>
  </si>
  <si>
    <t>471334515392</t>
  </si>
  <si>
    <t>334902010139051</t>
  </si>
  <si>
    <t>106, MAGALIYAMMAN KOVIL STREET, RAMACHIPALAYAM, KARAVALLIMADAPPUR, COIMBATORE, TAMILNADU - 641668</t>
  </si>
  <si>
    <t>J172</t>
  </si>
  <si>
    <t>KATHIR</t>
  </si>
  <si>
    <t>NAGARAJ</t>
  </si>
  <si>
    <t>102040752556</t>
  </si>
  <si>
    <t>744215613686</t>
  </si>
  <si>
    <t>347100080200122</t>
  </si>
  <si>
    <t>TMBL0000347</t>
  </si>
  <si>
    <t>TAMILNADU MERCANTILE BANK</t>
  </si>
  <si>
    <t>3/131, RANGAIYAN THOTTAM, SULUR, KARAVALIMADAPUR, COIMBATORE, TAMILNADU - 641668</t>
  </si>
  <si>
    <t>J191</t>
  </si>
  <si>
    <t>SUNIL BEHERA</t>
  </si>
  <si>
    <t>MUNA BEHERA</t>
  </si>
  <si>
    <t>102174431598</t>
  </si>
  <si>
    <t>753229147880</t>
  </si>
  <si>
    <t>9227164927</t>
  </si>
  <si>
    <t>GURUGRAM</t>
  </si>
  <si>
    <t xml:space="preserve">THENNAMPLAYAM, ARASUR ROAD, NEAR GOVT SCHOOL, COIMBATORE - </t>
  </si>
  <si>
    <t>J182</t>
  </si>
  <si>
    <t>LAVANYA</t>
  </si>
  <si>
    <t>RAJA</t>
  </si>
  <si>
    <t>102217911651</t>
  </si>
  <si>
    <t>265534125744</t>
  </si>
  <si>
    <t>334902120002199</t>
  </si>
  <si>
    <t>1/80, PATTATHARASIYAMMAN KOVIL STREET, THOTTIPALAYAM, SULUR TALUKA, KARAVALLIMADAPPUR, COIMBATORE - 641668</t>
  </si>
  <si>
    <t>J188</t>
  </si>
  <si>
    <t>SUMITHRA JENA</t>
  </si>
  <si>
    <t>TIRLOCHAN JENA</t>
  </si>
  <si>
    <t>102251356638</t>
  </si>
  <si>
    <t>642783126946</t>
  </si>
  <si>
    <t>1285271162</t>
  </si>
  <si>
    <t>MUTHUGOUNDANPUDUR, AK NAGAR, KURUDANPALAYAM, SULUR, COIMABTORE - 641201</t>
  </si>
  <si>
    <t>J185</t>
  </si>
  <si>
    <t>SASMITA JENA</t>
  </si>
  <si>
    <t>PARKSHDA JENA</t>
  </si>
  <si>
    <t>102249878521</t>
  </si>
  <si>
    <t>980295814147</t>
  </si>
  <si>
    <t>38757218971</t>
  </si>
  <si>
    <t>SBIN0012059</t>
  </si>
  <si>
    <t>RAJNAGAR</t>
  </si>
  <si>
    <t>J186</t>
  </si>
  <si>
    <t>URMILA JENA</t>
  </si>
  <si>
    <t>SANJAY JENA</t>
  </si>
  <si>
    <t>102250591923</t>
  </si>
  <si>
    <t>797795570259</t>
  </si>
  <si>
    <t>23518100030156</t>
  </si>
  <si>
    <t>BARB0CHANDI</t>
  </si>
  <si>
    <t>BANK OF BARODA</t>
  </si>
  <si>
    <t>CHANDI</t>
  </si>
  <si>
    <t>J187</t>
  </si>
  <si>
    <t>DEEPA</t>
  </si>
  <si>
    <t>CHARLES MOHAN</t>
  </si>
  <si>
    <t>102250531544</t>
  </si>
  <si>
    <t>763856843650</t>
  </si>
  <si>
    <t>520101075012681</t>
  </si>
  <si>
    <t>UBIN0903663</t>
  </si>
  <si>
    <t>MALLANAGUDI</t>
  </si>
  <si>
    <t>J160</t>
  </si>
  <si>
    <t>GANASUNDARI</t>
  </si>
  <si>
    <t>NAGASUNDARAM</t>
  </si>
  <si>
    <t>101445649692</t>
  </si>
  <si>
    <t>758933442304</t>
  </si>
  <si>
    <t>473100080200154</t>
  </si>
  <si>
    <t>TMBL0000473</t>
  </si>
  <si>
    <t>PERIYAKULAM</t>
  </si>
  <si>
    <t>KURUVAMPALAYAM, SULUR PIRIVU MAIN ROAD, OPP. SOLA BAKERY, ANNA NAGAR, SULUR, COIMBATORE</t>
  </si>
  <si>
    <t>J194</t>
  </si>
  <si>
    <t>DILIP MARANDI</t>
  </si>
  <si>
    <t>LELA MURMU</t>
  </si>
  <si>
    <t>101180506218</t>
  </si>
  <si>
    <t>313289795786</t>
  </si>
  <si>
    <t>9566902052</t>
  </si>
  <si>
    <t>45, MUTHUKOUNDANPUDUR, COIMBATORE</t>
  </si>
  <si>
    <t>J206</t>
  </si>
  <si>
    <t>P ANNALAKSHMI</t>
  </si>
  <si>
    <t>PERUMAL RAJU</t>
  </si>
  <si>
    <t>102197905637</t>
  </si>
  <si>
    <t>657601051060</t>
  </si>
  <si>
    <t>31483096235</t>
  </si>
  <si>
    <t>SBIN0013835</t>
  </si>
  <si>
    <t>SATE BANK OF INDIA</t>
  </si>
  <si>
    <t>ACB WATRAP</t>
  </si>
  <si>
    <t>J202</t>
  </si>
  <si>
    <t>PAVITHRA  VELUSAMY</t>
  </si>
  <si>
    <t>VELUSAMY</t>
  </si>
  <si>
    <t>102265230865</t>
  </si>
  <si>
    <t>624380818814</t>
  </si>
  <si>
    <t>35902463987</t>
  </si>
  <si>
    <t>1/141,SOUTH STREET,KALANGAL,COIMBATORE,TAMILNADU-641402</t>
  </si>
  <si>
    <t>J229</t>
  </si>
  <si>
    <t>MUTHULAKSHMI</t>
  </si>
  <si>
    <t>KUMARAVEL</t>
  </si>
  <si>
    <t>101465273364</t>
  </si>
  <si>
    <t>250112544562</t>
  </si>
  <si>
    <t>4260101006717</t>
  </si>
  <si>
    <t>83/65 CHITRA COMPOUND PILLAIYAR KOVIL STREET ,MANGALAM ROAD SAMALAPURAM,TIRUPPUR TAMILNADU-641663</t>
  </si>
  <si>
    <t>J217</t>
  </si>
  <si>
    <t>AMSAVENI R</t>
  </si>
  <si>
    <t>RAMAMOORTHI</t>
  </si>
  <si>
    <t>101917194131</t>
  </si>
  <si>
    <t>765871339458</t>
  </si>
  <si>
    <t>150010100046577</t>
  </si>
  <si>
    <t>2/108,KALLANGADUTHOTTAM,RASIPALAYAM,SULUR THALIKA,COIMBATORE,TAMILNADU-641 402</t>
  </si>
  <si>
    <t>J208</t>
  </si>
  <si>
    <t>THIRUMOORTHI G</t>
  </si>
  <si>
    <t>SELVI S.</t>
  </si>
  <si>
    <t>102266116007</t>
  </si>
  <si>
    <t>478317837531</t>
  </si>
  <si>
    <t>500101012317892</t>
  </si>
  <si>
    <t>CIUB0000138</t>
  </si>
  <si>
    <t>CITY UNION BANK</t>
  </si>
  <si>
    <t>UDUMALPET</t>
  </si>
  <si>
    <t>V G ROV NAGAR 3RD STREET,EARIPALAYAM,UDUMALAIPETTAI,TIRUPPUR,TAMILNADU-642126</t>
  </si>
  <si>
    <t>J209</t>
  </si>
  <si>
    <t>LAVANYA M</t>
  </si>
  <si>
    <t>VADAKAMPALAYAM</t>
  </si>
  <si>
    <t>MBA</t>
  </si>
  <si>
    <t>MANOHARAN K.</t>
  </si>
  <si>
    <t>101899024983</t>
  </si>
  <si>
    <t>692635162744</t>
  </si>
  <si>
    <t>8646598257</t>
  </si>
  <si>
    <t>KKBK0008763</t>
  </si>
  <si>
    <t xml:space="preserve">KOTAK MAHINDRA </t>
  </si>
  <si>
    <t>POLLACHI</t>
  </si>
  <si>
    <t>57/35 CHELLAKUMAR STREET, VADUKAPALAYAM,COIMBATORE,TAMILNADU-642001</t>
  </si>
  <si>
    <t>J210</t>
  </si>
  <si>
    <t>GEETHANJALI B</t>
  </si>
  <si>
    <t>BOOPATHI</t>
  </si>
  <si>
    <t>102263627518</t>
  </si>
  <si>
    <t>518768508193</t>
  </si>
  <si>
    <t>6634931639</t>
  </si>
  <si>
    <t>IDIB000H005</t>
  </si>
  <si>
    <t>HARUR</t>
  </si>
  <si>
    <t>J211</t>
  </si>
  <si>
    <t>KALI ROGINI K</t>
  </si>
  <si>
    <t>KALIRAJ A.</t>
  </si>
  <si>
    <t>102263627876</t>
  </si>
  <si>
    <t>672853400879</t>
  </si>
  <si>
    <t>35198557534</t>
  </si>
  <si>
    <t>SBIN0014502</t>
  </si>
  <si>
    <t>MANGALAM</t>
  </si>
  <si>
    <t xml:space="preserve">6, MUTHUGOUNDANPUTHUR, VINAYAGAR, KOVIL STREET, COIMBATORE </t>
  </si>
  <si>
    <t>J212</t>
  </si>
  <si>
    <t>RAMYA R</t>
  </si>
  <si>
    <t>B.TECH</t>
  </si>
  <si>
    <t>RAJAMANICKAM</t>
  </si>
  <si>
    <t>102263628960</t>
  </si>
  <si>
    <t>934453479523</t>
  </si>
  <si>
    <t>110008522479</t>
  </si>
  <si>
    <t>CNRB0001048</t>
  </si>
  <si>
    <t>PILLANALLUR</t>
  </si>
  <si>
    <t>6, MUTHUGOUNDANPUDUR, COIMBATORE</t>
  </si>
  <si>
    <t>J199</t>
  </si>
  <si>
    <t>LILA MURMU</t>
  </si>
  <si>
    <t>600232486877</t>
  </si>
  <si>
    <t>501051528001</t>
  </si>
  <si>
    <t>NSDL</t>
  </si>
  <si>
    <t>J227</t>
  </si>
  <si>
    <t>VEERAMANI P</t>
  </si>
  <si>
    <t>PACHIRAJA</t>
  </si>
  <si>
    <t>102212590698</t>
  </si>
  <si>
    <t>406720212459</t>
  </si>
  <si>
    <t>812032270</t>
  </si>
  <si>
    <t>TNSC0010600</t>
  </si>
  <si>
    <t>MADURAI DISTRICT CENTRAL CO-OPERATIVE BANK</t>
  </si>
  <si>
    <t>ANDIPATTI</t>
  </si>
  <si>
    <t>SULUR,Dist:Coimbatore,</t>
  </si>
  <si>
    <t>J224</t>
  </si>
  <si>
    <t>SADENTHRA MANHJI</t>
  </si>
  <si>
    <t>RAMOHAR MANJHI</t>
  </si>
  <si>
    <t>102266117878</t>
  </si>
  <si>
    <t>521753767266</t>
  </si>
  <si>
    <t>501053722442</t>
  </si>
  <si>
    <t>J225</t>
  </si>
  <si>
    <t>RANJAN  KUMAR</t>
  </si>
  <si>
    <t>SATYENDRA MANJHI</t>
  </si>
  <si>
    <t>102266117591</t>
  </si>
  <si>
    <t>393027388957</t>
  </si>
  <si>
    <t>501053723010</t>
  </si>
  <si>
    <t>J220</t>
  </si>
  <si>
    <t>SUNITHA  DEVI</t>
  </si>
  <si>
    <t>Jageshwar Bhuiyan</t>
  </si>
  <si>
    <t>102103436428</t>
  </si>
  <si>
    <t>625977538306</t>
  </si>
  <si>
    <t>8102232796</t>
  </si>
  <si>
    <t>J139</t>
  </si>
  <si>
    <t>DHILIP KUMAR MUNDA</t>
  </si>
  <si>
    <t>MUTHUGOUNDANPUDUR, SULUR, COIMBATORE, TAMILNADU- 641402</t>
  </si>
  <si>
    <t>J152</t>
  </si>
  <si>
    <t>Sukdev Hansda</t>
  </si>
  <si>
    <t xml:space="preserve">Male </t>
  </si>
  <si>
    <t xml:space="preserve">Manjhi hansda </t>
  </si>
  <si>
    <t xml:space="preserve">SBIN0009812 </t>
  </si>
  <si>
    <t>Bubupur</t>
  </si>
  <si>
    <t>KALIYAPURAM, SOMANUR ROAD, COIMBATORE, TAMILNADU</t>
  </si>
  <si>
    <t>J154</t>
  </si>
  <si>
    <t>LAKSHMI M</t>
  </si>
  <si>
    <t>B A</t>
  </si>
  <si>
    <t>101525983960</t>
  </si>
  <si>
    <t>671879563149</t>
  </si>
  <si>
    <t>40530806053</t>
  </si>
  <si>
    <t>SBIN0002259</t>
  </si>
  <si>
    <t>PONGALUR</t>
  </si>
  <si>
    <t xml:space="preserve">NEAR SCHOOL, PALLAVAN NAGAR, MUTHUGOOUNGANPUDUR, SULUR </t>
  </si>
  <si>
    <t>J156</t>
  </si>
  <si>
    <t>PAVITHRA.D</t>
  </si>
  <si>
    <t>Quality Assistant</t>
  </si>
  <si>
    <t>DINESH</t>
  </si>
  <si>
    <t>102166199747</t>
  </si>
  <si>
    <t>641955617167</t>
  </si>
  <si>
    <t>7339182957</t>
  </si>
  <si>
    <t>2/210, RASIPALAYAM, SULUR, COIMBATORE, TAMILNADU - 641402</t>
  </si>
  <si>
    <t>J157</t>
  </si>
  <si>
    <t>MATHANIKA D</t>
  </si>
  <si>
    <t>JAGADHISH KUMAR</t>
  </si>
  <si>
    <t>101351306431</t>
  </si>
  <si>
    <t>431967268387</t>
  </si>
  <si>
    <t>24130100016887</t>
  </si>
  <si>
    <t>5/16, ARASUR COLONY, MUTHUGOUNDANPUDUR, SULUR, COIMBATORE, TAMILNADU - 641402</t>
  </si>
  <si>
    <t>J170</t>
  </si>
  <si>
    <t>J171</t>
  </si>
  <si>
    <t>RATHI PRIYA</t>
  </si>
  <si>
    <t>NATARAJ</t>
  </si>
  <si>
    <t>101454408735</t>
  </si>
  <si>
    <t>531296308923</t>
  </si>
  <si>
    <t>520101059493591</t>
  </si>
  <si>
    <t>3/12, EAST STREET, RASIPALAYAM, COIMBATORE, TAMILNADU - 641402</t>
  </si>
  <si>
    <t>J193</t>
  </si>
  <si>
    <t>SANDRALEKA M</t>
  </si>
  <si>
    <t>MANIKANDAN</t>
  </si>
  <si>
    <t>101207129762</t>
  </si>
  <si>
    <t>358856800086</t>
  </si>
  <si>
    <t>43447482340</t>
  </si>
  <si>
    <t>3/35 EAST STREET RASIPALAYAM,COIMBATORE,TAMILNADU-641402</t>
  </si>
  <si>
    <t>J161</t>
  </si>
  <si>
    <t>J153</t>
  </si>
  <si>
    <t>PADMAVATHI</t>
  </si>
  <si>
    <t xml:space="preserve"> SAKTHIVEL</t>
  </si>
  <si>
    <t>101427075888</t>
  </si>
  <si>
    <t>579532850111</t>
  </si>
  <si>
    <t>99980125747449</t>
  </si>
  <si>
    <t>5/12, ARASUR COLONY, MUTHUGOUNDANPUDUR, SULUR, COIMBATORE, TAMILNADU - 641402</t>
  </si>
  <si>
    <t>J86</t>
  </si>
  <si>
    <t>SRI LAKSHMI RAJAN</t>
  </si>
  <si>
    <t>797011009890</t>
  </si>
  <si>
    <t>J87</t>
  </si>
  <si>
    <t>GOPIKA RAJAN</t>
  </si>
  <si>
    <t>670230384560</t>
  </si>
  <si>
    <t>J114</t>
  </si>
  <si>
    <t>KURUBAPALAYAM</t>
  </si>
  <si>
    <t>J129</t>
  </si>
  <si>
    <t>J131</t>
  </si>
  <si>
    <t>J138</t>
  </si>
  <si>
    <t>S.AISHWARYA</t>
  </si>
  <si>
    <t>J143</t>
  </si>
  <si>
    <t xml:space="preserve">Sathiya </t>
  </si>
  <si>
    <t xml:space="preserve">Sankar </t>
  </si>
  <si>
    <t>101501794638</t>
  </si>
  <si>
    <t>802137660688</t>
  </si>
  <si>
    <t xml:space="preserve">UBI </t>
  </si>
  <si>
    <t>1/191 thundukadu , thottipalayam sulur taluka karavaill madapur coimbatore tamil nadu - 641668</t>
  </si>
  <si>
    <t>J144</t>
  </si>
  <si>
    <t>Anandhi.M</t>
  </si>
  <si>
    <t>Degree BA</t>
  </si>
  <si>
    <t>Ragavan</t>
  </si>
  <si>
    <t>101709328468</t>
  </si>
  <si>
    <t>289848592174</t>
  </si>
  <si>
    <t xml:space="preserve">BARBOVJTHP </t>
  </si>
  <si>
    <t>BOB</t>
  </si>
  <si>
    <t>Thennampalayam</t>
  </si>
  <si>
    <t>1/191 pattathrasiyamman Kovil street thotti palayam sulur taluk, karavaill madapur coimbatore tamil nadu - 641668</t>
  </si>
  <si>
    <t>J151</t>
  </si>
  <si>
    <t>MANITA KUNKAL</t>
  </si>
  <si>
    <t>FRINU MUNDA</t>
  </si>
  <si>
    <t>102132583773</t>
  </si>
  <si>
    <t>727736063448</t>
  </si>
  <si>
    <t>ARASUR MARKET NEAR, ARASUR, THENNAMPALAYAM, COIMBATORE, TAMILNADU</t>
  </si>
  <si>
    <t>J162</t>
  </si>
  <si>
    <t>SUDALI</t>
  </si>
  <si>
    <t>SHANMUGAVEL</t>
  </si>
  <si>
    <t>102165892403</t>
  </si>
  <si>
    <t>954037855491</t>
  </si>
  <si>
    <t>184501000024472</t>
  </si>
  <si>
    <t>3/8D, EAST STREET, RAASIPALAYAM, SULUR, COIMBATORE, TAMILNADU - 641402</t>
  </si>
  <si>
    <t>J165</t>
  </si>
  <si>
    <t>J167</t>
  </si>
  <si>
    <t>J168</t>
  </si>
  <si>
    <t>PREMA S</t>
  </si>
  <si>
    <t>SAMYNATHAN</t>
  </si>
  <si>
    <t>J179</t>
  </si>
  <si>
    <t>MANOJ KUMAR SAHU</t>
  </si>
  <si>
    <t>RINKI KUMARI</t>
  </si>
  <si>
    <t>101186027931</t>
  </si>
  <si>
    <t>641166648296</t>
  </si>
  <si>
    <t>515810110007126</t>
  </si>
  <si>
    <t>BKID0005158</t>
  </si>
  <si>
    <t>CHHATRAPUR</t>
  </si>
  <si>
    <t>NEAR GOVT SCHOOL, MUTHUGOUNDANPUDUR COLONY, SULUR, COIMBATORE - 641402</t>
  </si>
  <si>
    <t>J192</t>
  </si>
  <si>
    <t>GOLU KUMAR</t>
  </si>
  <si>
    <t>BABLU MAHATO</t>
  </si>
  <si>
    <t>102249812602</t>
  </si>
  <si>
    <t>661761900919</t>
  </si>
  <si>
    <t>8235055021</t>
  </si>
  <si>
    <t>J200</t>
  </si>
  <si>
    <t>SHARMILA DEVI</t>
  </si>
  <si>
    <t>KARUVALIMADAPUR</t>
  </si>
  <si>
    <t>JAGANATHAN</t>
  </si>
  <si>
    <t>101809711697</t>
  </si>
  <si>
    <t>505062206812</t>
  </si>
  <si>
    <t>7808165772</t>
  </si>
  <si>
    <t>IDIB000K169</t>
  </si>
  <si>
    <t>KMCH GOLDWINS</t>
  </si>
  <si>
    <t>4/303,ANNA NAGAR,KARAVALIMADAPPUR,COIMBATORE,TAMILNADU-641668</t>
  </si>
  <si>
    <t>J221</t>
  </si>
  <si>
    <t>MITHRA R.</t>
  </si>
  <si>
    <t>RAJIV</t>
  </si>
  <si>
    <t>102264955387</t>
  </si>
  <si>
    <t>535562714584</t>
  </si>
  <si>
    <t>110056832660</t>
  </si>
  <si>
    <t>J222</t>
  </si>
  <si>
    <t>MAHALAKSHMI T.</t>
  </si>
  <si>
    <t>THANGAVEL</t>
  </si>
  <si>
    <t>J223</t>
  </si>
  <si>
    <t>JAYASRI</t>
  </si>
  <si>
    <t>B.A</t>
  </si>
  <si>
    <t>101465273355</t>
  </si>
  <si>
    <t>247648997935</t>
  </si>
  <si>
    <t>50100443780016</t>
  </si>
  <si>
    <t>HDFC0002231</t>
  </si>
  <si>
    <t>HDFC BANK</t>
  </si>
  <si>
    <t>SARAVANAMPATTI</t>
  </si>
  <si>
    <t>5/114 ARASU COLONY MUTHUGOUNDANPUDUR ,SULUR,COIMBATORE,TAMILNADU</t>
  </si>
  <si>
    <t>J226</t>
  </si>
  <si>
    <t>NEELAVATHI</t>
  </si>
  <si>
    <t>SANTHANMUNIYASAMY</t>
  </si>
  <si>
    <t>101927062642</t>
  </si>
  <si>
    <t>256376530989</t>
  </si>
  <si>
    <t>5125541589</t>
  </si>
  <si>
    <t>CBIN0284211</t>
  </si>
  <si>
    <t>CENTRAL BANK OF INDIA</t>
  </si>
  <si>
    <t>J228</t>
  </si>
  <si>
    <t>DHANSHRI</t>
  </si>
  <si>
    <t>SUDHAKARAN</t>
  </si>
  <si>
    <t>102266065538</t>
  </si>
  <si>
    <t>713226416441</t>
  </si>
  <si>
    <t>7139197771</t>
  </si>
  <si>
    <t>IDIB000R041</t>
  </si>
  <si>
    <t>RAJADHANI</t>
  </si>
  <si>
    <t>J230</t>
  </si>
  <si>
    <t>VENNILA</t>
  </si>
  <si>
    <t>VELUMURUGAN</t>
  </si>
  <si>
    <t>102266077120</t>
  </si>
  <si>
    <t>524040239403</t>
  </si>
  <si>
    <t>109401000054075</t>
  </si>
  <si>
    <t>IOBA0001094</t>
  </si>
  <si>
    <t>ALADI</t>
  </si>
  <si>
    <t>J184</t>
  </si>
  <si>
    <t xml:space="preserve"> SUGANYA ARUMUGAM</t>
  </si>
  <si>
    <t>ARMUGAM</t>
  </si>
  <si>
    <t>102067726427</t>
  </si>
  <si>
    <t>738151916766</t>
  </si>
  <si>
    <t>125801000017360</t>
  </si>
  <si>
    <t>IOBA0001258</t>
  </si>
  <si>
    <t>ODDANCHATRAM</t>
  </si>
  <si>
    <t>MUTHUGOUNDANPUDUR, NEAR LNW, MAARIAMMANKOVIL STREET, VADAKKUVEDI, SULUR, COIMBATORE</t>
  </si>
  <si>
    <t>J183</t>
  </si>
  <si>
    <t>KARTHIK</t>
  </si>
  <si>
    <t>3/90, EAST STREET, SULUR, RASIPALAYAM, COIMABTORE - 641402</t>
  </si>
  <si>
    <t>J189</t>
  </si>
  <si>
    <t>BHARATHI R</t>
  </si>
  <si>
    <t>RAJENDRAN</t>
  </si>
  <si>
    <t>102249876475</t>
  </si>
  <si>
    <t>363665584147</t>
  </si>
  <si>
    <t>7642500103377001</t>
  </si>
  <si>
    <t>KARB0000764</t>
  </si>
  <si>
    <t>KARNATAKA BANK</t>
  </si>
  <si>
    <t>TIRUPUR</t>
  </si>
  <si>
    <t>PETROL BUNK BACKSIDE, VINYAGAR KOVIL VEEDI, SULUR MAIN ROAD, SULUR, COIMBATORE</t>
  </si>
  <si>
    <t>J190</t>
  </si>
  <si>
    <t>SENTHIL KUMAR S</t>
  </si>
  <si>
    <t>SHANMUGAM</t>
  </si>
  <si>
    <t>102233239583</t>
  </si>
  <si>
    <t>350323977622</t>
  </si>
  <si>
    <t>016101000047693</t>
  </si>
  <si>
    <t>IOBA0000161</t>
  </si>
  <si>
    <t>2/89, RASIPALAYAM, SULUR, COIMBATORE, TAMILNADU - 641402</t>
  </si>
  <si>
    <t>J205</t>
  </si>
  <si>
    <t>UBINO533491</t>
  </si>
  <si>
    <t>J155</t>
  </si>
  <si>
    <t>J241</t>
  </si>
  <si>
    <t>VENNILA G</t>
  </si>
  <si>
    <t>W/O GOKULA KRISHNAN</t>
  </si>
  <si>
    <t>102035911878</t>
  </si>
  <si>
    <t>493731571214</t>
  </si>
  <si>
    <t>67360309805</t>
  </si>
  <si>
    <t>1/239, THOTTIPALAYAM, KARAVALLI MADHAPUR, SULUR TK, COIMBATORE, TAMILNADU - 641668</t>
  </si>
  <si>
    <t>J234</t>
  </si>
  <si>
    <t>J235</t>
  </si>
  <si>
    <t>J249</t>
  </si>
  <si>
    <t>DURAISAMY</t>
  </si>
  <si>
    <t>MEENAKSHI</t>
  </si>
  <si>
    <t>11-4-29, VOC STREET, THAMARAIKULAM, PERIYAKULAM, THENI, TAMILNADU - 625605</t>
  </si>
  <si>
    <t>J251</t>
  </si>
  <si>
    <t>DHANA SRI</t>
  </si>
  <si>
    <t xml:space="preserve">SUDHAKARAN </t>
  </si>
  <si>
    <t>MURUGESHWARI</t>
  </si>
  <si>
    <t>W/O SIVAKUMARR</t>
  </si>
  <si>
    <t>5611450865</t>
  </si>
  <si>
    <t>SELVA VINAYAKAR STORE NEAR KURUMBAPALAYAM,COIMBATORE,TAMIL NADU,641402</t>
  </si>
  <si>
    <t>SOUTH STREET, SITHARPATTI, AUNDIPATTI,Dist:Theni,Tamilnadu,625512</t>
  </si>
  <si>
    <t>J236</t>
  </si>
  <si>
    <t>BINTHU</t>
  </si>
  <si>
    <t>J238</t>
  </si>
  <si>
    <t>J231</t>
  </si>
  <si>
    <t>No.3/272-5 Neelambur Road, muthugounderpudur flyover, coimbatore-641407</t>
  </si>
  <si>
    <t>J233</t>
  </si>
  <si>
    <t>J244</t>
  </si>
  <si>
    <t>LOGANATHAN MAMUNDI</t>
  </si>
  <si>
    <t>RAMACHIPALAYAM</t>
  </si>
  <si>
    <t>MAMUNDI</t>
  </si>
  <si>
    <t>GOVINTHAMMAL</t>
  </si>
  <si>
    <t>SELVI</t>
  </si>
  <si>
    <t>101597086735</t>
  </si>
  <si>
    <t>5611472049</t>
  </si>
  <si>
    <t>559747091579</t>
  </si>
  <si>
    <t>39116775833</t>
  </si>
  <si>
    <t>SIULUR TOWN</t>
  </si>
  <si>
    <t>2/114,RAMACHIYAMPALAYAM,ESWARAN KOVI VETHI,KARAVALLIMADHAPPUR,COIMBATORE,TAMIL NADU,641668</t>
  </si>
  <si>
    <t>J252</t>
  </si>
  <si>
    <t>SELVI L</t>
  </si>
  <si>
    <t>HR &amp; ADMIN</t>
  </si>
  <si>
    <t>HOUSEKEEPING</t>
  </si>
  <si>
    <t>CHINNASAMY</t>
  </si>
  <si>
    <t>AMSAVENI</t>
  </si>
  <si>
    <t>W/O LOGANATHAN</t>
  </si>
  <si>
    <t>102323733439</t>
  </si>
  <si>
    <t>5611364330</t>
  </si>
  <si>
    <t>598086271258</t>
  </si>
  <si>
    <t>EVNPS8968D</t>
  </si>
  <si>
    <t>41501340953</t>
  </si>
  <si>
    <t>SATATE BANK OF INDIA</t>
  </si>
  <si>
    <t>J135</t>
  </si>
  <si>
    <t>SUDHAPRIYA.P</t>
  </si>
  <si>
    <t>22840110138861</t>
  </si>
  <si>
    <t>J266</t>
  </si>
  <si>
    <t>J268</t>
  </si>
  <si>
    <t>THENMOZHI S</t>
  </si>
  <si>
    <t>BALAKUMAR</t>
  </si>
  <si>
    <t>MAHESHWARI</t>
  </si>
  <si>
    <t>WIDOWED</t>
  </si>
  <si>
    <t>SELLADURAI</t>
  </si>
  <si>
    <t>101918902877</t>
  </si>
  <si>
    <t xml:space="preserve">5609851519 </t>
  </si>
  <si>
    <t>669669401916</t>
  </si>
  <si>
    <t>30324710828</t>
  </si>
  <si>
    <t>SBIN0002246</t>
  </si>
  <si>
    <t>13/17,JEEVA NAGAR,SULUR TP, COIMBATORE,TAMIL NADU,641402</t>
  </si>
  <si>
    <t>500108237282</t>
  </si>
</sst>
</file>

<file path=xl/styles.xml><?xml version="1.0" encoding="utf-8"?>
<styleSheet xmlns="http://schemas.openxmlformats.org/spreadsheetml/2006/main">
  <numFmts count="2">
    <numFmt numFmtId="164" formatCode="0.0"/>
    <numFmt numFmtId="165" formatCode="mmm\-yy"/>
  </numFmts>
  <fonts count="20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9"/>
      <color theme="1"/>
      <name val="Cambria"/>
      <family val="1"/>
      <charset val="1"/>
    </font>
    <font>
      <b/>
      <sz val="9"/>
      <color theme="0"/>
      <name val="Cambria"/>
      <family val="1"/>
      <charset val="1"/>
    </font>
    <font>
      <b/>
      <sz val="9"/>
      <color theme="1"/>
      <name val="Cambria"/>
      <family val="1"/>
      <charset val="1"/>
    </font>
    <font>
      <sz val="9"/>
      <color theme="1"/>
      <name val="Times New Roman"/>
      <family val="1"/>
      <charset val="1"/>
    </font>
    <font>
      <sz val="9"/>
      <color theme="2" tint="-0.89999084444715716"/>
      <name val="Cambria"/>
      <family val="1"/>
      <charset val="1"/>
    </font>
    <font>
      <b/>
      <sz val="11"/>
      <color theme="0"/>
      <name val="Calibri"/>
      <family val="2"/>
      <charset val="1"/>
    </font>
    <font>
      <sz val="10"/>
      <name val="Calibri"/>
      <family val="2"/>
      <charset val="1"/>
    </font>
    <font>
      <sz val="9"/>
      <color rgb="FF000000"/>
      <name val="Times New Roman"/>
      <family val="1"/>
      <charset val="1"/>
    </font>
    <font>
      <sz val="9"/>
      <color rgb="FF1F1F1F"/>
      <name val="Times New Roman"/>
      <family val="1"/>
      <charset val="1"/>
    </font>
    <font>
      <sz val="9"/>
      <color theme="2" tint="-0.89999084444715716"/>
      <name val="Times New Roman"/>
      <family val="1"/>
      <charset val="1"/>
    </font>
    <font>
      <sz val="9"/>
      <name val="Times New Roman"/>
      <family val="1"/>
      <charset val="1"/>
    </font>
    <font>
      <sz val="10"/>
      <color theme="1"/>
      <name val="Arial"/>
      <family val="2"/>
      <charset val="1"/>
    </font>
    <font>
      <sz val="11"/>
      <color theme="1"/>
      <name val="Calibri"/>
      <family val="2"/>
      <charset val="1"/>
    </font>
    <font>
      <sz val="9"/>
      <color theme="1"/>
      <name val="Cambria"/>
      <family val="1"/>
    </font>
    <font>
      <sz val="9"/>
      <color theme="1"/>
      <name val="Times New Roman"/>
      <family val="1"/>
    </font>
    <font>
      <sz val="9"/>
      <color theme="2" tint="-0.89999084444715716"/>
      <name val="Times New Roman"/>
      <family val="1"/>
    </font>
    <font>
      <sz val="10"/>
      <name val="Calibri"/>
      <family val="2"/>
    </font>
    <font>
      <sz val="9"/>
      <color theme="2" tint="-0.89999084444715716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A5A5A5"/>
        <bgColor rgb="FFC0C0C0"/>
      </patternFill>
    </fill>
    <fill>
      <patternFill patternType="solid">
        <fgColor theme="4" tint="-0.499984740745262"/>
        <bgColor rgb="FF003366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CC"/>
      </patternFill>
    </fill>
  </fills>
  <borders count="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7" fillId="2" borderId="1" applyProtection="0"/>
  </cellStyleXfs>
  <cellXfs count="120">
    <xf numFmtId="0" fontId="0" fillId="0" borderId="0" xfId="0"/>
    <xf numFmtId="0" fontId="2" fillId="0" borderId="0" xfId="0" applyFont="1" applyAlignment="1" applyProtection="1">
      <alignment vertical="center"/>
    </xf>
    <xf numFmtId="0" fontId="2" fillId="0" borderId="0" xfId="0" applyFont="1" applyAlignment="1" applyProtection="1">
      <alignment horizontal="center" vertical="center"/>
    </xf>
    <xf numFmtId="0" fontId="2" fillId="0" borderId="0" xfId="0" applyFont="1" applyAlignment="1" applyProtection="1">
      <alignment horizontal="left" vertical="center"/>
    </xf>
    <xf numFmtId="14" fontId="2" fillId="0" borderId="0" xfId="0" applyNumberFormat="1" applyFont="1" applyAlignment="1" applyProtection="1">
      <alignment vertical="center"/>
    </xf>
    <xf numFmtId="14" fontId="2" fillId="0" borderId="0" xfId="0" applyNumberFormat="1" applyFont="1" applyAlignment="1" applyProtection="1">
      <alignment horizontal="center" vertical="center"/>
    </xf>
    <xf numFmtId="0" fontId="2" fillId="0" borderId="0" xfId="0" applyFont="1" applyAlignment="1" applyProtection="1">
      <alignment horizontal="right" vertical="center"/>
    </xf>
    <xf numFmtId="0" fontId="3" fillId="3" borderId="2" xfId="0" applyFont="1" applyFill="1" applyBorder="1" applyAlignment="1" applyProtection="1">
      <alignment vertical="center"/>
    </xf>
    <xf numFmtId="0" fontId="3" fillId="3" borderId="3" xfId="0" applyFont="1" applyFill="1" applyBorder="1" applyAlignment="1" applyProtection="1">
      <alignment horizontal="center" vertical="center"/>
    </xf>
    <xf numFmtId="0" fontId="3" fillId="3" borderId="3" xfId="0" applyFont="1" applyFill="1" applyBorder="1" applyAlignment="1" applyProtection="1">
      <alignment vertical="center"/>
    </xf>
    <xf numFmtId="0" fontId="3" fillId="3" borderId="3" xfId="0" applyFont="1" applyFill="1" applyBorder="1" applyAlignment="1" applyProtection="1">
      <alignment horizontal="left" vertical="center"/>
    </xf>
    <xf numFmtId="14" fontId="3" fillId="3" borderId="3" xfId="0" applyNumberFormat="1" applyFont="1" applyFill="1" applyBorder="1" applyAlignment="1" applyProtection="1">
      <alignment vertical="center"/>
    </xf>
    <xf numFmtId="14" fontId="3" fillId="3" borderId="3" xfId="0" applyNumberFormat="1" applyFont="1" applyFill="1" applyBorder="1" applyAlignment="1" applyProtection="1">
      <alignment horizontal="center" vertical="center"/>
    </xf>
    <xf numFmtId="0" fontId="3" fillId="3" borderId="4" xfId="0" applyFont="1" applyFill="1" applyBorder="1" applyAlignment="1" applyProtection="1">
      <alignment horizontal="left" vertical="center"/>
    </xf>
    <xf numFmtId="0" fontId="3" fillId="3" borderId="5" xfId="0" applyFont="1" applyFill="1" applyBorder="1" applyAlignment="1" applyProtection="1">
      <alignment horizontal="center" vertical="center"/>
    </xf>
    <xf numFmtId="14" fontId="3" fillId="3" borderId="5" xfId="0" applyNumberFormat="1" applyFont="1" applyFill="1" applyBorder="1" applyAlignment="1" applyProtection="1">
      <alignment vertical="center" wrapText="1"/>
    </xf>
    <xf numFmtId="14" fontId="3" fillId="3" borderId="5" xfId="0" applyNumberFormat="1" applyFont="1" applyFill="1" applyBorder="1" applyAlignment="1" applyProtection="1">
      <alignment horizontal="center" vertical="center" wrapText="1"/>
    </xf>
    <xf numFmtId="14" fontId="3" fillId="3" borderId="5" xfId="0" applyNumberFormat="1" applyFont="1" applyFill="1" applyBorder="1" applyAlignment="1" applyProtection="1">
      <alignment horizontal="center" vertical="center"/>
    </xf>
    <xf numFmtId="0" fontId="3" fillId="3" borderId="5" xfId="0" applyFont="1" applyFill="1" applyBorder="1" applyAlignment="1" applyProtection="1">
      <alignment horizontal="left" vertical="center"/>
    </xf>
    <xf numFmtId="0" fontId="3" fillId="3" borderId="5" xfId="0" applyFont="1" applyFill="1" applyBorder="1" applyAlignment="1" applyProtection="1">
      <alignment horizontal="center" vertical="center" wrapText="1"/>
    </xf>
    <xf numFmtId="0" fontId="2" fillId="0" borderId="6" xfId="0" applyFont="1" applyBorder="1" applyAlignment="1" applyProtection="1">
      <alignment vertical="center"/>
    </xf>
    <xf numFmtId="0" fontId="5" fillId="0" borderId="6" xfId="0" applyFont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left" vertical="center"/>
    </xf>
    <xf numFmtId="0" fontId="2" fillId="0" borderId="6" xfId="0" applyFont="1" applyBorder="1" applyAlignment="1" applyProtection="1">
      <alignment horizontal="center" vertical="center"/>
    </xf>
    <xf numFmtId="0" fontId="2" fillId="0" borderId="6" xfId="0" applyFont="1" applyBorder="1" applyAlignment="1" applyProtection="1">
      <alignment horizontal="left" vertical="center"/>
    </xf>
    <xf numFmtId="14" fontId="2" fillId="0" borderId="6" xfId="0" applyNumberFormat="1" applyFont="1" applyBorder="1" applyAlignment="1" applyProtection="1">
      <alignment vertical="center"/>
    </xf>
    <xf numFmtId="164" fontId="2" fillId="0" borderId="6" xfId="0" applyNumberFormat="1" applyFont="1" applyBorder="1" applyAlignment="1" applyProtection="1">
      <alignment horizontal="center" vertical="center"/>
    </xf>
    <xf numFmtId="14" fontId="2" fillId="0" borderId="6" xfId="0" applyNumberFormat="1" applyFont="1" applyBorder="1" applyAlignment="1" applyProtection="1">
      <alignment horizontal="center" vertical="center"/>
    </xf>
    <xf numFmtId="0" fontId="6" fillId="0" borderId="6" xfId="0" applyFont="1" applyBorder="1" applyAlignment="1" applyProtection="1">
      <alignment horizontal="center" vertical="center"/>
    </xf>
    <xf numFmtId="0" fontId="5" fillId="4" borderId="6" xfId="0" applyFont="1" applyFill="1" applyBorder="1" applyAlignment="1" applyProtection="1">
      <alignment horizontal="left" vertical="center"/>
    </xf>
    <xf numFmtId="0" fontId="5" fillId="0" borderId="6" xfId="0" applyFont="1" applyBorder="1" applyAlignment="1" applyProtection="1">
      <alignment wrapText="1"/>
    </xf>
    <xf numFmtId="0" fontId="0" fillId="0" borderId="6" xfId="0" applyFont="1" applyBorder="1" applyAlignment="1" applyProtection="1">
      <alignment horizontal="center" vertical="center"/>
    </xf>
    <xf numFmtId="1" fontId="2" fillId="0" borderId="6" xfId="0" applyNumberFormat="1" applyFont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left"/>
    </xf>
    <xf numFmtId="0" fontId="5" fillId="0" borderId="6" xfId="0" applyFont="1" applyBorder="1" applyAlignment="1" applyProtection="1"/>
    <xf numFmtId="0" fontId="5" fillId="4" borderId="6" xfId="6" applyFont="1" applyFill="1" applyBorder="1" applyAlignment="1" applyProtection="1">
      <alignment horizontal="left" vertical="center"/>
    </xf>
    <xf numFmtId="1" fontId="5" fillId="4" borderId="6" xfId="6" applyNumberFormat="1" applyFont="1" applyFill="1" applyBorder="1" applyAlignment="1" applyProtection="1">
      <alignment horizontal="left" vertical="center"/>
    </xf>
    <xf numFmtId="0" fontId="8" fillId="0" borderId="6" xfId="0" applyFont="1" applyBorder="1" applyAlignment="1" applyProtection="1">
      <alignment horizontal="center" vertical="center"/>
    </xf>
    <xf numFmtId="1" fontId="6" fillId="0" borderId="6" xfId="0" applyNumberFormat="1" applyFont="1" applyBorder="1" applyAlignment="1" applyProtection="1">
      <alignment horizontal="right" vertical="center"/>
    </xf>
    <xf numFmtId="0" fontId="2" fillId="0" borderId="6" xfId="0" applyFont="1" applyBorder="1" applyAlignment="1" applyProtection="1">
      <alignment horizontal="right" vertical="center"/>
    </xf>
    <xf numFmtId="1" fontId="2" fillId="0" borderId="6" xfId="0" applyNumberFormat="1" applyFont="1" applyBorder="1" applyAlignment="1" applyProtection="1">
      <alignment horizontal="right" vertical="center"/>
    </xf>
    <xf numFmtId="1" fontId="2" fillId="0" borderId="0" xfId="0" applyNumberFormat="1" applyFont="1" applyAlignment="1" applyProtection="1">
      <alignment vertical="center"/>
    </xf>
    <xf numFmtId="0" fontId="9" fillId="0" borderId="6" xfId="0" applyFont="1" applyBorder="1" applyAlignment="1" applyProtection="1">
      <alignment horizontal="left" vertical="center"/>
    </xf>
    <xf numFmtId="0" fontId="10" fillId="0" borderId="6" xfId="0" applyFont="1" applyBorder="1" applyAlignment="1" applyProtection="1">
      <alignment horizontal="left" vertical="center"/>
    </xf>
    <xf numFmtId="0" fontId="5" fillId="0" borderId="7" xfId="0" applyFont="1" applyBorder="1" applyAlignment="1" applyProtection="1">
      <alignment horizontal="center" vertical="center"/>
    </xf>
    <xf numFmtId="0" fontId="5" fillId="0" borderId="7" xfId="0" applyFont="1" applyBorder="1" applyAlignment="1" applyProtection="1">
      <alignment horizontal="left" vertical="center"/>
    </xf>
    <xf numFmtId="14" fontId="5" fillId="0" borderId="6" xfId="0" applyNumberFormat="1" applyFont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center"/>
    </xf>
    <xf numFmtId="1" fontId="5" fillId="0" borderId="6" xfId="0" applyNumberFormat="1" applyFont="1" applyBorder="1" applyAlignment="1" applyProtection="1">
      <alignment horizontal="center"/>
    </xf>
    <xf numFmtId="14" fontId="5" fillId="0" borderId="6" xfId="0" applyNumberFormat="1" applyFont="1" applyBorder="1" applyAlignment="1" applyProtection="1"/>
    <xf numFmtId="14" fontId="5" fillId="0" borderId="6" xfId="0" applyNumberFormat="1" applyFont="1" applyBorder="1" applyAlignment="1" applyProtection="1">
      <alignment horizontal="center"/>
    </xf>
    <xf numFmtId="0" fontId="11" fillId="0" borderId="6" xfId="0" applyFont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vertical="center"/>
    </xf>
    <xf numFmtId="0" fontId="2" fillId="0" borderId="6" xfId="0" applyFont="1" applyBorder="1" applyAlignment="1" applyProtection="1">
      <alignment vertical="center" wrapText="1"/>
    </xf>
    <xf numFmtId="1" fontId="6" fillId="0" borderId="6" xfId="0" applyNumberFormat="1" applyFont="1" applyBorder="1" applyAlignment="1" applyProtection="1">
      <alignment horizontal="center" vertical="center"/>
    </xf>
    <xf numFmtId="0" fontId="0" fillId="0" borderId="6" xfId="0" applyBorder="1" applyAlignment="1" applyProtection="1"/>
    <xf numFmtId="0" fontId="2" fillId="0" borderId="0" xfId="0" applyFont="1" applyAlignment="1" applyProtection="1"/>
    <xf numFmtId="0" fontId="2" fillId="0" borderId="0" xfId="0" applyFont="1" applyAlignment="1" applyProtection="1">
      <alignment horizontal="center"/>
    </xf>
    <xf numFmtId="14" fontId="2" fillId="0" borderId="0" xfId="0" applyNumberFormat="1" applyFont="1" applyAlignment="1" applyProtection="1">
      <alignment horizontal="right"/>
    </xf>
    <xf numFmtId="14" fontId="2" fillId="0" borderId="0" xfId="0" applyNumberFormat="1" applyFont="1" applyAlignment="1" applyProtection="1"/>
    <xf numFmtId="1" fontId="2" fillId="0" borderId="0" xfId="0" applyNumberFormat="1" applyFont="1" applyAlignment="1" applyProtection="1">
      <alignment horizontal="center"/>
    </xf>
    <xf numFmtId="1" fontId="2" fillId="0" borderId="0" xfId="0" applyNumberFormat="1" applyFont="1" applyAlignment="1" applyProtection="1">
      <alignment horizontal="left"/>
    </xf>
    <xf numFmtId="0" fontId="3" fillId="3" borderId="3" xfId="0" applyFont="1" applyFill="1" applyBorder="1" applyAlignment="1" applyProtection="1">
      <alignment horizontal="right" vertical="center"/>
    </xf>
    <xf numFmtId="0" fontId="0" fillId="0" borderId="0" xfId="0" applyAlignment="1" applyProtection="1"/>
    <xf numFmtId="165" fontId="3" fillId="3" borderId="2" xfId="0" applyNumberFormat="1" applyFont="1" applyFill="1" applyBorder="1" applyAlignment="1" applyProtection="1">
      <alignment vertical="center"/>
    </xf>
    <xf numFmtId="0" fontId="5" fillId="4" borderId="6" xfId="0" applyFont="1" applyFill="1" applyBorder="1" applyAlignment="1" applyProtection="1">
      <alignment horizontal="center" vertical="center"/>
    </xf>
    <xf numFmtId="0" fontId="5" fillId="4" borderId="6" xfId="0" applyFont="1" applyFill="1" applyBorder="1" applyAlignment="1" applyProtection="1">
      <alignment horizontal="left"/>
    </xf>
    <xf numFmtId="0" fontId="5" fillId="4" borderId="6" xfId="0" applyFont="1" applyFill="1" applyBorder="1" applyAlignment="1" applyProtection="1">
      <alignment horizontal="center" vertical="center" wrapText="1"/>
    </xf>
    <xf numFmtId="164" fontId="5" fillId="0" borderId="6" xfId="0" applyNumberFormat="1" applyFont="1" applyBorder="1" applyAlignment="1" applyProtection="1">
      <alignment horizontal="center" vertical="center"/>
    </xf>
    <xf numFmtId="1" fontId="5" fillId="0" borderId="6" xfId="0" applyNumberFormat="1" applyFont="1" applyBorder="1" applyAlignment="1" applyProtection="1"/>
    <xf numFmtId="0" fontId="5" fillId="0" borderId="0" xfId="0" applyFont="1" applyAlignment="1" applyProtection="1"/>
    <xf numFmtId="0" fontId="5" fillId="5" borderId="6" xfId="0" applyFont="1" applyFill="1" applyBorder="1" applyAlignment="1" applyProtection="1">
      <alignment horizontal="left"/>
    </xf>
    <xf numFmtId="14" fontId="5" fillId="4" borderId="6" xfId="0" applyNumberFormat="1" applyFont="1" applyFill="1" applyBorder="1" applyAlignment="1" applyProtection="1">
      <alignment horizontal="center" vertical="center"/>
    </xf>
    <xf numFmtId="0" fontId="0" fillId="4" borderId="6" xfId="0" applyFont="1" applyFill="1" applyBorder="1" applyAlignment="1" applyProtection="1">
      <alignment horizontal="center" vertical="center"/>
    </xf>
    <xf numFmtId="0" fontId="12" fillId="0" borderId="6" xfId="0" applyFont="1" applyBorder="1" applyAlignment="1" applyProtection="1">
      <alignment horizontal="center"/>
    </xf>
    <xf numFmtId="14" fontId="13" fillId="4" borderId="6" xfId="0" applyNumberFormat="1" applyFont="1" applyFill="1" applyBorder="1" applyAlignment="1" applyProtection="1">
      <alignment horizontal="center" wrapText="1"/>
    </xf>
    <xf numFmtId="1" fontId="5" fillId="4" borderId="6" xfId="0" applyNumberFormat="1" applyFont="1" applyFill="1" applyBorder="1" applyAlignment="1" applyProtection="1">
      <alignment horizontal="center" vertical="center"/>
    </xf>
    <xf numFmtId="0" fontId="12" fillId="0" borderId="6" xfId="0" applyFont="1" applyBorder="1" applyAlignment="1" applyProtection="1"/>
    <xf numFmtId="0" fontId="5" fillId="4" borderId="6" xfId="0" applyFont="1" applyFill="1" applyBorder="1" applyAlignment="1" applyProtection="1">
      <alignment horizontal="left" vertical="center" wrapText="1"/>
    </xf>
    <xf numFmtId="1" fontId="5" fillId="4" borderId="6" xfId="0" applyNumberFormat="1" applyFont="1" applyFill="1" applyBorder="1" applyAlignment="1" applyProtection="1">
      <alignment horizontal="left" vertical="center" wrapText="1"/>
    </xf>
    <xf numFmtId="0" fontId="5" fillId="0" borderId="6" xfId="0" quotePrefix="1" applyFont="1" applyBorder="1" applyAlignment="1" applyProtection="1"/>
    <xf numFmtId="0" fontId="16" fillId="0" borderId="6" xfId="0" applyFont="1" applyBorder="1" applyAlignment="1">
      <alignment horizontal="center" vertical="center"/>
    </xf>
    <xf numFmtId="0" fontId="16" fillId="0" borderId="6" xfId="0" applyFont="1" applyFill="1" applyBorder="1"/>
    <xf numFmtId="0" fontId="16" fillId="0" borderId="6" xfId="0" applyFont="1" applyBorder="1"/>
    <xf numFmtId="0" fontId="15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14" fontId="16" fillId="0" borderId="6" xfId="0" applyNumberFormat="1" applyFont="1" applyBorder="1" applyAlignment="1"/>
    <xf numFmtId="164" fontId="15" fillId="0" borderId="6" xfId="0" applyNumberFormat="1" applyFont="1" applyBorder="1" applyAlignment="1">
      <alignment horizontal="center" vertical="center"/>
    </xf>
    <xf numFmtId="14" fontId="16" fillId="0" borderId="6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left" vertical="center"/>
    </xf>
    <xf numFmtId="0" fontId="16" fillId="0" borderId="6" xfId="0" applyFont="1" applyBorder="1" applyAlignment="1">
      <alignment vertical="center"/>
    </xf>
    <xf numFmtId="0" fontId="16" fillId="0" borderId="6" xfId="0" applyNumberFormat="1" applyFont="1" applyBorder="1"/>
    <xf numFmtId="0" fontId="16" fillId="0" borderId="6" xfId="0" applyFont="1" applyBorder="1" applyAlignment="1">
      <alignment horizontal="left"/>
    </xf>
    <xf numFmtId="0" fontId="16" fillId="0" borderId="6" xfId="0" applyFont="1" applyBorder="1" applyAlignment="1">
      <alignment horizontal="center"/>
    </xf>
    <xf numFmtId="0" fontId="18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right" vertical="center"/>
    </xf>
    <xf numFmtId="1" fontId="19" fillId="0" borderId="6" xfId="0" applyNumberFormat="1" applyFont="1" applyBorder="1" applyAlignment="1">
      <alignment horizontal="right" vertical="center"/>
    </xf>
    <xf numFmtId="1" fontId="15" fillId="0" borderId="6" xfId="0" applyNumberFormat="1" applyFont="1" applyBorder="1" applyAlignment="1">
      <alignment horizontal="right" vertical="center"/>
    </xf>
    <xf numFmtId="0" fontId="15" fillId="0" borderId="0" xfId="0" applyFont="1" applyAlignment="1">
      <alignment vertical="center"/>
    </xf>
    <xf numFmtId="0" fontId="2" fillId="0" borderId="6" xfId="0" quotePrefix="1" applyFont="1" applyBorder="1" applyAlignment="1" applyProtection="1">
      <alignment horizontal="center" vertical="center"/>
    </xf>
    <xf numFmtId="0" fontId="2" fillId="0" borderId="6" xfId="0" quotePrefix="1" applyFont="1" applyBorder="1" applyAlignment="1" applyProtection="1">
      <alignment horizontal="left" vertical="center"/>
    </xf>
    <xf numFmtId="0" fontId="5" fillId="0" borderId="6" xfId="0" applyFont="1" applyBorder="1" applyAlignment="1" applyProtection="1">
      <alignment horizontal="left" wrapText="1"/>
    </xf>
    <xf numFmtId="0" fontId="5" fillId="4" borderId="6" xfId="0" applyFont="1" applyFill="1" applyBorder="1" applyAlignment="1" applyProtection="1">
      <alignment horizontal="center" wrapText="1"/>
    </xf>
    <xf numFmtId="0" fontId="5" fillId="6" borderId="6" xfId="0" applyFont="1" applyFill="1" applyBorder="1" applyAlignment="1" applyProtection="1">
      <alignment vertical="center"/>
    </xf>
    <xf numFmtId="0" fontId="5" fillId="7" borderId="6" xfId="0" applyFont="1" applyFill="1" applyBorder="1" applyAlignment="1" applyProtection="1">
      <alignment horizontal="center" vertical="center"/>
    </xf>
    <xf numFmtId="0" fontId="5" fillId="7" borderId="6" xfId="0" applyFont="1" applyFill="1" applyBorder="1" applyAlignment="1" applyProtection="1">
      <alignment horizontal="left"/>
    </xf>
    <xf numFmtId="0" fontId="5" fillId="7" borderId="6" xfId="0" applyFont="1" applyFill="1" applyBorder="1" applyAlignment="1" applyProtection="1">
      <alignment horizontal="center" vertical="center" wrapText="1"/>
    </xf>
    <xf numFmtId="0" fontId="5" fillId="6" borderId="6" xfId="0" applyFont="1" applyFill="1" applyBorder="1" applyAlignment="1" applyProtection="1">
      <alignment wrapText="1"/>
    </xf>
    <xf numFmtId="14" fontId="5" fillId="6" borderId="6" xfId="0" applyNumberFormat="1" applyFont="1" applyFill="1" applyBorder="1" applyAlignment="1" applyProtection="1">
      <alignment horizontal="center" vertical="center"/>
    </xf>
    <xf numFmtId="164" fontId="5" fillId="6" borderId="6" xfId="0" applyNumberFormat="1" applyFont="1" applyFill="1" applyBorder="1" applyAlignment="1" applyProtection="1">
      <alignment horizontal="center" vertical="center"/>
    </xf>
    <xf numFmtId="0" fontId="11" fillId="6" borderId="6" xfId="0" applyFont="1" applyFill="1" applyBorder="1" applyAlignment="1" applyProtection="1">
      <alignment horizontal="center" vertical="center"/>
    </xf>
    <xf numFmtId="0" fontId="5" fillId="6" borderId="6" xfId="0" applyFont="1" applyFill="1" applyBorder="1" applyAlignment="1" applyProtection="1">
      <alignment horizontal="center" vertical="center"/>
    </xf>
    <xf numFmtId="0" fontId="5" fillId="6" borderId="6" xfId="0" applyFont="1" applyFill="1" applyBorder="1" applyAlignment="1" applyProtection="1"/>
    <xf numFmtId="0" fontId="5" fillId="6" borderId="6" xfId="0" applyFont="1" applyFill="1" applyBorder="1" applyAlignment="1" applyProtection="1">
      <alignment horizontal="center"/>
    </xf>
    <xf numFmtId="1" fontId="6" fillId="6" borderId="6" xfId="0" applyNumberFormat="1" applyFont="1" applyFill="1" applyBorder="1" applyAlignment="1" applyProtection="1">
      <alignment horizontal="right" vertical="center"/>
    </xf>
    <xf numFmtId="1" fontId="2" fillId="6" borderId="6" xfId="0" applyNumberFormat="1" applyFont="1" applyFill="1" applyBorder="1" applyAlignment="1" applyProtection="1">
      <alignment horizontal="right" vertical="center"/>
    </xf>
    <xf numFmtId="1" fontId="5" fillId="6" borderId="6" xfId="0" applyNumberFormat="1" applyFont="1" applyFill="1" applyBorder="1" applyAlignment="1" applyProtection="1"/>
    <xf numFmtId="0" fontId="5" fillId="6" borderId="0" xfId="0" applyFont="1" applyFill="1" applyAlignment="1" applyProtection="1"/>
    <xf numFmtId="0" fontId="4" fillId="3" borderId="0" xfId="0" applyFont="1" applyFill="1" applyBorder="1" applyAlignment="1" applyProtection="1">
      <alignment horizontal="right" vertical="center"/>
    </xf>
  </cellXfs>
  <cellStyles count="7">
    <cellStyle name="Excel Built-in Check Cell" xfId="6"/>
    <cellStyle name="Normal" xfId="0" builtinId="0"/>
    <cellStyle name="Normal 2" xfId="1"/>
    <cellStyle name="Normal 3" xfId="2"/>
    <cellStyle name="Normal 4" xfId="3"/>
    <cellStyle name="Normal 4 2" xfId="4"/>
    <cellStyle name="Normal 5" xfId="5"/>
  </cellStyles>
  <dxfs count="99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  <name val="Calibri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  <name val="Calibri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181717"/>
      <rgbColor rgb="FF1F1F1F"/>
      <rgbColor rgb="FF993300"/>
      <rgbColor rgb="FF993366"/>
      <rgbColor rgb="FF1F4E79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ownloads/CARE%20NOW%20MASTER%20DATA%20FOR%20THE%20MONTH%20OF%20DEC-2025-%20GOPIK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JOY%20FILES/CARE%20NOW%20MASTER%20DATA%20FOR%20THE%20MONTH%20OF%20DEC-2025-%20GOPIK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DEVI/CARENOW%20-BANK%20AC&amp;%20ESI,%20PF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Current"/>
      <sheetName val="Resignees"/>
      <sheetName val="Sheet1"/>
    </sheetNames>
    <sheetDataSet>
      <sheetData sheetId="0"/>
      <sheetData sheetId="1">
        <row r="2">
          <cell r="B2" t="str">
            <v>J87</v>
          </cell>
          <cell r="C2" t="str">
            <v>GOPIKA RAJAN</v>
          </cell>
          <cell r="D2">
            <v>38046</v>
          </cell>
          <cell r="E2" t="str">
            <v>Production Helper</v>
          </cell>
          <cell r="F2" t="str">
            <v>Production</v>
          </cell>
          <cell r="G2">
            <v>8489160631</v>
          </cell>
          <cell r="H2">
            <v>45479</v>
          </cell>
          <cell r="I2">
            <v>22.220981608954801</v>
          </cell>
          <cell r="J2" t="str">
            <v>LIVE</v>
          </cell>
          <cell r="K2" t="str">
            <v>TAMIL</v>
          </cell>
          <cell r="L2" t="str">
            <v>Female</v>
          </cell>
          <cell r="M2" t="str">
            <v>101794754002</v>
          </cell>
          <cell r="N2">
            <v>5610283732</v>
          </cell>
          <cell r="O2" t="str">
            <v>670230384560</v>
          </cell>
          <cell r="P2" t="str">
            <v>150010100062210</v>
          </cell>
          <cell r="Q2" t="str">
            <v>UBIN0554863</v>
          </cell>
          <cell r="R2" t="str">
            <v>UNION BANK</v>
          </cell>
          <cell r="S2" t="str">
            <v>COIMBATORE</v>
          </cell>
          <cell r="T2" t="str">
            <v>1/231,Thottipalayam,karavalimadhapur,sulur thalukka,karavalimadhapur,karavalimadhapur, coimbatore, tamilnadu 641668</v>
          </cell>
          <cell r="U2" t="str">
            <v>COIMBATORE</v>
          </cell>
          <cell r="V2" t="str">
            <v>COIMBATORE</v>
          </cell>
          <cell r="W2" t="str">
            <v>1/231,Thottipalayam,karavalimadhapur,sulur thalukka,karavalimadhapur,karavalimadhapur, coimbatore, tamilnadu 641668</v>
          </cell>
        </row>
        <row r="3">
          <cell r="B3" t="str">
            <v>J86</v>
          </cell>
          <cell r="C3" t="str">
            <v>SRI LAKSHMI RAJAN</v>
          </cell>
          <cell r="D3">
            <v>38659</v>
          </cell>
          <cell r="E3" t="str">
            <v>Production Helper</v>
          </cell>
          <cell r="F3" t="str">
            <v>Production</v>
          </cell>
          <cell r="G3">
            <v>8489160631</v>
          </cell>
          <cell r="H3">
            <v>45479</v>
          </cell>
          <cell r="I3">
            <v>20.541529554160299</v>
          </cell>
          <cell r="J3" t="str">
            <v>LIVE</v>
          </cell>
          <cell r="K3" t="str">
            <v>TAMIL</v>
          </cell>
          <cell r="L3" t="str">
            <v>Female</v>
          </cell>
          <cell r="M3" t="str">
            <v>102015938573</v>
          </cell>
          <cell r="N3">
            <v>5610292298</v>
          </cell>
          <cell r="O3" t="str">
            <v>797011009890</v>
          </cell>
          <cell r="P3" t="str">
            <v>150010100062283</v>
          </cell>
          <cell r="Q3" t="str">
            <v>UBIN0554863</v>
          </cell>
          <cell r="R3" t="str">
            <v>UNION BANK</v>
          </cell>
          <cell r="S3" t="str">
            <v>COIMBATORE</v>
          </cell>
          <cell r="T3" t="str">
            <v>1/241 thottipalayam,karavalimadhapur,sulur thalukka,karavalimadhapur,karavalimathapur, tamilnadu 641668</v>
          </cell>
          <cell r="U3" t="str">
            <v>COIMBATORE</v>
          </cell>
          <cell r="V3" t="str">
            <v>COIMBATORE</v>
          </cell>
          <cell r="W3" t="str">
            <v>1/241 thottipalayam,karavalimadhapur,sulur thalukka,karavalimadhapur,karavalimathapur, tamilnadu 641668</v>
          </cell>
        </row>
        <row r="4">
          <cell r="B4" t="str">
            <v>J85</v>
          </cell>
          <cell r="C4" t="str">
            <v>RATHA GAYATHRI</v>
          </cell>
          <cell r="D4">
            <v>30507</v>
          </cell>
          <cell r="E4" t="str">
            <v>Production Helper</v>
          </cell>
          <cell r="F4" t="str">
            <v>Production</v>
          </cell>
          <cell r="G4">
            <v>9159307901</v>
          </cell>
          <cell r="H4">
            <v>45479</v>
          </cell>
          <cell r="I4">
            <v>42.875776129502803</v>
          </cell>
          <cell r="J4" t="str">
            <v>LIVE</v>
          </cell>
          <cell r="K4" t="str">
            <v>TAMIL</v>
          </cell>
          <cell r="L4" t="str">
            <v>Female</v>
          </cell>
          <cell r="M4" t="str">
            <v>101569015376</v>
          </cell>
          <cell r="N4">
            <v>5610477443</v>
          </cell>
          <cell r="O4" t="str">
            <v>808542120687</v>
          </cell>
          <cell r="P4" t="str">
            <v>1677155000072273</v>
          </cell>
          <cell r="Q4" t="str">
            <v>KVBL0001677</v>
          </cell>
          <cell r="R4" t="str">
            <v>KVB</v>
          </cell>
          <cell r="S4" t="str">
            <v>CHINNIYAMPALAYAM</v>
          </cell>
          <cell r="T4" t="str">
            <v>7/92/B, EZHIL NAGAR,RASIPALAYAM,UTHUPALAYAM ROAD,SULUR,COIMBATORE,TAMILNADU-641402</v>
          </cell>
          <cell r="U4" t="str">
            <v>COIMBATORE</v>
          </cell>
          <cell r="V4" t="str">
            <v>COIMBATORE</v>
          </cell>
          <cell r="W4" t="str">
            <v>7/92/B, EZHIL NAGAR,RASIPALAYAM,UTHUPALAYAM ROAD,SULUR,COIMBATORE,TAMILNADU-641402</v>
          </cell>
        </row>
        <row r="5">
          <cell r="B5" t="str">
            <v>J83</v>
          </cell>
          <cell r="C5" t="str">
            <v>M.VIJAYAKUMAR</v>
          </cell>
          <cell r="D5">
            <v>36560</v>
          </cell>
          <cell r="E5" t="str">
            <v>Production Helper</v>
          </cell>
          <cell r="F5" t="str">
            <v>Production</v>
          </cell>
          <cell r="G5" t="str">
            <v>63852 80812</v>
          </cell>
          <cell r="H5" t="str">
            <v>24/06/2024</v>
          </cell>
          <cell r="I5">
            <v>26.292214485667198</v>
          </cell>
          <cell r="J5" t="str">
            <v>LIVE</v>
          </cell>
          <cell r="K5" t="str">
            <v>TAMIL</v>
          </cell>
          <cell r="L5" t="str">
            <v>Male</v>
          </cell>
          <cell r="M5" t="str">
            <v>101297618960</v>
          </cell>
          <cell r="N5">
            <v>5610681980</v>
          </cell>
          <cell r="O5" t="str">
            <v>561631322608</v>
          </cell>
          <cell r="P5" t="str">
            <v>501030487231</v>
          </cell>
          <cell r="Q5" t="str">
            <v>NSPB0000002</v>
          </cell>
          <cell r="R5" t="str">
            <v>NSDL PAYMENTS BANK</v>
          </cell>
          <cell r="S5" t="str">
            <v>LOWER PAREL</v>
          </cell>
          <cell r="T5" t="str">
            <v>ARUGAMPALAYAM,SOMANUR ROAD,SULUR,COIMBATORE,TAMIL NADU-641669</v>
          </cell>
          <cell r="U5" t="str">
            <v>COIMBATORE</v>
          </cell>
          <cell r="V5" t="str">
            <v>COIMBATORE</v>
          </cell>
          <cell r="W5" t="str">
            <v>81/10,SALLIMADU STREET,KALIPALAYAM,SAMALAPURAM,TIRUPPUR,TAMIL NADU-641663</v>
          </cell>
        </row>
        <row r="6">
          <cell r="B6" t="str">
            <v>J230</v>
          </cell>
          <cell r="C6" t="str">
            <v>VENNILA</v>
          </cell>
          <cell r="D6">
            <v>31167</v>
          </cell>
          <cell r="E6" t="str">
            <v>Production Helper</v>
          </cell>
          <cell r="F6" t="str">
            <v>Production</v>
          </cell>
          <cell r="G6">
            <v>8098953812</v>
          </cell>
          <cell r="H6">
            <v>45972</v>
          </cell>
          <cell r="I6">
            <v>41.067556951420599</v>
          </cell>
          <cell r="J6" t="str">
            <v>LIVE</v>
          </cell>
          <cell r="K6" t="str">
            <v>TAMIL</v>
          </cell>
          <cell r="L6" t="str">
            <v>FEMALE</v>
          </cell>
          <cell r="M6" t="str">
            <v>102266077120</v>
          </cell>
          <cell r="N6">
            <v>5611447745</v>
          </cell>
          <cell r="O6" t="str">
            <v>524040239403</v>
          </cell>
          <cell r="P6" t="str">
            <v>109401000054075</v>
          </cell>
          <cell r="Q6" t="str">
            <v>IOBA0001094</v>
          </cell>
          <cell r="R6" t="str">
            <v>INDIAN OVERSEAS BANK</v>
          </cell>
          <cell r="S6" t="str">
            <v>ALADI</v>
          </cell>
          <cell r="U6" t="str">
            <v>COIMBATORE</v>
          </cell>
          <cell r="V6" t="str">
            <v>COIMBATORE</v>
          </cell>
          <cell r="W6" t="str">
            <v>107/1,VADAKIRUPPU,VIRUDHACHALAM,IRUPPU,CUDDALORE,TAMILNADU-607805</v>
          </cell>
        </row>
        <row r="7">
          <cell r="B7" t="str">
            <v>J228</v>
          </cell>
          <cell r="C7" t="str">
            <v>DHANA SRI</v>
          </cell>
          <cell r="D7">
            <v>38554</v>
          </cell>
          <cell r="E7" t="str">
            <v>Production Helper</v>
          </cell>
          <cell r="F7" t="str">
            <v>Production</v>
          </cell>
          <cell r="G7">
            <v>7639260857</v>
          </cell>
          <cell r="H7">
            <v>45973</v>
          </cell>
          <cell r="I7">
            <v>20.829200787036999</v>
          </cell>
          <cell r="J7" t="str">
            <v>LIVE</v>
          </cell>
          <cell r="K7" t="str">
            <v>TAMIL</v>
          </cell>
          <cell r="L7" t="str">
            <v>FEMALE</v>
          </cell>
          <cell r="M7" t="str">
            <v>102266065538</v>
          </cell>
          <cell r="N7">
            <v>5611450865</v>
          </cell>
          <cell r="O7" t="str">
            <v>713226416441</v>
          </cell>
          <cell r="P7" t="str">
            <v>7139197771</v>
          </cell>
          <cell r="Q7" t="str">
            <v>IDIB000R041</v>
          </cell>
          <cell r="R7" t="str">
            <v>INDIAN BANK</v>
          </cell>
          <cell r="S7" t="str">
            <v>RAJADHANI</v>
          </cell>
          <cell r="U7" t="str">
            <v>COIMBATORE</v>
          </cell>
          <cell r="V7" t="str">
            <v>COIMBATORE</v>
          </cell>
          <cell r="W7" t="str">
            <v>SOUTH STREET, SITHARPATTI, AUNDIPATTI,Dist:Theni,Tamilnadu,625512</v>
          </cell>
        </row>
        <row r="8">
          <cell r="B8" t="str">
            <v>J226</v>
          </cell>
          <cell r="C8" t="str">
            <v>NEELAVATHI</v>
          </cell>
          <cell r="D8">
            <v>32642</v>
          </cell>
          <cell r="E8" t="str">
            <v>Production Helper</v>
          </cell>
          <cell r="F8" t="str">
            <v>Production</v>
          </cell>
          <cell r="G8">
            <v>8122390252</v>
          </cell>
          <cell r="H8">
            <v>45973</v>
          </cell>
          <cell r="I8">
            <v>37.026461061009599</v>
          </cell>
          <cell r="J8" t="str">
            <v>LIVE</v>
          </cell>
          <cell r="K8" t="str">
            <v>TAMIL</v>
          </cell>
          <cell r="L8" t="str">
            <v>FEMALE</v>
          </cell>
          <cell r="M8" t="str">
            <v>101927062642</v>
          </cell>
          <cell r="N8">
            <v>5703531057</v>
          </cell>
          <cell r="O8" t="str">
            <v>256376530989</v>
          </cell>
          <cell r="P8" t="str">
            <v>5125541589</v>
          </cell>
          <cell r="Q8" t="str">
            <v>CBIN0284211</v>
          </cell>
          <cell r="R8" t="str">
            <v>CENTRAL BANK OF INDIA</v>
          </cell>
          <cell r="U8" t="str">
            <v>COIMBATORE</v>
          </cell>
          <cell r="V8" t="str">
            <v>COIMBATORE</v>
          </cell>
          <cell r="W8" t="str">
            <v>26,SR PANTHAKULAM,PERAVURANI,THANJAVUR,TAMILNADU-641804</v>
          </cell>
        </row>
        <row r="9">
          <cell r="B9" t="str">
            <v>J223</v>
          </cell>
          <cell r="C9" t="str">
            <v>JAYASRI GOPAL</v>
          </cell>
          <cell r="D9">
            <v>37308</v>
          </cell>
          <cell r="E9" t="str">
            <v>Production Helper</v>
          </cell>
          <cell r="F9" t="str">
            <v>Production</v>
          </cell>
          <cell r="G9">
            <v>9597524125</v>
          </cell>
          <cell r="H9">
            <v>45970</v>
          </cell>
          <cell r="I9">
            <v>24.242899417174002</v>
          </cell>
          <cell r="J9" t="str">
            <v>LIVE</v>
          </cell>
          <cell r="K9" t="str">
            <v>TAMIL</v>
          </cell>
          <cell r="L9" t="str">
            <v>FEMALE</v>
          </cell>
          <cell r="M9" t="str">
            <v>101465273355</v>
          </cell>
          <cell r="N9">
            <v>5610011006</v>
          </cell>
          <cell r="O9" t="str">
            <v>247648997935</v>
          </cell>
          <cell r="P9" t="str">
            <v>50100443780016</v>
          </cell>
          <cell r="Q9" t="str">
            <v>HDFC0002231</v>
          </cell>
          <cell r="R9" t="str">
            <v>HDFC BANK</v>
          </cell>
          <cell r="S9" t="str">
            <v>SARAVANAMPATTI</v>
          </cell>
          <cell r="T9" t="str">
            <v>5/114 ARASU COLONY MUTHUGOUNDANPUDUR ,SULUR,COIMBATORE,TAMILNADU</v>
          </cell>
          <cell r="U9" t="str">
            <v>COIMBATORE</v>
          </cell>
          <cell r="V9" t="str">
            <v>COIMBATORE</v>
          </cell>
          <cell r="W9" t="str">
            <v>5/114 ARASU COLONY MUTHUGOUNDANPUDUR ,SULUR,COIMBATORE,TAMILNADU</v>
          </cell>
        </row>
        <row r="10">
          <cell r="B10" t="str">
            <v>J222</v>
          </cell>
          <cell r="C10" t="str">
            <v>MAHALAKSHMI</v>
          </cell>
          <cell r="D10">
            <v>34470</v>
          </cell>
          <cell r="E10" t="str">
            <v>Production Helper</v>
          </cell>
          <cell r="F10" t="str">
            <v>Production</v>
          </cell>
          <cell r="G10">
            <v>9489680178</v>
          </cell>
          <cell r="H10">
            <v>45971</v>
          </cell>
          <cell r="I10">
            <v>32.018241882927498</v>
          </cell>
          <cell r="J10" t="str">
            <v>LIVE</v>
          </cell>
          <cell r="K10" t="str">
            <v>TAMIL</v>
          </cell>
          <cell r="L10" t="str">
            <v>FEMALE</v>
          </cell>
          <cell r="M10" t="str">
            <v>102266104436</v>
          </cell>
          <cell r="N10">
            <v>5611450926</v>
          </cell>
          <cell r="O10" t="str">
            <v>526455337175</v>
          </cell>
          <cell r="P10" t="str">
            <v>39598631742</v>
          </cell>
          <cell r="Q10" t="str">
            <v>SBIN0071057</v>
          </cell>
          <cell r="R10" t="str">
            <v>STATE BANK OF INDIA</v>
          </cell>
          <cell r="S10" t="str">
            <v>MADAPPUR</v>
          </cell>
          <cell r="T10" t="str">
            <v>1/218 PATTATHARAM KOVIL STREET THENAMPALAYAM KARAVALIMADAPPUR,COIMBATORE,TAMILNADU</v>
          </cell>
          <cell r="U10" t="str">
            <v>COIMBATORE</v>
          </cell>
          <cell r="V10" t="str">
            <v>COIMBATORE</v>
          </cell>
          <cell r="W10" t="str">
            <v>1/218 PATTATHARAM KOVIL STREET THENAMPALAYAM KARAVALIMADAPPUR,COIMBATORE,TAMILNADU</v>
          </cell>
        </row>
        <row r="11">
          <cell r="B11" t="str">
            <v>J221</v>
          </cell>
          <cell r="C11" t="str">
            <v>MITHRA RAJIV</v>
          </cell>
          <cell r="D11">
            <v>39292</v>
          </cell>
          <cell r="E11" t="str">
            <v>Production Helper</v>
          </cell>
          <cell r="F11" t="str">
            <v>Production</v>
          </cell>
          <cell r="G11">
            <v>9751244223</v>
          </cell>
          <cell r="H11">
            <v>45964</v>
          </cell>
          <cell r="I11">
            <v>18.807282978817899</v>
          </cell>
          <cell r="J11" t="str">
            <v>LIVE</v>
          </cell>
          <cell r="K11" t="str">
            <v>TAMIL</v>
          </cell>
          <cell r="L11" t="str">
            <v>FEMALE</v>
          </cell>
          <cell r="M11" t="str">
            <v>102264955387</v>
          </cell>
          <cell r="N11">
            <v>5611447676</v>
          </cell>
          <cell r="O11" t="str">
            <v>535562714584</v>
          </cell>
          <cell r="P11" t="str">
            <v>110056832660</v>
          </cell>
          <cell r="Q11" t="str">
            <v>CNRB0003437</v>
          </cell>
          <cell r="R11" t="str">
            <v>CANARA BANK</v>
          </cell>
          <cell r="S11" t="str">
            <v>KARUMATHAMPATTI</v>
          </cell>
          <cell r="U11" t="str">
            <v>COIMBATORE</v>
          </cell>
          <cell r="V11" t="str">
            <v>COIMBATORE</v>
          </cell>
          <cell r="W11" t="str">
            <v>G.THUMMALAPATTI  VATHALAGUNDU POOLATHUR,KODAIKANAL,DINDIGUL,TAMILNADU-624202</v>
          </cell>
        </row>
        <row r="12">
          <cell r="B12" t="str">
            <v>J214</v>
          </cell>
          <cell r="C12" t="str">
            <v>SUDHA T</v>
          </cell>
          <cell r="D12">
            <v>32178</v>
          </cell>
          <cell r="E12" t="str">
            <v>Production Helper</v>
          </cell>
          <cell r="F12" t="str">
            <v>PROduction</v>
          </cell>
          <cell r="G12">
            <v>7373155745</v>
          </cell>
          <cell r="H12">
            <v>45966</v>
          </cell>
          <cell r="I12">
            <v>38.297693937722002</v>
          </cell>
          <cell r="J12" t="str">
            <v>LIVE</v>
          </cell>
          <cell r="K12" t="str">
            <v>TAMIL</v>
          </cell>
          <cell r="L12" t="str">
            <v>FEMALE</v>
          </cell>
          <cell r="M12" t="str">
            <v>101763385285</v>
          </cell>
          <cell r="N12">
            <v>5610654409</v>
          </cell>
          <cell r="O12" t="str">
            <v>939680244216</v>
          </cell>
          <cell r="P12" t="str">
            <v>334902010139610</v>
          </cell>
          <cell r="Q12" t="str">
            <v>UBIN0533491</v>
          </cell>
          <cell r="R12" t="str">
            <v>UNION BANK</v>
          </cell>
          <cell r="S12" t="str">
            <v>SOMANUR</v>
          </cell>
          <cell r="T12" t="str">
            <v>190A THOTTIPALAYAM,KARAVALLIMADAPPUR,COIMBATORE,TAMILNADU-641 668</v>
          </cell>
          <cell r="U12" t="str">
            <v>COIMBATORE</v>
          </cell>
          <cell r="V12" t="str">
            <v>COIMBATORE</v>
          </cell>
          <cell r="W12" t="str">
            <v>190A THOTTIPALAYAM,KARAVALLIMADAPPUR,COIMBATORE,TAMILNADU-641 668</v>
          </cell>
        </row>
        <row r="13">
          <cell r="B13" t="str">
            <v>J207</v>
          </cell>
          <cell r="C13" t="str">
            <v>RAJASEKARAN T</v>
          </cell>
          <cell r="D13">
            <v>31578</v>
          </cell>
          <cell r="E13" t="str">
            <v>Production Helper</v>
          </cell>
          <cell r="F13" t="str">
            <v>Production</v>
          </cell>
          <cell r="G13">
            <v>8344774814</v>
          </cell>
          <cell r="H13">
            <v>45964</v>
          </cell>
          <cell r="I13">
            <v>39.941529554160297</v>
          </cell>
          <cell r="J13" t="str">
            <v>LIVE</v>
          </cell>
          <cell r="K13" t="str">
            <v>TAMIL</v>
          </cell>
          <cell r="L13" t="str">
            <v>MALE</v>
          </cell>
          <cell r="M13" t="str">
            <v>101361652970</v>
          </cell>
          <cell r="N13">
            <v>5608535774</v>
          </cell>
          <cell r="O13" t="str">
            <v>372112678200</v>
          </cell>
          <cell r="P13" t="str">
            <v>773602010005718</v>
          </cell>
          <cell r="Q13" t="str">
            <v>UBIN0551155</v>
          </cell>
          <cell r="R13" t="str">
            <v>UNION BANK</v>
          </cell>
          <cell r="S13" t="str">
            <v>TIRUVARUR</v>
          </cell>
          <cell r="U13" t="str">
            <v>COIMBATORE</v>
          </cell>
          <cell r="V13" t="str">
            <v>COIMBATORE</v>
          </cell>
          <cell r="W13" t="str">
            <v>2/34E,MATHA KOVIL STREET,SERUKALATHUR,KODAVASAL,SERUKALATHUR,THIRUVARUR,TAMILNADU-612604</v>
          </cell>
        </row>
        <row r="14">
          <cell r="B14" t="str">
            <v>J205</v>
          </cell>
          <cell r="C14" t="str">
            <v>THILAGAMANI SENNIAPPAN</v>
          </cell>
          <cell r="D14">
            <v>33586</v>
          </cell>
          <cell r="E14" t="str">
            <v>Production Helper</v>
          </cell>
          <cell r="F14" t="str">
            <v>Production</v>
          </cell>
          <cell r="G14">
            <v>9791801412</v>
          </cell>
          <cell r="H14">
            <v>45962</v>
          </cell>
          <cell r="I14">
            <v>34.440159691146597</v>
          </cell>
          <cell r="J14" t="str">
            <v>LIVE</v>
          </cell>
          <cell r="K14" t="str">
            <v>TAMIL</v>
          </cell>
          <cell r="L14" t="str">
            <v>FEMALE</v>
          </cell>
          <cell r="M14" t="str">
            <v>101772419375</v>
          </cell>
          <cell r="N14">
            <v>5609171391</v>
          </cell>
          <cell r="O14" t="str">
            <v>375376698043</v>
          </cell>
          <cell r="P14" t="str">
            <v>334902120001580</v>
          </cell>
          <cell r="Q14" t="str">
            <v>UBINO533491</v>
          </cell>
          <cell r="R14" t="str">
            <v>UNION BANK</v>
          </cell>
          <cell r="S14" t="str">
            <v>SOMANUR</v>
          </cell>
          <cell r="T14" t="str">
            <v>3/126 SOUTH STREET RASIPALAYAM SULUR COIMBATORE,TAMILNADU</v>
          </cell>
          <cell r="U14" t="str">
            <v>COIMBATORE</v>
          </cell>
          <cell r="V14" t="str">
            <v>COIMBATORE</v>
          </cell>
          <cell r="W14" t="str">
            <v>3/126 SOUTH STREET RASIPALAYAM SULUR COIMBATORE,TAMILNADU</v>
          </cell>
        </row>
        <row r="15">
          <cell r="B15" t="str">
            <v>J203</v>
          </cell>
          <cell r="C15" t="str">
            <v>NEELA R</v>
          </cell>
          <cell r="D15">
            <v>32299</v>
          </cell>
          <cell r="E15" t="str">
            <v>Production Helper</v>
          </cell>
          <cell r="F15" t="str">
            <v>Production</v>
          </cell>
          <cell r="G15">
            <v>9043337896</v>
          </cell>
          <cell r="H15">
            <v>45962</v>
          </cell>
          <cell r="I15">
            <v>37.966187088406897</v>
          </cell>
          <cell r="J15" t="str">
            <v>LIVE</v>
          </cell>
          <cell r="K15" t="str">
            <v>TAMIL</v>
          </cell>
          <cell r="L15" t="str">
            <v>FEMALE</v>
          </cell>
          <cell r="M15" t="str">
            <v>101703955144</v>
          </cell>
          <cell r="N15">
            <v>5608860509</v>
          </cell>
          <cell r="O15" t="str">
            <v>469636709269</v>
          </cell>
          <cell r="P15" t="str">
            <v>67347683097</v>
          </cell>
          <cell r="Q15" t="str">
            <v>SBIN0071057</v>
          </cell>
          <cell r="R15" t="str">
            <v>STATE BANK OF INDIA</v>
          </cell>
          <cell r="S15" t="str">
            <v>MADAPPUR</v>
          </cell>
          <cell r="T15" t="str">
            <v>1/128,THOTTIPALAYAM,SULUR TALUK,KARAVALLIMADAPPUR,COIMBATORE, TAMILNADU-641668</v>
          </cell>
          <cell r="U15" t="str">
            <v>COIMBATORE</v>
          </cell>
          <cell r="V15" t="str">
            <v>COIMBATORE</v>
          </cell>
          <cell r="W15" t="str">
            <v>1/128,THOTTIPALAYAM,SULUR TALUK,KARAVALLIMADAPPUR,COIMBATORE, TAMILNADU-641668</v>
          </cell>
        </row>
        <row r="16">
          <cell r="B16" t="str">
            <v>J200</v>
          </cell>
          <cell r="C16" t="str">
            <v>SHARMILADEVI JAGANATHAN</v>
          </cell>
          <cell r="D16">
            <v>33557</v>
          </cell>
          <cell r="E16" t="str">
            <v>Production Helper</v>
          </cell>
          <cell r="F16" t="str">
            <v>Production</v>
          </cell>
          <cell r="G16">
            <v>9087580875</v>
          </cell>
          <cell r="H16">
            <v>45962</v>
          </cell>
          <cell r="I16">
            <v>34.519611745941098</v>
          </cell>
          <cell r="J16" t="str">
            <v>LIVE</v>
          </cell>
          <cell r="K16" t="str">
            <v>TAMIL</v>
          </cell>
          <cell r="L16" t="str">
            <v>FEMALE</v>
          </cell>
          <cell r="M16" t="str">
            <v>101809711697</v>
          </cell>
          <cell r="N16">
            <v>5610687342</v>
          </cell>
          <cell r="O16" t="str">
            <v>505062206812</v>
          </cell>
          <cell r="P16" t="str">
            <v>7808165772</v>
          </cell>
          <cell r="Q16" t="str">
            <v>IDIB000K169</v>
          </cell>
          <cell r="R16" t="str">
            <v>INDIAN BANK</v>
          </cell>
          <cell r="S16" t="str">
            <v>KMCH GOLDWINS</v>
          </cell>
          <cell r="T16" t="str">
            <v>4/303,ANNA NAGAR,KARAVALIMADAPPUR,COIMBATORE,TAMILNADU-641668</v>
          </cell>
          <cell r="U16" t="str">
            <v>COIMBATORE</v>
          </cell>
          <cell r="V16" t="str">
            <v>COIMBATORE</v>
          </cell>
          <cell r="W16" t="str">
            <v>4/303,ANNA NAGAR,KARAVALIMADAPPUR,COIMBATORE,TAMILNADU-641668</v>
          </cell>
        </row>
        <row r="17">
          <cell r="B17" t="str">
            <v>J193</v>
          </cell>
          <cell r="C17" t="str">
            <v>SANDRALEKA M</v>
          </cell>
          <cell r="D17">
            <v>33289</v>
          </cell>
          <cell r="E17" t="str">
            <v>Production Helper</v>
          </cell>
          <cell r="F17" t="str">
            <v>Production</v>
          </cell>
          <cell r="G17">
            <v>8056449050</v>
          </cell>
          <cell r="H17">
            <v>45658</v>
          </cell>
          <cell r="I17">
            <v>35.253858321283602</v>
          </cell>
          <cell r="J17" t="str">
            <v>LIVE</v>
          </cell>
          <cell r="K17" t="str">
            <v>TAMIL</v>
          </cell>
          <cell r="L17" t="str">
            <v>FEMALE</v>
          </cell>
          <cell r="M17" t="str">
            <v>101207129762</v>
          </cell>
          <cell r="N17">
            <v>5611143395</v>
          </cell>
          <cell r="O17" t="str">
            <v>358856800086</v>
          </cell>
          <cell r="P17" t="str">
            <v>43447482340</v>
          </cell>
          <cell r="Q17" t="str">
            <v>SBIN0071057</v>
          </cell>
          <cell r="R17" t="str">
            <v>STATE BANK OF INDIA</v>
          </cell>
          <cell r="S17" t="str">
            <v>MADAPPUR</v>
          </cell>
          <cell r="T17" t="str">
            <v>3/35 EAST STREET RASIPALAYAM,COIMBATORE,TAMILNADU-641402</v>
          </cell>
          <cell r="U17" t="str">
            <v>COIMBATORE</v>
          </cell>
          <cell r="V17" t="str">
            <v>COIMBATORE</v>
          </cell>
          <cell r="W17" t="str">
            <v>3/35 EAST STREET RASIPALAYAM,COIMBATORE,TAMILNADU-641402</v>
          </cell>
        </row>
        <row r="18">
          <cell r="B18" t="str">
            <v>J192</v>
          </cell>
          <cell r="C18" t="str">
            <v>GOLU KUMAR</v>
          </cell>
          <cell r="D18">
            <v>38036</v>
          </cell>
          <cell r="E18" t="str">
            <v>Production Helper</v>
          </cell>
          <cell r="F18" t="str">
            <v>Production</v>
          </cell>
          <cell r="G18">
            <v>8235055021</v>
          </cell>
          <cell r="H18">
            <v>45962</v>
          </cell>
          <cell r="I18">
            <v>22.248378869228802</v>
          </cell>
          <cell r="J18" t="str">
            <v>LIVE</v>
          </cell>
          <cell r="K18" t="str">
            <v>TAMIL</v>
          </cell>
          <cell r="L18" t="str">
            <v>MALE</v>
          </cell>
          <cell r="M18" t="str">
            <v>102249812602</v>
          </cell>
          <cell r="N18">
            <v>5611407984</v>
          </cell>
          <cell r="O18" t="str">
            <v>661761900919</v>
          </cell>
          <cell r="P18" t="str">
            <v>8235055021</v>
          </cell>
          <cell r="Q18" t="str">
            <v>AIRP0000001</v>
          </cell>
          <cell r="R18" t="str">
            <v>AIRTEL PAYMENT BANK</v>
          </cell>
          <cell r="S18" t="str">
            <v>GURUGRAM</v>
          </cell>
          <cell r="U18" t="str">
            <v>COIMBATORE</v>
          </cell>
          <cell r="V18" t="str">
            <v>COIMBATORE</v>
          </cell>
          <cell r="W18" t="str">
            <v>RAMNAGAR AMUHAA LAKHISARAL MANKATHRA BIHAR-811311</v>
          </cell>
        </row>
        <row r="19">
          <cell r="B19" t="str">
            <v>J190</v>
          </cell>
          <cell r="C19" t="str">
            <v>SENTHIL KUMAR S</v>
          </cell>
          <cell r="D19">
            <v>28888</v>
          </cell>
          <cell r="E19" t="str">
            <v>Production Helper</v>
          </cell>
          <cell r="F19" t="str">
            <v>Production</v>
          </cell>
          <cell r="G19">
            <v>9750445822</v>
          </cell>
          <cell r="H19">
            <v>45922</v>
          </cell>
          <cell r="I19">
            <v>47.311392567859002</v>
          </cell>
          <cell r="J19" t="str">
            <v>LIVE</v>
          </cell>
          <cell r="K19" t="str">
            <v>TAMIL</v>
          </cell>
          <cell r="L19" t="str">
            <v>MALE</v>
          </cell>
          <cell r="M19" t="str">
            <v>102233239583</v>
          </cell>
          <cell r="N19">
            <v>5611316326</v>
          </cell>
          <cell r="O19" t="str">
            <v>350323977622</v>
          </cell>
          <cell r="P19" t="str">
            <v>016101000047693</v>
          </cell>
          <cell r="Q19" t="str">
            <v>IOBA0000161</v>
          </cell>
          <cell r="R19" t="str">
            <v>INDIAN OVERSEAS BANK</v>
          </cell>
          <cell r="S19" t="str">
            <v>SULUR</v>
          </cell>
          <cell r="T19" t="str">
            <v>2/89, RASIPALAYAM, SULUR, COIMBATORE, TAMILNADU - 641402</v>
          </cell>
          <cell r="U19" t="str">
            <v>COIMBATORE</v>
          </cell>
          <cell r="V19" t="str">
            <v>COIMBATORE</v>
          </cell>
          <cell r="W19" t="str">
            <v>2/89, RASIPALAYAM, SULUR, COIMBATORE, TAMILNADU - 641402</v>
          </cell>
        </row>
        <row r="20">
          <cell r="B20" t="str">
            <v>J189</v>
          </cell>
          <cell r="C20" t="str">
            <v>BHARATHI R</v>
          </cell>
          <cell r="D20">
            <v>37453</v>
          </cell>
          <cell r="E20" t="str">
            <v>Production Helper</v>
          </cell>
          <cell r="F20" t="str">
            <v>Production</v>
          </cell>
          <cell r="G20">
            <v>7904899648</v>
          </cell>
          <cell r="H20">
            <v>45919</v>
          </cell>
          <cell r="I20">
            <v>23.845639143201399</v>
          </cell>
          <cell r="J20" t="str">
            <v>LIVE</v>
          </cell>
          <cell r="K20" t="str">
            <v>TAMIL</v>
          </cell>
          <cell r="L20" t="str">
            <v>MALE</v>
          </cell>
          <cell r="M20" t="str">
            <v>102249876475</v>
          </cell>
          <cell r="N20">
            <v>5611397557</v>
          </cell>
          <cell r="O20" t="str">
            <v>363665584147</v>
          </cell>
          <cell r="P20" t="str">
            <v>7642500103377001</v>
          </cell>
          <cell r="Q20" t="str">
            <v>KARB0000764</v>
          </cell>
          <cell r="R20" t="str">
            <v>KARNATAKA BANK</v>
          </cell>
          <cell r="S20" t="str">
            <v>TIRUPUR</v>
          </cell>
          <cell r="T20" t="str">
            <v>PETROL BUNK BACKSIDE, VINYAGAR KOVIL VEEDI, SULUR MAIN ROAD, SULUR, COIMBATORE</v>
          </cell>
          <cell r="U20" t="str">
            <v>COIMBATORE</v>
          </cell>
          <cell r="V20" t="str">
            <v>COIMBATORE</v>
          </cell>
          <cell r="W20" t="str">
            <v>1/30, MELATHERU, PUKKANGUZHI VALLAKKULAM, PUNGANGUDI, ARIYALUR, TAMILNADU - 621701</v>
          </cell>
        </row>
        <row r="21">
          <cell r="B21" t="str">
            <v>J184</v>
          </cell>
          <cell r="C21" t="str">
            <v>SUGANYA ARUMUGAM</v>
          </cell>
          <cell r="D21">
            <v>32890</v>
          </cell>
          <cell r="E21" t="str">
            <v>Production Helper</v>
          </cell>
          <cell r="F21" t="str">
            <v>Production</v>
          </cell>
          <cell r="G21">
            <v>8148865845</v>
          </cell>
          <cell r="H21">
            <v>45919</v>
          </cell>
          <cell r="I21">
            <v>36.347009006215103</v>
          </cell>
          <cell r="J21" t="str">
            <v>LIVE</v>
          </cell>
          <cell r="K21" t="str">
            <v>TAMIL</v>
          </cell>
          <cell r="L21" t="str">
            <v>Female</v>
          </cell>
          <cell r="M21" t="str">
            <v>102067726427</v>
          </cell>
          <cell r="N21">
            <v>5611158636</v>
          </cell>
          <cell r="O21" t="str">
            <v>738151916766</v>
          </cell>
          <cell r="P21" t="str">
            <v>125801000017360</v>
          </cell>
          <cell r="Q21" t="str">
            <v>IOBA0001258</v>
          </cell>
          <cell r="R21" t="str">
            <v>INDIAN OVERSEAS BANK</v>
          </cell>
          <cell r="S21" t="str">
            <v>ODDANCHATRAM</v>
          </cell>
          <cell r="T21" t="str">
            <v>MUTHUGOUNDANPUDUR, NEAR LNW, MAARIAMMANKOVIL STREET, VADAKKUVEDI, SULUR, COIMBATORE</v>
          </cell>
          <cell r="U21" t="str">
            <v>COIMBATORE</v>
          </cell>
          <cell r="V21" t="str">
            <v>COIMBATORE</v>
          </cell>
          <cell r="W21" t="str">
            <v>NAGAPPANPATTI, VERIYAPUR, DINDIGUL - 624619</v>
          </cell>
        </row>
        <row r="22">
          <cell r="B22" t="str">
            <v>J183</v>
          </cell>
          <cell r="C22" t="str">
            <v>SOWPARNIKA SUBRAMANIYAM</v>
          </cell>
          <cell r="D22">
            <v>34416</v>
          </cell>
          <cell r="E22" t="str">
            <v>Production Helper</v>
          </cell>
          <cell r="F22" t="str">
            <v>Production</v>
          </cell>
          <cell r="G22">
            <v>9585223927</v>
          </cell>
          <cell r="H22">
            <v>45919</v>
          </cell>
          <cell r="I22">
            <v>32.1661870884069</v>
          </cell>
          <cell r="J22" t="str">
            <v>LIVE</v>
          </cell>
          <cell r="K22" t="str">
            <v>TAMIL</v>
          </cell>
          <cell r="L22" t="str">
            <v>Female</v>
          </cell>
          <cell r="M22" t="str">
            <v>101330310840</v>
          </cell>
          <cell r="N22">
            <v>5606123921</v>
          </cell>
          <cell r="O22" t="str">
            <v>438326909107</v>
          </cell>
          <cell r="P22" t="str">
            <v>41806844387</v>
          </cell>
          <cell r="Q22" t="str">
            <v>SBIN0013438</v>
          </cell>
          <cell r="R22" t="str">
            <v>STATE BANK OF INDIA</v>
          </cell>
          <cell r="S22" t="str">
            <v>AVINASHI ROAD</v>
          </cell>
          <cell r="T22" t="str">
            <v>3/90, EAST STREET, SULUR, RASIPALAYAM, COIMABTORE - 641402</v>
          </cell>
          <cell r="U22" t="str">
            <v>COIMBATORE</v>
          </cell>
          <cell r="V22" t="str">
            <v>COIMBATORE</v>
          </cell>
          <cell r="W22" t="str">
            <v>3/90, EAST STREET, SULUR, RASIPALAYAM, COIMABTORE - 641402</v>
          </cell>
        </row>
        <row r="23">
          <cell r="B23" t="str">
            <v>J181</v>
          </cell>
          <cell r="C23" t="str">
            <v>GANESAN P</v>
          </cell>
          <cell r="D23">
            <v>29410</v>
          </cell>
          <cell r="E23" t="str">
            <v>Production Helper</v>
          </cell>
          <cell r="F23" t="str">
            <v>Production</v>
          </cell>
          <cell r="G23">
            <v>8148865845</v>
          </cell>
          <cell r="H23">
            <v>45919</v>
          </cell>
          <cell r="I23">
            <v>45.881255581557603</v>
          </cell>
          <cell r="J23" t="str">
            <v>LIVE</v>
          </cell>
          <cell r="K23" t="str">
            <v>TAMIL</v>
          </cell>
          <cell r="L23" t="str">
            <v>Male</v>
          </cell>
          <cell r="M23" t="str">
            <v>102179081680</v>
          </cell>
          <cell r="N23">
            <v>5611161938</v>
          </cell>
          <cell r="O23" t="str">
            <v>541970516839</v>
          </cell>
          <cell r="P23" t="str">
            <v>20530725774</v>
          </cell>
          <cell r="Q23" t="str">
            <v>SBIN0013438</v>
          </cell>
          <cell r="R23" t="str">
            <v>STATE BANK OF INDIA</v>
          </cell>
          <cell r="S23" t="str">
            <v>AVINASHI ROAD</v>
          </cell>
          <cell r="T23" t="str">
            <v>2/174, Kurumbapalayam, Kurumbapalayam, , PO:MUTHUGOUDANPUDUR, DIST: Coimbatore, Tamil Nadu -641402</v>
          </cell>
          <cell r="U23" t="str">
            <v>COIMBATORE</v>
          </cell>
          <cell r="V23" t="str">
            <v>COIMBATORE</v>
          </cell>
          <cell r="W23" t="str">
            <v>2/174, Kurumbapalayam, Kurumbapalayam, , PO:MUTHUGOUDANPUDUR, DIST: Coimbatore, Tamil Nadu -641402</v>
          </cell>
        </row>
        <row r="24">
          <cell r="B24" t="str">
            <v>J179</v>
          </cell>
          <cell r="C24" t="str">
            <v>MANOJ KUMAR SAHU</v>
          </cell>
          <cell r="D24">
            <v>31912</v>
          </cell>
          <cell r="E24" t="str">
            <v>Production Helper</v>
          </cell>
          <cell r="F24" t="str">
            <v>Production</v>
          </cell>
          <cell r="G24">
            <v>9337896930</v>
          </cell>
          <cell r="H24">
            <v>45897</v>
          </cell>
          <cell r="I24">
            <v>39.026461061009599</v>
          </cell>
          <cell r="J24" t="str">
            <v>LIVE</v>
          </cell>
          <cell r="K24" t="str">
            <v>HINDI</v>
          </cell>
          <cell r="L24" t="str">
            <v>Male</v>
          </cell>
          <cell r="M24" t="str">
            <v>101186027931</v>
          </cell>
          <cell r="N24">
            <v>5347366771</v>
          </cell>
          <cell r="O24" t="str">
            <v>641166648296</v>
          </cell>
          <cell r="P24" t="str">
            <v>515810110007126</v>
          </cell>
          <cell r="Q24" t="str">
            <v>BKID0005158</v>
          </cell>
          <cell r="R24" t="str">
            <v>BANK OF BARODA</v>
          </cell>
          <cell r="S24" t="str">
            <v>CHHATRAPUR</v>
          </cell>
          <cell r="T24" t="str">
            <v>NEAR GOVT SCHOOL, MUTHUGOUNDANPUDUR COLONY, SULUR, COIMBATORE - 641402</v>
          </cell>
          <cell r="U24" t="str">
            <v>COIMBATORE</v>
          </cell>
          <cell r="V24" t="str">
            <v>COIMBATORE</v>
          </cell>
          <cell r="W24" t="str">
            <v>SANA NOLIANUAGAN, AGASTINUAGAN, CHHATRAPUR, GANJAM,</v>
          </cell>
        </row>
        <row r="25">
          <cell r="B25" t="str">
            <v>J173</v>
          </cell>
          <cell r="C25" t="str">
            <v>AMUTHA MANI</v>
          </cell>
          <cell r="D25">
            <v>31776</v>
          </cell>
          <cell r="E25" t="str">
            <v>Production Helper</v>
          </cell>
          <cell r="F25" t="str">
            <v>Production</v>
          </cell>
          <cell r="G25">
            <v>8524032622</v>
          </cell>
          <cell r="H25">
            <v>45890</v>
          </cell>
          <cell r="I25">
            <v>39.399063800735703</v>
          </cell>
          <cell r="J25" t="str">
            <v>LIVE</v>
          </cell>
          <cell r="K25" t="str">
            <v>TAMIL</v>
          </cell>
          <cell r="L25" t="str">
            <v>Female</v>
          </cell>
          <cell r="M25" t="str">
            <v>101890657547</v>
          </cell>
          <cell r="N25">
            <v>5606818321</v>
          </cell>
          <cell r="O25" t="str">
            <v>340394222264</v>
          </cell>
          <cell r="P25" t="str">
            <v>40586319555</v>
          </cell>
          <cell r="Q25" t="str">
            <v>SBIN0071057</v>
          </cell>
          <cell r="R25" t="str">
            <v>STATE BANK OF INDIA</v>
          </cell>
          <cell r="S25" t="str">
            <v>MADAPPUR</v>
          </cell>
          <cell r="T25" t="str">
            <v>1/126, THOTTIPALAYAM, SULUR, KARAVALIMADAPPUR, COIMBATORE, TAMILNADU - 641668</v>
          </cell>
          <cell r="U25" t="str">
            <v>COIMBATORE</v>
          </cell>
          <cell r="V25" t="str">
            <v>COIMBATORE</v>
          </cell>
          <cell r="W25" t="str">
            <v>1/126, THOTTIPALAYAM, SULUR, KARAVALIMADAPPUR, COIMBATORE, TAMILNADU - 641668</v>
          </cell>
        </row>
        <row r="26">
          <cell r="B26" t="str">
            <v>J168</v>
          </cell>
          <cell r="C26" t="str">
            <v>PREMA</v>
          </cell>
          <cell r="D26">
            <v>37677</v>
          </cell>
          <cell r="E26" t="str">
            <v>Production Helper</v>
          </cell>
          <cell r="F26" t="str">
            <v>Production</v>
          </cell>
          <cell r="G26">
            <v>9629432693</v>
          </cell>
          <cell r="H26">
            <v>45882</v>
          </cell>
          <cell r="I26">
            <v>23.231940513064401</v>
          </cell>
          <cell r="J26" t="str">
            <v>LIVE</v>
          </cell>
          <cell r="K26" t="str">
            <v>TAMIL</v>
          </cell>
          <cell r="L26" t="str">
            <v>Female</v>
          </cell>
          <cell r="M26" t="str">
            <v>101647086994</v>
          </cell>
          <cell r="N26">
            <v>5611364305</v>
          </cell>
          <cell r="O26" t="str">
            <v>845877132491</v>
          </cell>
          <cell r="P26" t="str">
            <v>67372132221</v>
          </cell>
          <cell r="Q26" t="str">
            <v>SBIN0071057</v>
          </cell>
          <cell r="R26" t="str">
            <v>STATE BANK OF INDIA</v>
          </cell>
          <cell r="S26" t="str">
            <v>MADAPPUR</v>
          </cell>
          <cell r="T26" t="str">
            <v>1/297, PADEESWARAN KOVIL STREET, THOTTIPALAYAM,  SULUR, KARAVALIMADAPPUR, COIMBATORE, TAMILNADU - 641668</v>
          </cell>
          <cell r="U26" t="str">
            <v>COIMBATORE</v>
          </cell>
          <cell r="V26" t="str">
            <v>COIMBATORE</v>
          </cell>
          <cell r="W26" t="str">
            <v>1/297, PADEESWARAN KOVIL STREET, THOTTIPALAYAM,  SULUR, KARAVALIMADAPPUR, COIMBATORE, TAMILNADU - 641668</v>
          </cell>
        </row>
        <row r="27">
          <cell r="B27" t="str">
            <v>J167</v>
          </cell>
          <cell r="C27" t="str">
            <v>GOWRI MANOHARI</v>
          </cell>
          <cell r="D27">
            <v>35508</v>
          </cell>
          <cell r="E27" t="str">
            <v>Production Helper</v>
          </cell>
          <cell r="F27" t="str">
            <v>Production</v>
          </cell>
          <cell r="G27">
            <v>8438689264</v>
          </cell>
          <cell r="H27">
            <v>45882</v>
          </cell>
          <cell r="I27">
            <v>29.1744062664891</v>
          </cell>
          <cell r="J27" t="str">
            <v>LIVE</v>
          </cell>
          <cell r="K27" t="str">
            <v>TAMIL</v>
          </cell>
          <cell r="L27" t="str">
            <v>Female</v>
          </cell>
          <cell r="M27" t="str">
            <v>101528268509</v>
          </cell>
          <cell r="N27">
            <v>5611364303</v>
          </cell>
          <cell r="O27" t="str">
            <v>673273625358</v>
          </cell>
          <cell r="P27" t="str">
            <v>24130100013926</v>
          </cell>
          <cell r="Q27" t="str">
            <v>FDRL0002413</v>
          </cell>
          <cell r="R27" t="str">
            <v>FEDERAL BANK</v>
          </cell>
          <cell r="S27" t="str">
            <v>SULUR</v>
          </cell>
          <cell r="T27" t="str">
            <v>1/180, PATTATHARASIAMMAN KOVIL STREET, THOTTIPALAYAM, KARAVALIMADAPUR, SULUR, COIMBATORE, TAMILNADU - 641668</v>
          </cell>
          <cell r="U27" t="str">
            <v>COIMBATORE</v>
          </cell>
          <cell r="V27" t="str">
            <v>COIMBATORE</v>
          </cell>
          <cell r="W27" t="str">
            <v>1/180, PATTATHARASIAMMAN KOVIL STREET, THOTTIPALAYAM, KARAVALIMADAPUR, SULUR, COIMBATORE, TAMILNADU - 641668</v>
          </cell>
        </row>
        <row r="28">
          <cell r="B28" t="str">
            <v>J165</v>
          </cell>
          <cell r="C28" t="str">
            <v>PRIYANKA</v>
          </cell>
          <cell r="D28">
            <v>38546</v>
          </cell>
          <cell r="E28" t="str">
            <v>Production Helper</v>
          </cell>
          <cell r="F28" t="str">
            <v>Production</v>
          </cell>
          <cell r="G28">
            <v>9790414514</v>
          </cell>
          <cell r="H28">
            <v>45882</v>
          </cell>
          <cell r="I28">
            <v>20.851118595256199</v>
          </cell>
          <cell r="J28" t="str">
            <v>LIVE</v>
          </cell>
          <cell r="K28" t="str">
            <v>TAMIL</v>
          </cell>
          <cell r="L28" t="str">
            <v>Female</v>
          </cell>
          <cell r="M28" t="str">
            <v>102015250116</v>
          </cell>
          <cell r="N28">
            <v>5610286921</v>
          </cell>
          <cell r="O28" t="str">
            <v>6798 1297 6028</v>
          </cell>
          <cell r="P28" t="str">
            <v>110142308732</v>
          </cell>
          <cell r="Q28" t="str">
            <v>CNRB0004260</v>
          </cell>
          <cell r="R28" t="str">
            <v>CANARA</v>
          </cell>
          <cell r="S28" t="str">
            <v>SAMALAPURAM</v>
          </cell>
          <cell r="T28" t="str">
            <v>1/119,pattatharasi Amman Kovil Street,thottipalayam,sulur taluk, karvalimadappur, coimbatore tamilnadu 641668</v>
          </cell>
          <cell r="U28" t="str">
            <v>COIMBATORE</v>
          </cell>
          <cell r="V28" t="str">
            <v>COIMBATORE</v>
          </cell>
          <cell r="W28" t="str">
            <v>1/119,pattatharasi Amman Kovil Street,thottipalayam,sulur taluk, karvalimadappur, coimbatore tamilnadu 641668</v>
          </cell>
        </row>
        <row r="29">
          <cell r="B29" t="str">
            <v>J163</v>
          </cell>
          <cell r="C29" t="str">
            <v>NITHYA THANGAN</v>
          </cell>
          <cell r="D29">
            <v>35717</v>
          </cell>
          <cell r="E29" t="str">
            <v>Production Helper</v>
          </cell>
          <cell r="F29" t="str">
            <v>Production</v>
          </cell>
          <cell r="G29">
            <v>9944210461</v>
          </cell>
          <cell r="H29">
            <v>45882</v>
          </cell>
          <cell r="I29">
            <v>28.601803526763099</v>
          </cell>
          <cell r="J29" t="str">
            <v>LIVE</v>
          </cell>
          <cell r="K29" t="str">
            <v>TAMIL</v>
          </cell>
          <cell r="L29" t="str">
            <v>Female</v>
          </cell>
          <cell r="M29" t="str">
            <v>101211296931</v>
          </cell>
          <cell r="N29">
            <v>5611364313</v>
          </cell>
          <cell r="O29" t="str">
            <v>698757015113</v>
          </cell>
          <cell r="P29">
            <v>7710598445</v>
          </cell>
          <cell r="Q29" t="str">
            <v>IDIB000S057</v>
          </cell>
          <cell r="R29" t="str">
            <v>INDIAN BANK</v>
          </cell>
          <cell r="S29" t="str">
            <v>SINGANALLUR</v>
          </cell>
          <cell r="T29" t="str">
            <v>4/170, ARUKAMBALAYAM, RASIPALAYAM, SULUR, COIMBATORE, TAMILNADU - 641402</v>
          </cell>
          <cell r="U29" t="str">
            <v>COIMBATORE</v>
          </cell>
          <cell r="V29" t="str">
            <v>COIMBATORE</v>
          </cell>
          <cell r="W29" t="str">
            <v>4/170, ARUKAMBALAYAM, RASIPALAYAM, SULUR, COIMBATORE, TAMILNADU - 641402</v>
          </cell>
        </row>
        <row r="30">
          <cell r="B30" t="str">
            <v>J162</v>
          </cell>
          <cell r="C30" t="str">
            <v>SUDALI</v>
          </cell>
          <cell r="D30">
            <v>31146</v>
          </cell>
          <cell r="E30" t="str">
            <v>Production Helper</v>
          </cell>
          <cell r="F30" t="str">
            <v>Production</v>
          </cell>
          <cell r="G30">
            <v>9942491391</v>
          </cell>
          <cell r="H30">
            <v>45882</v>
          </cell>
          <cell r="I30">
            <v>41.1250911979959</v>
          </cell>
          <cell r="J30" t="str">
            <v>LIVE</v>
          </cell>
          <cell r="K30" t="str">
            <v>TAMIL</v>
          </cell>
          <cell r="L30" t="str">
            <v>Female</v>
          </cell>
          <cell r="M30" t="str">
            <v>102165892403</v>
          </cell>
          <cell r="N30">
            <v>5611364298</v>
          </cell>
          <cell r="O30" t="str">
            <v>954037855491</v>
          </cell>
          <cell r="P30" t="str">
            <v>184501000024472</v>
          </cell>
          <cell r="Q30" t="str">
            <v>IOBA0001845</v>
          </cell>
          <cell r="R30" t="str">
            <v>INDIAN OVERSEAS BANK</v>
          </cell>
          <cell r="S30" t="str">
            <v>THENNAMPALAYAM</v>
          </cell>
          <cell r="T30" t="str">
            <v>3/8D, EAST STREET, RAASIPALAYAM, SULUR, COIMBATORE, TAMILNADU - 641402</v>
          </cell>
          <cell r="U30" t="str">
            <v>COIMBATORE</v>
          </cell>
          <cell r="V30" t="str">
            <v>COIMBATORE</v>
          </cell>
          <cell r="W30" t="str">
            <v>3/8D, EAST STREET, RAASIPALAYAM, SULUR, COIMBATORE, TAMILNADU - 641402</v>
          </cell>
        </row>
        <row r="31">
          <cell r="B31" t="str">
            <v>J159</v>
          </cell>
          <cell r="C31" t="str">
            <v>PAKU MURMU</v>
          </cell>
          <cell r="D31">
            <v>37987</v>
          </cell>
          <cell r="E31" t="str">
            <v>Production Helper</v>
          </cell>
          <cell r="F31" t="str">
            <v>Production</v>
          </cell>
          <cell r="G31">
            <v>9155147738</v>
          </cell>
          <cell r="H31">
            <v>45876</v>
          </cell>
          <cell r="I31">
            <v>22.3826254445713</v>
          </cell>
          <cell r="J31" t="str">
            <v>LIVE</v>
          </cell>
          <cell r="K31" t="str">
            <v>HINDI</v>
          </cell>
          <cell r="L31" t="str">
            <v>Male</v>
          </cell>
          <cell r="M31">
            <v>102004324881</v>
          </cell>
          <cell r="N31">
            <v>5610239384</v>
          </cell>
          <cell r="O31" t="str">
            <v>884506957773</v>
          </cell>
          <cell r="P31" t="str">
            <v>020110191958</v>
          </cell>
          <cell r="Q31" t="str">
            <v>IPOS0000001</v>
          </cell>
          <cell r="R31" t="str">
            <v>INDIAN POST PAYMENTS BANK</v>
          </cell>
          <cell r="S31" t="str">
            <v>NEW DELHI</v>
          </cell>
          <cell r="T31" t="str">
            <v>MUTHUGOUNDANPUDUR, COIMBATORE, TAMILNADU,</v>
          </cell>
          <cell r="U31" t="str">
            <v>COIMBATORE</v>
          </cell>
          <cell r="V31" t="str">
            <v>COIMBATORE</v>
          </cell>
          <cell r="W31" t="str">
            <v>PALASI, MASALIA, JARUADIH, DUMKA, JHARKHAND - 814146</v>
          </cell>
        </row>
        <row r="32">
          <cell r="B32" t="str">
            <v>J158</v>
          </cell>
          <cell r="C32" t="str">
            <v>LOGEN TUDU</v>
          </cell>
          <cell r="D32">
            <v>36526</v>
          </cell>
          <cell r="E32" t="str">
            <v>Production Helper</v>
          </cell>
          <cell r="F32" t="str">
            <v>Production</v>
          </cell>
          <cell r="G32">
            <v>9155147738</v>
          </cell>
          <cell r="H32">
            <v>45876</v>
          </cell>
          <cell r="I32">
            <v>26.3853651705987</v>
          </cell>
          <cell r="J32" t="str">
            <v>LIVE</v>
          </cell>
          <cell r="K32" t="str">
            <v>HINDI</v>
          </cell>
          <cell r="L32" t="str">
            <v>Male</v>
          </cell>
          <cell r="M32">
            <v>101709036668</v>
          </cell>
          <cell r="N32">
            <v>5610182036</v>
          </cell>
          <cell r="O32" t="str">
            <v>482277956142</v>
          </cell>
          <cell r="P32" t="str">
            <v>9155147738</v>
          </cell>
          <cell r="Q32" t="str">
            <v>AIRP0000001</v>
          </cell>
          <cell r="R32" t="str">
            <v>AIRTEL PAYMENT BANK</v>
          </cell>
          <cell r="S32" t="str">
            <v>GURUGRAM</v>
          </cell>
          <cell r="T32" t="str">
            <v>MUTHUGOUNDANPUDUR, COIMBATORE, TAMILNADU,</v>
          </cell>
          <cell r="U32" t="str">
            <v>COIMBATORE</v>
          </cell>
          <cell r="V32" t="str">
            <v>COIMBATORE</v>
          </cell>
          <cell r="W32" t="str">
            <v>MAHUADABAR, AMGACHHI, BAIJNATHPUR, PALOJORI, DEOGHAR, JHARKHAND - 814146</v>
          </cell>
        </row>
        <row r="33">
          <cell r="B33" t="str">
            <v>J155</v>
          </cell>
          <cell r="C33" t="str">
            <v>RAJANI ORAM</v>
          </cell>
          <cell r="D33">
            <v>36595</v>
          </cell>
          <cell r="E33" t="str">
            <v>Production Helper</v>
          </cell>
          <cell r="F33" t="str">
            <v>Production</v>
          </cell>
          <cell r="G33">
            <v>7609078766</v>
          </cell>
          <cell r="H33">
            <v>45863</v>
          </cell>
          <cell r="I33">
            <v>26.196324074708301</v>
          </cell>
          <cell r="J33" t="str">
            <v>LIVE</v>
          </cell>
          <cell r="K33" t="str">
            <v>HINDI</v>
          </cell>
          <cell r="L33" t="str">
            <v>Female</v>
          </cell>
          <cell r="M33" t="str">
            <v>102067572091</v>
          </cell>
          <cell r="N33">
            <v>5610722477</v>
          </cell>
          <cell r="O33" t="str">
            <v>777437970430</v>
          </cell>
          <cell r="P33" t="str">
            <v>110167413738</v>
          </cell>
          <cell r="Q33" t="str">
            <v>CNRB0002805</v>
          </cell>
          <cell r="R33" t="str">
            <v>CANARA BANK</v>
          </cell>
          <cell r="S33" t="str">
            <v>JHARSUGUDA</v>
          </cell>
          <cell r="T33" t="str">
            <v>97,ORAMAPASDA,KALIMANDIR,JHARSUGUDA,ODISHA-768202</v>
          </cell>
          <cell r="U33" t="str">
            <v>COIMBATORE</v>
          </cell>
          <cell r="V33" t="str">
            <v>COIMBATORE</v>
          </cell>
          <cell r="W33" t="str">
            <v>97,ORAMAPASDA,KALIMANDIR,JHARSUGUDA,ODISHA-768202</v>
          </cell>
        </row>
        <row r="34">
          <cell r="B34" t="str">
            <v>J151</v>
          </cell>
          <cell r="C34" t="str">
            <v>MANITA KUNKAL</v>
          </cell>
          <cell r="D34">
            <v>37456</v>
          </cell>
          <cell r="E34" t="str">
            <v>Production Helper</v>
          </cell>
          <cell r="F34" t="str">
            <v>Production</v>
          </cell>
          <cell r="G34">
            <v>7325884983</v>
          </cell>
          <cell r="H34">
            <v>45856</v>
          </cell>
          <cell r="I34">
            <v>23.837419965119199</v>
          </cell>
          <cell r="J34" t="str">
            <v>LIVE</v>
          </cell>
          <cell r="K34" t="str">
            <v>HINDI</v>
          </cell>
          <cell r="L34" t="str">
            <v>Female</v>
          </cell>
          <cell r="M34" t="str">
            <v>102132583773</v>
          </cell>
          <cell r="N34">
            <v>5611327990</v>
          </cell>
          <cell r="O34" t="str">
            <v>727736063448</v>
          </cell>
          <cell r="P34">
            <v>8144886929</v>
          </cell>
          <cell r="Q34" t="str">
            <v>AIRP0000001</v>
          </cell>
          <cell r="R34" t="str">
            <v>AIRTEL PAYMENT BANK</v>
          </cell>
          <cell r="S34" t="str">
            <v>GURUGRAM</v>
          </cell>
          <cell r="T34" t="str">
            <v>ARASUR MARKET NEAR, ARASUR, THENNAMPALAYAM, COIMBATORE, TAMILNADU</v>
          </cell>
          <cell r="U34" t="str">
            <v>COIMBATORE</v>
          </cell>
          <cell r="V34" t="str">
            <v>COIMBATORE</v>
          </cell>
          <cell r="W34" t="str">
            <v>GOPINATHPUR, BARAKOTIA, ANUGUL, ODISHA, 759118</v>
          </cell>
        </row>
        <row r="35">
          <cell r="B35" t="str">
            <v>J144</v>
          </cell>
          <cell r="C35" t="str">
            <v>Anandhi.M</v>
          </cell>
          <cell r="D35">
            <v>32860</v>
          </cell>
          <cell r="E35" t="str">
            <v>Production Helper</v>
          </cell>
          <cell r="F35" t="str">
            <v>Production</v>
          </cell>
          <cell r="G35">
            <v>9384178061</v>
          </cell>
          <cell r="H35">
            <v>45839</v>
          </cell>
          <cell r="I35">
            <v>36.429200787036997</v>
          </cell>
          <cell r="J35" t="str">
            <v>LIVE</v>
          </cell>
          <cell r="K35" t="str">
            <v>TAMIL</v>
          </cell>
          <cell r="L35" t="str">
            <v>Female</v>
          </cell>
          <cell r="M35">
            <v>101709328468</v>
          </cell>
          <cell r="N35">
            <v>5611064952</v>
          </cell>
          <cell r="O35" t="str">
            <v>289848592174</v>
          </cell>
          <cell r="P35">
            <v>69850100007114</v>
          </cell>
          <cell r="Q35" t="str">
            <v>BARBOVJTHP</v>
          </cell>
          <cell r="R35" t="str">
            <v>BOB</v>
          </cell>
          <cell r="S35" t="str">
            <v>Thennampalayam</v>
          </cell>
          <cell r="T35" t="str">
            <v>1/191 pattathrasiyamman Kovil street thotti palayam sulur taluk, karavaill madapur coimbatore tamil nadu - 641668</v>
          </cell>
          <cell r="U35" t="str">
            <v>COIMBATORE</v>
          </cell>
          <cell r="V35" t="str">
            <v>COIMBATORE</v>
          </cell>
          <cell r="W35" t="str">
            <v>1/191 pattathrasiyamman Kovil street thotti palayam sulur taluk, karavaill madapur coimbatore tamil nadu - 641668</v>
          </cell>
        </row>
        <row r="36">
          <cell r="B36" t="str">
            <v>J143</v>
          </cell>
          <cell r="C36" t="str">
            <v>Sathiya</v>
          </cell>
          <cell r="D36">
            <v>31794</v>
          </cell>
          <cell r="E36" t="str">
            <v>Production Helper</v>
          </cell>
          <cell r="F36" t="str">
            <v>Production</v>
          </cell>
          <cell r="G36">
            <v>8838550083</v>
          </cell>
          <cell r="H36">
            <v>45839</v>
          </cell>
          <cell r="I36">
            <v>39.349748732242503</v>
          </cell>
          <cell r="J36" t="str">
            <v>LIVE</v>
          </cell>
          <cell r="K36" t="str">
            <v>TAMIL</v>
          </cell>
          <cell r="L36" t="str">
            <v>Female</v>
          </cell>
          <cell r="M36" t="str">
            <v>101501794638</v>
          </cell>
          <cell r="N36">
            <v>5608038212</v>
          </cell>
          <cell r="O36" t="str">
            <v>802137660688</v>
          </cell>
          <cell r="P36">
            <v>334902010139038</v>
          </cell>
          <cell r="Q36" t="str">
            <v>UBIN0533491</v>
          </cell>
          <cell r="R36" t="str">
            <v>UBI</v>
          </cell>
          <cell r="S36" t="str">
            <v>Somanur</v>
          </cell>
          <cell r="T36" t="str">
            <v>1/191 thundukadu , thottipalayam sulur taluka karavaill madapur coimbatore tamil nadu - 641668</v>
          </cell>
          <cell r="U36" t="str">
            <v>COIMBATORE</v>
          </cell>
          <cell r="V36" t="str">
            <v>COIMBATORE</v>
          </cell>
          <cell r="W36" t="str">
            <v>1/191 thundukadu , thottipalayam sulur taluka karavaill madapur coimbatore tamil nadu - 641668</v>
          </cell>
        </row>
        <row r="37">
          <cell r="B37" t="str">
            <v>J141</v>
          </cell>
          <cell r="C37" t="str">
            <v>VENNILA G</v>
          </cell>
          <cell r="D37">
            <v>31126</v>
          </cell>
          <cell r="E37" t="str">
            <v>Production Helper</v>
          </cell>
          <cell r="F37" t="str">
            <v>Production</v>
          </cell>
          <cell r="G37">
            <v>9715784733</v>
          </cell>
          <cell r="H37">
            <v>45839</v>
          </cell>
          <cell r="I37">
            <v>41.1798857185439</v>
          </cell>
          <cell r="J37" t="str">
            <v>LIVE</v>
          </cell>
          <cell r="K37" t="str">
            <v>TAMIL</v>
          </cell>
          <cell r="L37" t="str">
            <v>Female</v>
          </cell>
          <cell r="M37" t="str">
            <v>102035911878</v>
          </cell>
          <cell r="N37">
            <v>5611313250</v>
          </cell>
          <cell r="O37" t="str">
            <v>493731571214</v>
          </cell>
          <cell r="P37" t="str">
            <v>67360309805</v>
          </cell>
          <cell r="Q37" t="str">
            <v>SBIN0071057</v>
          </cell>
          <cell r="R37" t="str">
            <v>SBI</v>
          </cell>
          <cell r="S37" t="str">
            <v>MADHAPUR</v>
          </cell>
          <cell r="T37" t="str">
            <v>1/239, THOTTIPALAYAM, KARAVALLI MADHAPUR, SULUR TK, COIMBATORE, TAMILNADU - 641668</v>
          </cell>
          <cell r="U37" t="str">
            <v>COIMBATORE</v>
          </cell>
          <cell r="V37" t="str">
            <v>COIMBATORE</v>
          </cell>
          <cell r="W37" t="str">
            <v>1/239, THOTTIPALAYAM, KARAVALLI MADHAPUR, SULUR TK, COIMBATORE, TAMILNADU - 641668</v>
          </cell>
        </row>
        <row r="38">
          <cell r="B38" t="str">
            <v>J138</v>
          </cell>
          <cell r="C38" t="str">
            <v>AISWARIYA ANANTHAN</v>
          </cell>
          <cell r="D38">
            <v>33823</v>
          </cell>
          <cell r="E38" t="str">
            <v>Production Helper</v>
          </cell>
          <cell r="F38" t="str">
            <v>Production</v>
          </cell>
          <cell r="G38">
            <v>9095732300</v>
          </cell>
          <cell r="H38">
            <v>45810</v>
          </cell>
          <cell r="I38">
            <v>33.790844622653502</v>
          </cell>
          <cell r="J38" t="str">
            <v>LIVE</v>
          </cell>
          <cell r="K38" t="str">
            <v>TAMIL</v>
          </cell>
          <cell r="L38" t="str">
            <v>Female</v>
          </cell>
          <cell r="M38" t="str">
            <v>102162891516 </v>
          </cell>
          <cell r="N38">
            <v>5611281667</v>
          </cell>
          <cell r="O38" t="str">
            <v>477100812174</v>
          </cell>
          <cell r="P38">
            <v>713311337</v>
          </cell>
          <cell r="Q38" t="str">
            <v>TNSC0010000</v>
          </cell>
          <cell r="R38" t="str">
            <v>THE COIMBATORE DISTRICT CENTRAL CO OPERETIVE BANK</v>
          </cell>
          <cell r="S38" t="str">
            <v>SOMANJUR</v>
          </cell>
          <cell r="T38" t="str">
            <v>1-221, KOVIL STREET, THOTTIPALAYAM, KARAVALLI MADHAPUR, SOMANUR, COIMBATORE, TAMILNADU - 641668</v>
          </cell>
          <cell r="U38" t="str">
            <v>COIMBATORE</v>
          </cell>
          <cell r="V38" t="str">
            <v>COIMBATORE</v>
          </cell>
          <cell r="W38" t="str">
            <v>1-221, KOVIL STREET, THOTTIPALAYAM, KARAVALLI MADHAPUR, SOMANUR, COIMBATORE, TAMILNADU - 641668</v>
          </cell>
        </row>
        <row r="39">
          <cell r="B39" t="str">
            <v>J135</v>
          </cell>
          <cell r="C39" t="str">
            <v>SUDHAPRIYA PALANISAMY</v>
          </cell>
          <cell r="D39">
            <v>30811</v>
          </cell>
          <cell r="E39" t="str">
            <v>Production Helper</v>
          </cell>
          <cell r="F39" t="str">
            <v>Production</v>
          </cell>
          <cell r="G39">
            <v>7373976768</v>
          </cell>
          <cell r="H39">
            <v>45810</v>
          </cell>
          <cell r="I39">
            <v>42.042899417173999</v>
          </cell>
          <cell r="J39" t="str">
            <v>LIVE</v>
          </cell>
          <cell r="K39" t="str">
            <v>TAMIL</v>
          </cell>
          <cell r="L39" t="str">
            <v>Female</v>
          </cell>
          <cell r="M39" t="str">
            <v>101701659866</v>
          </cell>
          <cell r="N39">
            <v>5610655034</v>
          </cell>
          <cell r="O39" t="str">
            <v>406871770547</v>
          </cell>
          <cell r="P39" t="str">
            <v>40900386038</v>
          </cell>
          <cell r="Q39" t="str">
            <v>SBIN0071057</v>
          </cell>
          <cell r="R39" t="str">
            <v>SBI</v>
          </cell>
          <cell r="S39" t="str">
            <v>MADAPPUR</v>
          </cell>
          <cell r="T39" t="str">
            <v>1/259 PATTARASIYAMMAN KOVIL STREET THOTTIPALAYAM,KARAVALLIMADAPPUR,COIMBATORE TAMILNADU-641668</v>
          </cell>
          <cell r="U39" t="str">
            <v>COIMBATORE</v>
          </cell>
          <cell r="V39" t="str">
            <v>COIMBATORE</v>
          </cell>
          <cell r="W39" t="str">
            <v>1/259 PATTARASIYAMMAN KOVIL STREET THOTTIPALAYAM,KARAVALLIMADAPPUR,COIMBATORE TAMILNADU-641668</v>
          </cell>
        </row>
        <row r="40">
          <cell r="B40" t="str">
            <v>J131</v>
          </cell>
          <cell r="C40" t="str">
            <v>THAILA G</v>
          </cell>
          <cell r="D40">
            <v>35753</v>
          </cell>
          <cell r="E40" t="str">
            <v>Production Helper</v>
          </cell>
          <cell r="F40" t="str">
            <v>Production</v>
          </cell>
          <cell r="G40">
            <v>8248087395</v>
          </cell>
          <cell r="H40">
            <v>45705</v>
          </cell>
          <cell r="I40">
            <v>28.503173389776801</v>
          </cell>
          <cell r="J40" t="str">
            <v>LIVE</v>
          </cell>
          <cell r="K40" t="str">
            <v>TAMIL</v>
          </cell>
          <cell r="L40" t="str">
            <v>Female</v>
          </cell>
          <cell r="M40" t="str">
            <v>102139430777</v>
          </cell>
          <cell r="N40">
            <v>5610900530</v>
          </cell>
          <cell r="O40" t="str">
            <v>954534895869</v>
          </cell>
          <cell r="P40" t="str">
            <v>4367101004522</v>
          </cell>
          <cell r="Q40" t="str">
            <v>CNRB0005997</v>
          </cell>
          <cell r="R40" t="str">
            <v>CANARA BANK</v>
          </cell>
          <cell r="S40" t="str">
            <v>CHINNIYAMPALAYAM</v>
          </cell>
          <cell r="T40" t="str">
            <v>1/16, VALLIMADURAI, KIRAIPATTI, DHARMAPURI, TAMILNADU-636903</v>
          </cell>
          <cell r="U40" t="str">
            <v>COIMBATORE</v>
          </cell>
          <cell r="V40" t="str">
            <v>COIMBATORE</v>
          </cell>
          <cell r="W40" t="str">
            <v>1/16, VALLIMADURAI, KIRAIPATTI, DHARMAPURI, TAMILNADU-636903</v>
          </cell>
        </row>
        <row r="41">
          <cell r="B41" t="str">
            <v>J129</v>
          </cell>
          <cell r="C41" t="str">
            <v>GLORY</v>
          </cell>
          <cell r="D41">
            <v>29007</v>
          </cell>
          <cell r="E41" t="str">
            <v>Production Helper</v>
          </cell>
          <cell r="F41" t="str">
            <v>Production</v>
          </cell>
          <cell r="G41">
            <v>9942813416</v>
          </cell>
          <cell r="H41">
            <v>45635</v>
          </cell>
          <cell r="I41">
            <v>46.985365170598698</v>
          </cell>
          <cell r="J41" t="str">
            <v>LIVE</v>
          </cell>
          <cell r="K41" t="str">
            <v>TAMIL</v>
          </cell>
          <cell r="L41" t="str">
            <v>Female</v>
          </cell>
          <cell r="M41" t="str">
            <v>102098477464</v>
          </cell>
          <cell r="N41">
            <v>5610945247</v>
          </cell>
          <cell r="O41" t="str">
            <v>633556961233</v>
          </cell>
          <cell r="P41" t="str">
            <v>1279155000149416</v>
          </cell>
          <cell r="Q41" t="str">
            <v>KVBL0001279</v>
          </cell>
          <cell r="R41" t="str">
            <v>KARUR VYSYA BANK</v>
          </cell>
          <cell r="S41" t="str">
            <v>SOMANUR</v>
          </cell>
          <cell r="T41" t="str">
            <v>NO 3/352,WEST STREET,ATHANKOTHANGUDI,MUTHUKULATHUR,RAMANATHAPURAM,TAMIL NADU-623711</v>
          </cell>
          <cell r="U41" t="str">
            <v>COIMBATORE</v>
          </cell>
          <cell r="V41" t="str">
            <v>COIMBATORE</v>
          </cell>
          <cell r="W41" t="str">
            <v>NO 3/352,WEST STREET,ATHANKOTHANGUDI,MUTHUKULATHUR,RAMANATHAPURAM,TAMIL NADU-623711</v>
          </cell>
        </row>
        <row r="42">
          <cell r="B42" t="str">
            <v>J123</v>
          </cell>
          <cell r="C42" t="str">
            <v>REVATHI V</v>
          </cell>
          <cell r="D42">
            <v>31048</v>
          </cell>
          <cell r="E42" t="str">
            <v>Production Helper</v>
          </cell>
          <cell r="F42" t="str">
            <v>Production</v>
          </cell>
          <cell r="G42">
            <v>9087726886</v>
          </cell>
          <cell r="H42">
            <v>45610</v>
          </cell>
          <cell r="I42">
            <v>41.393584348680903</v>
          </cell>
          <cell r="J42" t="str">
            <v>LIVE</v>
          </cell>
          <cell r="K42" t="str">
            <v>TAMIL</v>
          </cell>
          <cell r="L42" t="str">
            <v>Female</v>
          </cell>
          <cell r="M42" t="str">
            <v>101500927057</v>
          </cell>
          <cell r="N42">
            <v>5610900513</v>
          </cell>
          <cell r="O42" t="str">
            <v>964896114852</v>
          </cell>
          <cell r="P42" t="str">
            <v>42845971468</v>
          </cell>
          <cell r="Q42" t="str">
            <v>SBIN0071057</v>
          </cell>
          <cell r="R42" t="str">
            <v>STATE BANK OF INDIA</v>
          </cell>
          <cell r="S42" t="str">
            <v>MADAPPUR</v>
          </cell>
          <cell r="T42" t="str">
            <v>4/52, VINAYAGAR KOVIL STREET, ARUGAMPALAYAM, RASIPALAYAM, COIMBATORE, TAMILNADU-641402</v>
          </cell>
          <cell r="U42" t="str">
            <v>COIMBATORE</v>
          </cell>
          <cell r="V42" t="str">
            <v>COIMBATORE</v>
          </cell>
          <cell r="W42" t="str">
            <v>4/52, VINAYAGAR KOVIL STREET, ARUGAMPALAYAM, RASIPALAYAM, COIMBATORE, TAMILNADU-641402</v>
          </cell>
        </row>
        <row r="43">
          <cell r="B43" t="str">
            <v>J114</v>
          </cell>
          <cell r="C43" t="str">
            <v>RABITHA JAYASEELAN</v>
          </cell>
          <cell r="D43">
            <v>27215</v>
          </cell>
          <cell r="E43" t="str">
            <v>Production Helper</v>
          </cell>
          <cell r="F43" t="str">
            <v>Production</v>
          </cell>
          <cell r="G43">
            <v>8122414491</v>
          </cell>
          <cell r="H43">
            <v>45604</v>
          </cell>
          <cell r="I43">
            <v>51.894954211694603</v>
          </cell>
          <cell r="J43" t="str">
            <v>LIVE</v>
          </cell>
          <cell r="K43" t="str">
            <v>TAMIL</v>
          </cell>
          <cell r="L43" t="str">
            <v>Female</v>
          </cell>
          <cell r="M43" t="str">
            <v>101710793475</v>
          </cell>
          <cell r="N43">
            <v>5610886837</v>
          </cell>
          <cell r="O43" t="str">
            <v>317316657198</v>
          </cell>
          <cell r="P43" t="str">
            <v>6206242900</v>
          </cell>
          <cell r="Q43" t="str">
            <v>IDIB000C062</v>
          </cell>
          <cell r="R43" t="str">
            <v>INDIAN BANK</v>
          </cell>
          <cell r="S43" t="str">
            <v>CHENNIYAMPALAYAM</v>
          </cell>
          <cell r="T43" t="str">
            <v>2/404, V.I.P NAGAR, KURUMBAPALAYAM, SULUR, COIMBATORE, TAMILNADU-641402</v>
          </cell>
          <cell r="U43" t="str">
            <v>COIMBATORE</v>
          </cell>
          <cell r="V43" t="str">
            <v>COIMBATORE</v>
          </cell>
          <cell r="W43" t="str">
            <v>2/404, V.I.P NAGAR, KURUMBAPALAYAM, SULUR, COIMBATORE, TAMILNADU-641402</v>
          </cell>
        </row>
        <row r="44">
          <cell r="B44" t="str">
            <v>J111</v>
          </cell>
          <cell r="C44" t="str">
            <v>RAJA MUNDA</v>
          </cell>
          <cell r="D44">
            <v>36526</v>
          </cell>
          <cell r="E44" t="str">
            <v>Production Helper</v>
          </cell>
          <cell r="F44" t="str">
            <v>Production</v>
          </cell>
          <cell r="G44">
            <v>8144436031</v>
          </cell>
          <cell r="H44">
            <v>45580</v>
          </cell>
          <cell r="I44">
            <v>26.3853651705987</v>
          </cell>
          <cell r="J44" t="str">
            <v>LIVE</v>
          </cell>
          <cell r="K44" t="str">
            <v>HINDI</v>
          </cell>
          <cell r="L44" t="str">
            <v>Male</v>
          </cell>
          <cell r="M44" t="str">
            <v>102129597358</v>
          </cell>
          <cell r="N44">
            <v>5610854294</v>
          </cell>
          <cell r="O44" t="str">
            <v>454741108234</v>
          </cell>
          <cell r="P44" t="str">
            <v>501032872508</v>
          </cell>
          <cell r="Q44" t="str">
            <v>NSPB0000002</v>
          </cell>
          <cell r="R44" t="str">
            <v>NSDL PAYMENTS BANK</v>
          </cell>
          <cell r="S44" t="str">
            <v>LOWER PAREL</v>
          </cell>
          <cell r="T44" t="str">
            <v>LMW NEAR, LMW ROAD, MUTHUGOUNDANPUDUR, SULUR, COIMBATORE, TAMILNADU- 641402</v>
          </cell>
          <cell r="U44" t="str">
            <v>COIMBATORE</v>
          </cell>
          <cell r="V44" t="str">
            <v>COIMBATORE</v>
          </cell>
          <cell r="W44" t="str">
            <v>KARADAPAL, DHORADIAMBA, KENDUJHAR, ODISHA-758080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Current"/>
      <sheetName val="Resignees"/>
      <sheetName val="Sheet1"/>
    </sheetNames>
    <sheetDataSet>
      <sheetData sheetId="0"/>
      <sheetData sheetId="1">
        <row r="2">
          <cell r="B2" t="str">
            <v>J87</v>
          </cell>
          <cell r="C2" t="str">
            <v>GOPIKA RAJAN</v>
          </cell>
          <cell r="D2">
            <v>38046</v>
          </cell>
          <cell r="E2" t="str">
            <v xml:space="preserve">Production Helper </v>
          </cell>
          <cell r="F2" t="str">
            <v>Production</v>
          </cell>
          <cell r="G2">
            <v>8489160631</v>
          </cell>
          <cell r="H2">
            <v>45479</v>
          </cell>
          <cell r="I2">
            <v>22.220981608954844</v>
          </cell>
          <cell r="J2" t="str">
            <v>LIVE</v>
          </cell>
          <cell r="K2" t="str">
            <v>TAMIL</v>
          </cell>
          <cell r="L2" t="str">
            <v>Female</v>
          </cell>
          <cell r="M2" t="str">
            <v>101794754002</v>
          </cell>
          <cell r="N2">
            <v>5610283732</v>
          </cell>
          <cell r="O2" t="str">
            <v>670230384560</v>
          </cell>
          <cell r="P2" t="str">
            <v>150010100062210</v>
          </cell>
          <cell r="Q2" t="str">
            <v>UBIN0554863</v>
          </cell>
          <cell r="R2" t="str">
            <v>UNION BANK</v>
          </cell>
          <cell r="S2" t="str">
            <v xml:space="preserve">COIMBATORE </v>
          </cell>
          <cell r="T2" t="str">
            <v>1/231,Thottipalayam,karavalimadhapur,sulur thalukka,karavalimadhapur,karavalimadhapur, coimbatore, tamilnadu 641668</v>
          </cell>
          <cell r="U2" t="str">
            <v>COIMBATORE</v>
          </cell>
          <cell r="V2" t="str">
            <v>COIMBATORE</v>
          </cell>
          <cell r="W2" t="str">
            <v>1/231,Thottipalayam,karavalimadhapur,sulur thalukka,karavalimadhapur,karavalimadhapur, coimbatore, tamilnadu 641668</v>
          </cell>
        </row>
        <row r="3">
          <cell r="B3" t="str">
            <v>J86</v>
          </cell>
          <cell r="C3" t="str">
            <v>SRI LAKSHMI RAJAN</v>
          </cell>
          <cell r="D3">
            <v>38659</v>
          </cell>
          <cell r="E3" t="str">
            <v xml:space="preserve">Production Helper </v>
          </cell>
          <cell r="F3" t="str">
            <v>Production</v>
          </cell>
          <cell r="G3">
            <v>8489160631</v>
          </cell>
          <cell r="H3">
            <v>45479</v>
          </cell>
          <cell r="I3">
            <v>20.541529554160324</v>
          </cell>
          <cell r="J3" t="str">
            <v>LIVE</v>
          </cell>
          <cell r="K3" t="str">
            <v>TAMIL</v>
          </cell>
          <cell r="L3" t="str">
            <v>Female</v>
          </cell>
          <cell r="M3" t="str">
            <v>102015938573</v>
          </cell>
          <cell r="N3">
            <v>5610292298</v>
          </cell>
          <cell r="O3" t="str">
            <v>797011009890</v>
          </cell>
          <cell r="P3" t="str">
            <v>150010100062283</v>
          </cell>
          <cell r="Q3" t="str">
            <v>UBIN0554863</v>
          </cell>
          <cell r="R3" t="str">
            <v>UNION BANK</v>
          </cell>
          <cell r="S3" t="str">
            <v xml:space="preserve">COIMBATORE </v>
          </cell>
          <cell r="T3" t="str">
            <v>1/241 thottipalayam,karavalimadhapur,sulur thalukka,karavalimadhapur,karavalimathapur, tamilnadu 641668</v>
          </cell>
          <cell r="U3" t="str">
            <v>COIMBATORE</v>
          </cell>
          <cell r="V3" t="str">
            <v>COIMBATORE</v>
          </cell>
          <cell r="W3" t="str">
            <v>1/241 thottipalayam,karavalimadhapur,sulur thalukka,karavalimadhapur,karavalimathapur, tamilnadu 641668</v>
          </cell>
        </row>
        <row r="4">
          <cell r="B4" t="str">
            <v>J85</v>
          </cell>
          <cell r="C4" t="str">
            <v>RATHA GAYATHRI</v>
          </cell>
          <cell r="D4">
            <v>30507</v>
          </cell>
          <cell r="E4" t="str">
            <v xml:space="preserve">Production Helper </v>
          </cell>
          <cell r="F4" t="str">
            <v>Production</v>
          </cell>
          <cell r="G4">
            <v>9159307901</v>
          </cell>
          <cell r="H4">
            <v>45479</v>
          </cell>
          <cell r="I4">
            <v>42.875776129502789</v>
          </cell>
          <cell r="J4" t="str">
            <v>LIVE</v>
          </cell>
          <cell r="K4" t="str">
            <v>TAMIL</v>
          </cell>
          <cell r="L4" t="str">
            <v>Female</v>
          </cell>
          <cell r="M4" t="str">
            <v>101569015376</v>
          </cell>
          <cell r="N4">
            <v>5610477443</v>
          </cell>
          <cell r="O4" t="str">
            <v>808542120687</v>
          </cell>
          <cell r="P4" t="str">
            <v>1677155000072273</v>
          </cell>
          <cell r="Q4" t="str">
            <v>KVBL0001677</v>
          </cell>
          <cell r="R4" t="str">
            <v>KVB</v>
          </cell>
          <cell r="S4" t="str">
            <v>CHINNIYAMPALAYAM</v>
          </cell>
          <cell r="T4" t="str">
            <v>7/92/B, EZHIL NAGAR,RASIPALAYAM,UTHUPALAYAM ROAD,SULUR,COIMBATORE,TAMILNADU-641402</v>
          </cell>
          <cell r="U4" t="str">
            <v>COIMBATORE</v>
          </cell>
          <cell r="V4" t="str">
            <v>COIMBATORE</v>
          </cell>
          <cell r="W4" t="str">
            <v>7/92/B, EZHIL NAGAR,RASIPALAYAM,UTHUPALAYAM ROAD,SULUR,COIMBATORE,TAMILNADU-641402</v>
          </cell>
        </row>
        <row r="5">
          <cell r="B5" t="str">
            <v>J83</v>
          </cell>
          <cell r="C5" t="str">
            <v>M.VIJAYAKUMAR</v>
          </cell>
          <cell r="D5">
            <v>36560</v>
          </cell>
          <cell r="E5" t="str">
            <v xml:space="preserve">Production Helper </v>
          </cell>
          <cell r="F5" t="str">
            <v>Production</v>
          </cell>
          <cell r="G5" t="str">
            <v>63852 80812</v>
          </cell>
          <cell r="H5" t="str">
            <v>24/06/2024</v>
          </cell>
          <cell r="I5">
            <v>26.29221448566717</v>
          </cell>
          <cell r="J5" t="str">
            <v>LIVE</v>
          </cell>
          <cell r="K5" t="str">
            <v>TAMIL</v>
          </cell>
          <cell r="L5" t="str">
            <v>Male</v>
          </cell>
          <cell r="M5" t="str">
            <v>101297618960</v>
          </cell>
          <cell r="N5">
            <v>5610681980</v>
          </cell>
          <cell r="O5" t="str">
            <v>561631322608</v>
          </cell>
          <cell r="P5" t="str">
            <v>501030487231</v>
          </cell>
          <cell r="Q5" t="str">
            <v>NSPB0000002</v>
          </cell>
          <cell r="R5" t="str">
            <v>NSDL PAYMENTS BANK</v>
          </cell>
          <cell r="S5" t="str">
            <v>LOWER PAREL</v>
          </cell>
          <cell r="T5" t="str">
            <v>ARUGAMPALAYAM,SOMANUR ROAD,SULUR,COIMBATORE,TAMIL NADU-641669</v>
          </cell>
          <cell r="U5" t="str">
            <v>COIMBATORE</v>
          </cell>
          <cell r="V5" t="str">
            <v>COIMBATORE</v>
          </cell>
          <cell r="W5" t="str">
            <v>81/10,SALLIMADU STREET,KALIPALAYAM,SAMALAPURAM,TIRUPPUR,TAMIL NADU-641663</v>
          </cell>
        </row>
        <row r="6">
          <cell r="B6" t="str">
            <v>J230</v>
          </cell>
          <cell r="C6" t="str">
            <v>VENNILA</v>
          </cell>
          <cell r="D6">
            <v>31167</v>
          </cell>
          <cell r="E6" t="str">
            <v xml:space="preserve">Production Helper </v>
          </cell>
          <cell r="F6" t="str">
            <v>Production</v>
          </cell>
          <cell r="G6">
            <v>8098953812</v>
          </cell>
          <cell r="H6">
            <v>45972</v>
          </cell>
          <cell r="I6">
            <v>41.067556951420599</v>
          </cell>
          <cell r="J6" t="str">
            <v>LIVE</v>
          </cell>
          <cell r="K6" t="str">
            <v>TAMIL</v>
          </cell>
          <cell r="L6" t="str">
            <v>FEMALE</v>
          </cell>
          <cell r="M6" t="str">
            <v>102266077120</v>
          </cell>
          <cell r="N6">
            <v>5611447745</v>
          </cell>
          <cell r="O6" t="str">
            <v>524040239403</v>
          </cell>
          <cell r="P6" t="str">
            <v>109401000054075</v>
          </cell>
          <cell r="Q6" t="str">
            <v>IOBA0001094</v>
          </cell>
          <cell r="R6" t="str">
            <v>INDIAN OVERSEAS BANK</v>
          </cell>
          <cell r="S6" t="str">
            <v>ALADI</v>
          </cell>
          <cell r="U6" t="str">
            <v>COIMBATORE</v>
          </cell>
          <cell r="V6" t="str">
            <v>COIMBATORE</v>
          </cell>
          <cell r="W6" t="str">
            <v>107/1,VADAKIRUPPU,VIRUDHACHALAM,IRUPPU,CUDDALORE,TAMILNADU-607805</v>
          </cell>
        </row>
        <row r="7">
          <cell r="B7" t="str">
            <v>J228</v>
          </cell>
          <cell r="C7" t="str">
            <v>DHANA SRI</v>
          </cell>
          <cell r="D7">
            <v>38554</v>
          </cell>
          <cell r="E7" t="str">
            <v xml:space="preserve">Production Helper </v>
          </cell>
          <cell r="F7" t="str">
            <v>Production</v>
          </cell>
          <cell r="G7">
            <v>7639260857</v>
          </cell>
          <cell r="H7">
            <v>45973</v>
          </cell>
          <cell r="I7">
            <v>20.829200787037035</v>
          </cell>
          <cell r="J7" t="str">
            <v>LIVE</v>
          </cell>
          <cell r="K7" t="str">
            <v>TAMIL</v>
          </cell>
          <cell r="L7" t="str">
            <v>FEMALE</v>
          </cell>
          <cell r="M7" t="str">
            <v>102266065538</v>
          </cell>
          <cell r="N7">
            <v>5611450865</v>
          </cell>
          <cell r="O7" t="str">
            <v>713226416441</v>
          </cell>
          <cell r="P7" t="str">
            <v>7139197771</v>
          </cell>
          <cell r="Q7" t="str">
            <v>IDIB000R041</v>
          </cell>
          <cell r="R7" t="str">
            <v>INDIAN BANK</v>
          </cell>
          <cell r="S7" t="str">
            <v>RAJADHANI</v>
          </cell>
          <cell r="U7" t="str">
            <v>COIMBATORE</v>
          </cell>
          <cell r="V7" t="str">
            <v>COIMBATORE</v>
          </cell>
          <cell r="W7" t="str">
            <v>SOUTH STREET, SITHARPATTI, AUNDIPATTI,Dist:Theni,Tamilnadu,625512</v>
          </cell>
        </row>
        <row r="8">
          <cell r="B8" t="str">
            <v>J226</v>
          </cell>
          <cell r="C8" t="str">
            <v>NEELAVATHI</v>
          </cell>
          <cell r="D8">
            <v>32642</v>
          </cell>
          <cell r="E8" t="str">
            <v xml:space="preserve">Production Helper </v>
          </cell>
          <cell r="F8" t="str">
            <v>Production</v>
          </cell>
          <cell r="G8">
            <v>8122390252</v>
          </cell>
          <cell r="H8">
            <v>45973</v>
          </cell>
          <cell r="I8">
            <v>37.026461061009634</v>
          </cell>
          <cell r="J8" t="str">
            <v>LIVE</v>
          </cell>
          <cell r="K8" t="str">
            <v>TAMIL</v>
          </cell>
          <cell r="L8" t="str">
            <v>FEMALE</v>
          </cell>
          <cell r="M8" t="str">
            <v>101927062642</v>
          </cell>
          <cell r="N8">
            <v>5703531057</v>
          </cell>
          <cell r="O8" t="str">
            <v>256376530989</v>
          </cell>
          <cell r="P8" t="str">
            <v>5125541589</v>
          </cell>
          <cell r="Q8" t="str">
            <v>CBIN0284211</v>
          </cell>
          <cell r="R8" t="str">
            <v>CENTRAL BANK OF INDIA</v>
          </cell>
          <cell r="S8"/>
          <cell r="U8" t="str">
            <v>COIMBATORE</v>
          </cell>
          <cell r="V8" t="str">
            <v>COIMBATORE</v>
          </cell>
          <cell r="W8" t="str">
            <v>26,SR PANTHAKULAM,PERAVURANI,THANJAVUR,TAMILNADU-641804</v>
          </cell>
        </row>
        <row r="9">
          <cell r="B9" t="str">
            <v>J223</v>
          </cell>
          <cell r="C9" t="str">
            <v>JAYASRI GOPAL</v>
          </cell>
          <cell r="D9">
            <v>37308</v>
          </cell>
          <cell r="E9" t="str">
            <v xml:space="preserve">Production Helper </v>
          </cell>
          <cell r="F9" t="str">
            <v>Production</v>
          </cell>
          <cell r="G9">
            <v>9597524125</v>
          </cell>
          <cell r="H9">
            <v>45970</v>
          </cell>
          <cell r="I9">
            <v>24.242899417174019</v>
          </cell>
          <cell r="J9" t="str">
            <v>LIVE</v>
          </cell>
          <cell r="K9" t="str">
            <v>TAMIL</v>
          </cell>
          <cell r="L9" t="str">
            <v>FEMALE</v>
          </cell>
          <cell r="M9" t="str">
            <v>101465273355</v>
          </cell>
          <cell r="N9">
            <v>5610011006</v>
          </cell>
          <cell r="O9" t="str">
            <v>247648997935</v>
          </cell>
          <cell r="P9" t="str">
            <v>50100443780016</v>
          </cell>
          <cell r="Q9" t="str">
            <v>HDFC0002231</v>
          </cell>
          <cell r="R9" t="str">
            <v>HDFC BANK</v>
          </cell>
          <cell r="S9" t="str">
            <v>SARAVANAMPATTI</v>
          </cell>
          <cell r="T9" t="str">
            <v>5/114 ARASU COLONY MUTHUGOUNDANPUDUR ,SULUR,COIMBATORE,TAMILNADU</v>
          </cell>
          <cell r="U9" t="str">
            <v>COIMBATORE</v>
          </cell>
          <cell r="V9" t="str">
            <v>COIMBATORE</v>
          </cell>
          <cell r="W9" t="str">
            <v>5/114 ARASU COLONY MUTHUGOUNDANPUDUR ,SULUR,COIMBATORE,TAMILNADU</v>
          </cell>
        </row>
        <row r="10">
          <cell r="B10" t="str">
            <v>J222</v>
          </cell>
          <cell r="C10" t="str">
            <v>MAHALAKSHMI</v>
          </cell>
          <cell r="D10">
            <v>34470</v>
          </cell>
          <cell r="E10" t="str">
            <v xml:space="preserve">Production Helper </v>
          </cell>
          <cell r="F10" t="str">
            <v>Production</v>
          </cell>
          <cell r="G10">
            <v>9489680178</v>
          </cell>
          <cell r="H10">
            <v>45971</v>
          </cell>
          <cell r="I10">
            <v>32.018241882927448</v>
          </cell>
          <cell r="J10" t="str">
            <v>LIVE</v>
          </cell>
          <cell r="K10" t="str">
            <v>TAMIL</v>
          </cell>
          <cell r="L10" t="str">
            <v>FEMALE</v>
          </cell>
          <cell r="M10" t="str">
            <v>102266104436</v>
          </cell>
          <cell r="N10">
            <v>5611450926</v>
          </cell>
          <cell r="O10" t="str">
            <v>526455337175</v>
          </cell>
          <cell r="P10" t="str">
            <v>39598631742</v>
          </cell>
          <cell r="Q10" t="str">
            <v>SBIN0071057</v>
          </cell>
          <cell r="R10" t="str">
            <v>STATE BANK OF INDIA</v>
          </cell>
          <cell r="S10" t="str">
            <v>MADAPPUR</v>
          </cell>
          <cell r="T10" t="str">
            <v>1/218 PATTATHARAM KOVIL STREET THENAMPALAYAM KARAVALIMADAPPUR,COIMBATORE,TAMILNADU</v>
          </cell>
          <cell r="U10" t="str">
            <v>COIMBATORE</v>
          </cell>
          <cell r="V10" t="str">
            <v>COIMBATORE</v>
          </cell>
          <cell r="W10" t="str">
            <v>1/218 PATTATHARAM KOVIL STREET THENAMPALAYAM KARAVALIMADAPPUR,COIMBATORE,TAMILNADU</v>
          </cell>
        </row>
        <row r="11">
          <cell r="B11" t="str">
            <v>J221</v>
          </cell>
          <cell r="C11" t="str">
            <v>MITHRA RAJIV</v>
          </cell>
          <cell r="D11">
            <v>39292</v>
          </cell>
          <cell r="E11" t="str">
            <v xml:space="preserve">Production Helper </v>
          </cell>
          <cell r="F11" t="str">
            <v>Production</v>
          </cell>
          <cell r="G11">
            <v>9751244223</v>
          </cell>
          <cell r="H11">
            <v>45964</v>
          </cell>
          <cell r="I11">
            <v>18.807282978817856</v>
          </cell>
          <cell r="J11" t="str">
            <v>LIVE</v>
          </cell>
          <cell r="K11" t="str">
            <v>TAMIL</v>
          </cell>
          <cell r="L11" t="str">
            <v>FEMALE</v>
          </cell>
          <cell r="M11" t="str">
            <v>102264955387</v>
          </cell>
          <cell r="N11">
            <v>5611447676</v>
          </cell>
          <cell r="O11" t="str">
            <v>535562714584</v>
          </cell>
          <cell r="P11" t="str">
            <v>110056832660</v>
          </cell>
          <cell r="Q11" t="str">
            <v>CNRB0003437</v>
          </cell>
          <cell r="R11" t="str">
            <v>CANARA BANK</v>
          </cell>
          <cell r="S11" t="str">
            <v>KARUMATHAMPATTI</v>
          </cell>
          <cell r="U11" t="str">
            <v>COIMBATORE</v>
          </cell>
          <cell r="V11" t="str">
            <v>COIMBATORE</v>
          </cell>
          <cell r="W11" t="str">
            <v>G.THUMMALAPATTI  VATHALAGUNDU POOLATHUR,KODAIKANAL,DINDIGUL,TAMILNADU-624202</v>
          </cell>
        </row>
        <row r="12">
          <cell r="B12" t="str">
            <v>J214</v>
          </cell>
          <cell r="C12" t="str">
            <v>SUDHA T</v>
          </cell>
          <cell r="D12">
            <v>32178</v>
          </cell>
          <cell r="E12" t="str">
            <v xml:space="preserve">Production Helper </v>
          </cell>
          <cell r="F12" t="str">
            <v>PROduction</v>
          </cell>
          <cell r="G12">
            <v>7373155745</v>
          </cell>
          <cell r="H12">
            <v>45966</v>
          </cell>
          <cell r="I12">
            <v>38.297693937721967</v>
          </cell>
          <cell r="J12" t="str">
            <v>LIVE</v>
          </cell>
          <cell r="K12" t="str">
            <v>TAMIL</v>
          </cell>
          <cell r="L12" t="str">
            <v>FEMALE</v>
          </cell>
          <cell r="M12" t="str">
            <v>101763385285</v>
          </cell>
          <cell r="N12">
            <v>5610654409</v>
          </cell>
          <cell r="O12" t="str">
            <v>939680244216</v>
          </cell>
          <cell r="P12" t="str">
            <v>334902010139610</v>
          </cell>
          <cell r="Q12" t="str">
            <v>UBIN0533491</v>
          </cell>
          <cell r="R12" t="str">
            <v>UNION BANK</v>
          </cell>
          <cell r="S12" t="str">
            <v>SOMANUR</v>
          </cell>
          <cell r="T12" t="str">
            <v>190A THOTTIPALAYAM,KARAVALLIMADAPPUR,COIMBATORE,TAMILNADU-641 668</v>
          </cell>
          <cell r="U12" t="str">
            <v>COIMBATORE</v>
          </cell>
          <cell r="V12" t="str">
            <v>COIMBATORE</v>
          </cell>
          <cell r="W12" t="str">
            <v>190A THOTTIPALAYAM,KARAVALLIMADAPPUR,COIMBATORE,TAMILNADU-641 668</v>
          </cell>
        </row>
        <row r="13">
          <cell r="B13" t="str">
            <v>J207</v>
          </cell>
          <cell r="C13" t="str">
            <v>RAJASEKARAN T</v>
          </cell>
          <cell r="D13">
            <v>31578</v>
          </cell>
          <cell r="E13" t="str">
            <v xml:space="preserve">Production Helper </v>
          </cell>
          <cell r="F13" t="str">
            <v>Production</v>
          </cell>
          <cell r="G13">
            <v>8344774814</v>
          </cell>
          <cell r="H13">
            <v>45964</v>
          </cell>
          <cell r="I13">
            <v>39.941529554160326</v>
          </cell>
          <cell r="J13" t="str">
            <v>LIVE</v>
          </cell>
          <cell r="K13" t="str">
            <v>TAMIL</v>
          </cell>
          <cell r="L13" t="str">
            <v>MALE</v>
          </cell>
          <cell r="M13" t="str">
            <v>101361652970</v>
          </cell>
          <cell r="N13">
            <v>5608535774</v>
          </cell>
          <cell r="O13" t="str">
            <v>372112678200</v>
          </cell>
          <cell r="P13" t="str">
            <v>773602010005718</v>
          </cell>
          <cell r="Q13" t="str">
            <v>UBIN0551155</v>
          </cell>
          <cell r="R13" t="str">
            <v>UNION BANK</v>
          </cell>
          <cell r="S13" t="str">
            <v>TIRUVARUR</v>
          </cell>
          <cell r="U13" t="str">
            <v>COIMBATORE</v>
          </cell>
          <cell r="V13" t="str">
            <v>COIMBATORE</v>
          </cell>
          <cell r="W13" t="str">
            <v>2/34E,MATHA KOVIL STREET,SERUKALATHUR,KODAVASAL,SERUKALATHUR,THIRUVARUR,TAMILNADU-612604</v>
          </cell>
        </row>
        <row r="14">
          <cell r="B14" t="str">
            <v>J205</v>
          </cell>
          <cell r="C14" t="str">
            <v>THILAGAMANI SENNIAPPAN</v>
          </cell>
          <cell r="D14">
            <v>33586</v>
          </cell>
          <cell r="E14" t="str">
            <v xml:space="preserve">Production Helper </v>
          </cell>
          <cell r="F14" t="str">
            <v>Production</v>
          </cell>
          <cell r="G14">
            <v>9791801412</v>
          </cell>
          <cell r="H14">
            <v>45962</v>
          </cell>
          <cell r="I14">
            <v>34.440159691146626</v>
          </cell>
          <cell r="J14" t="str">
            <v>LIVE</v>
          </cell>
          <cell r="K14" t="str">
            <v>TAMIL</v>
          </cell>
          <cell r="L14" t="str">
            <v>FEMALE</v>
          </cell>
          <cell r="M14" t="str">
            <v>101772419375</v>
          </cell>
          <cell r="N14">
            <v>5609171391</v>
          </cell>
          <cell r="O14" t="str">
            <v>375376698043</v>
          </cell>
          <cell r="P14" t="str">
            <v>334902120001580</v>
          </cell>
          <cell r="Q14" t="str">
            <v>UBINO533491</v>
          </cell>
          <cell r="R14" t="str">
            <v>UNION BANK</v>
          </cell>
          <cell r="S14" t="str">
            <v>SOMANUR</v>
          </cell>
          <cell r="T14" t="str">
            <v>3/126 SOUTH STREET RASIPALAYAM SULUR COIMBATORE,TAMILNADU</v>
          </cell>
          <cell r="U14" t="str">
            <v>COIMBATORE</v>
          </cell>
          <cell r="V14" t="str">
            <v>COIMBATORE</v>
          </cell>
          <cell r="W14" t="str">
            <v>3/126 SOUTH STREET RASIPALAYAM SULUR COIMBATORE,TAMILNADU</v>
          </cell>
        </row>
        <row r="15">
          <cell r="B15" t="str">
            <v>J203</v>
          </cell>
          <cell r="C15" t="str">
            <v>NEELA R</v>
          </cell>
          <cell r="D15">
            <v>32299</v>
          </cell>
          <cell r="E15" t="str">
            <v xml:space="preserve">Production Helper </v>
          </cell>
          <cell r="F15" t="str">
            <v>Production</v>
          </cell>
          <cell r="G15">
            <v>9043337896</v>
          </cell>
          <cell r="H15">
            <v>45962</v>
          </cell>
          <cell r="I15">
            <v>37.966187088406897</v>
          </cell>
          <cell r="J15" t="str">
            <v>LIVE</v>
          </cell>
          <cell r="K15" t="str">
            <v>TAMIL</v>
          </cell>
          <cell r="L15" t="str">
            <v>FEMALE</v>
          </cell>
          <cell r="M15" t="str">
            <v>101703955144</v>
          </cell>
          <cell r="N15">
            <v>5608860509</v>
          </cell>
          <cell r="O15" t="str">
            <v>469636709269</v>
          </cell>
          <cell r="P15" t="str">
            <v>67347683097</v>
          </cell>
          <cell r="Q15" t="str">
            <v>SBIN0071057</v>
          </cell>
          <cell r="R15" t="str">
            <v>STATE BANK OF INDIA</v>
          </cell>
          <cell r="S15" t="str">
            <v>MADAPPUR</v>
          </cell>
          <cell r="T15" t="str">
            <v>1/128,THOTTIPALAYAM,SULUR TALUK,KARAVALLIMADAPPUR,COIMBATORE, TAMILNADU-641668</v>
          </cell>
          <cell r="U15" t="str">
            <v>COIMBATORE</v>
          </cell>
          <cell r="V15" t="str">
            <v>COIMBATORE</v>
          </cell>
          <cell r="W15" t="str">
            <v>1/128,THOTTIPALAYAM,SULUR TALUK,KARAVALLIMADAPPUR,COIMBATORE, TAMILNADU-641668</v>
          </cell>
        </row>
        <row r="16">
          <cell r="B16" t="str">
            <v>J200</v>
          </cell>
          <cell r="C16" t="str">
            <v>SHARMILADEVI JAGANATHAN</v>
          </cell>
          <cell r="D16">
            <v>33557</v>
          </cell>
          <cell r="E16" t="str">
            <v xml:space="preserve">Production Helper </v>
          </cell>
          <cell r="F16" t="str">
            <v>Production</v>
          </cell>
          <cell r="G16">
            <v>9087580875</v>
          </cell>
          <cell r="H16">
            <v>45962</v>
          </cell>
          <cell r="I16">
            <v>34.519611745941141</v>
          </cell>
          <cell r="J16" t="str">
            <v>LIVE</v>
          </cell>
          <cell r="K16" t="str">
            <v>TAMIL</v>
          </cell>
          <cell r="L16" t="str">
            <v>FEMALE</v>
          </cell>
          <cell r="M16" t="str">
            <v>101809711697</v>
          </cell>
          <cell r="N16">
            <v>5610687342</v>
          </cell>
          <cell r="O16" t="str">
            <v>505062206812</v>
          </cell>
          <cell r="P16" t="str">
            <v>7808165772</v>
          </cell>
          <cell r="Q16" t="str">
            <v>IDIB000K169</v>
          </cell>
          <cell r="R16" t="str">
            <v>INDIAN BANK</v>
          </cell>
          <cell r="S16" t="str">
            <v>KMCH GOLDWINS</v>
          </cell>
          <cell r="T16" t="str">
            <v>4/303,ANNA NAGAR,KARAVALIMADAPPUR,COIMBATORE,TAMILNADU-641668</v>
          </cell>
          <cell r="U16" t="str">
            <v>COIMBATORE</v>
          </cell>
          <cell r="V16" t="str">
            <v>COIMBATORE</v>
          </cell>
          <cell r="W16" t="str">
            <v>4/303,ANNA NAGAR,KARAVALIMADAPPUR,COIMBATORE,TAMILNADU-641668</v>
          </cell>
        </row>
        <row r="17">
          <cell r="B17" t="str">
            <v>J193</v>
          </cell>
          <cell r="C17" t="str">
            <v>SANDRALEKA M</v>
          </cell>
          <cell r="D17">
            <v>33289</v>
          </cell>
          <cell r="E17" t="str">
            <v xml:space="preserve">Production Helper </v>
          </cell>
          <cell r="F17" t="str">
            <v>Production</v>
          </cell>
          <cell r="G17">
            <v>8056449050</v>
          </cell>
          <cell r="H17">
            <v>45658</v>
          </cell>
          <cell r="I17">
            <v>35.253858321283609</v>
          </cell>
          <cell r="J17" t="str">
            <v>LIVE</v>
          </cell>
          <cell r="K17" t="str">
            <v>TAMIL</v>
          </cell>
          <cell r="L17" t="str">
            <v>FEMALE</v>
          </cell>
          <cell r="M17" t="str">
            <v>101207129762</v>
          </cell>
          <cell r="N17">
            <v>5611143395</v>
          </cell>
          <cell r="O17" t="str">
            <v>358856800086</v>
          </cell>
          <cell r="P17" t="str">
            <v>43447482340</v>
          </cell>
          <cell r="Q17" t="str">
            <v>SBIN0071057</v>
          </cell>
          <cell r="R17" t="str">
            <v>STATE BANK OF INDIA</v>
          </cell>
          <cell r="S17" t="str">
            <v>MADAPPUR</v>
          </cell>
          <cell r="T17" t="str">
            <v>3/35 EAST STREET RASIPALAYAM,COIMBATORE,TAMILNADU-641402</v>
          </cell>
          <cell r="U17" t="str">
            <v>COIMBATORE</v>
          </cell>
          <cell r="V17" t="str">
            <v>COIMBATORE</v>
          </cell>
          <cell r="W17" t="str">
            <v>3/35 EAST STREET RASIPALAYAM,COIMBATORE,TAMILNADU-641402</v>
          </cell>
        </row>
        <row r="18">
          <cell r="B18" t="str">
            <v>J192</v>
          </cell>
          <cell r="C18" t="str">
            <v>GOLU KUMAR</v>
          </cell>
          <cell r="D18">
            <v>38036</v>
          </cell>
          <cell r="E18" t="str">
            <v xml:space="preserve">Production Helper </v>
          </cell>
          <cell r="F18" t="str">
            <v>Production</v>
          </cell>
          <cell r="G18">
            <v>8235055021</v>
          </cell>
          <cell r="H18">
            <v>45962</v>
          </cell>
          <cell r="I18">
            <v>22.248378869228816</v>
          </cell>
          <cell r="J18" t="str">
            <v>LIVE</v>
          </cell>
          <cell r="K18" t="str">
            <v>TAMIL</v>
          </cell>
          <cell r="L18" t="str">
            <v>MALE</v>
          </cell>
          <cell r="M18" t="str">
            <v>102249812602</v>
          </cell>
          <cell r="N18">
            <v>5611407984</v>
          </cell>
          <cell r="O18" t="str">
            <v>661761900919</v>
          </cell>
          <cell r="P18" t="str">
            <v>8235055021</v>
          </cell>
          <cell r="Q18" t="str">
            <v>AIRP0000001</v>
          </cell>
          <cell r="R18" t="str">
            <v>AIRTEL PAYMENT BANK</v>
          </cell>
          <cell r="S18" t="str">
            <v>GURUGRAM</v>
          </cell>
          <cell r="U18" t="str">
            <v>COIMBATORE</v>
          </cell>
          <cell r="V18" t="str">
            <v>COIMBATORE</v>
          </cell>
          <cell r="W18" t="str">
            <v>RAMNAGAR AMUHAA LAKHISARAL MANKATHRA BIHAR-811311</v>
          </cell>
        </row>
        <row r="19">
          <cell r="B19" t="str">
            <v>J190</v>
          </cell>
          <cell r="C19" t="str">
            <v>SENTHIL KUMAR S</v>
          </cell>
          <cell r="D19">
            <v>28888</v>
          </cell>
          <cell r="E19" t="str">
            <v xml:space="preserve">Production Helper </v>
          </cell>
          <cell r="F19" t="str">
            <v>Production</v>
          </cell>
          <cell r="G19">
            <v>9750445822</v>
          </cell>
          <cell r="H19">
            <v>45922</v>
          </cell>
          <cell r="I19">
            <v>47.311392567858952</v>
          </cell>
          <cell r="J19" t="str">
            <v>LIVE</v>
          </cell>
          <cell r="K19" t="str">
            <v>TAMIL</v>
          </cell>
          <cell r="L19" t="str">
            <v>MALE</v>
          </cell>
          <cell r="M19" t="str">
            <v>102233239583</v>
          </cell>
          <cell r="N19">
            <v>5611316326</v>
          </cell>
          <cell r="O19" t="str">
            <v>350323977622</v>
          </cell>
          <cell r="P19" t="str">
            <v>016101000047693</v>
          </cell>
          <cell r="Q19" t="str">
            <v>IOBA0000161</v>
          </cell>
          <cell r="R19" t="str">
            <v>INDIAN OVERSEAS BANK</v>
          </cell>
          <cell r="S19" t="str">
            <v>SULUR</v>
          </cell>
          <cell r="T19" t="str">
            <v>2/89, RASIPALAYAM, SULUR, COIMBATORE, TAMILNADU - 641402</v>
          </cell>
          <cell r="U19" t="str">
            <v>COIMBATORE</v>
          </cell>
          <cell r="V19" t="str">
            <v>COIMBATORE</v>
          </cell>
          <cell r="W19" t="str">
            <v>2/89, RASIPALAYAM, SULUR, COIMBATORE, TAMILNADU - 641402</v>
          </cell>
        </row>
        <row r="20">
          <cell r="B20" t="str">
            <v>J189</v>
          </cell>
          <cell r="C20" t="str">
            <v>BHARATHI R</v>
          </cell>
          <cell r="D20">
            <v>37453</v>
          </cell>
          <cell r="E20" t="str">
            <v xml:space="preserve">Production Helper </v>
          </cell>
          <cell r="F20" t="str">
            <v>Production</v>
          </cell>
          <cell r="G20">
            <v>7904899648</v>
          </cell>
          <cell r="H20">
            <v>45919</v>
          </cell>
          <cell r="I20">
            <v>23.845639143201417</v>
          </cell>
          <cell r="J20" t="str">
            <v>LIVE</v>
          </cell>
          <cell r="K20" t="str">
            <v>TAMIL</v>
          </cell>
          <cell r="L20" t="str">
            <v>MALE</v>
          </cell>
          <cell r="M20" t="str">
            <v>102249876475</v>
          </cell>
          <cell r="N20">
            <v>5611397557</v>
          </cell>
          <cell r="O20" t="str">
            <v>363665584147</v>
          </cell>
          <cell r="P20" t="str">
            <v>7642500103377001</v>
          </cell>
          <cell r="Q20" t="str">
            <v>KARB0000764</v>
          </cell>
          <cell r="R20" t="str">
            <v>KARNATAKA BANK</v>
          </cell>
          <cell r="S20" t="str">
            <v>TIRUPUR</v>
          </cell>
          <cell r="T20" t="str">
            <v>PETROL BUNK BACKSIDE, VINYAGAR KOVIL VEEDI, SULUR MAIN ROAD, SULUR, COIMBATORE</v>
          </cell>
          <cell r="U20" t="str">
            <v>COIMBATORE</v>
          </cell>
          <cell r="V20" t="str">
            <v>COIMBATORE</v>
          </cell>
          <cell r="W20" t="str">
            <v>1/30, MELATHERU, PUKKANGUZHI VALLAKKULAM, PUNGANGUDI, ARIYALUR, TAMILNADU - 621701</v>
          </cell>
        </row>
        <row r="21">
          <cell r="B21" t="str">
            <v>J184</v>
          </cell>
          <cell r="C21" t="str">
            <v xml:space="preserve"> SUGANYA ARUMUGAM</v>
          </cell>
          <cell r="D21">
            <v>32890</v>
          </cell>
          <cell r="E21" t="str">
            <v xml:space="preserve">Production Helper </v>
          </cell>
          <cell r="F21" t="str">
            <v>Production</v>
          </cell>
          <cell r="G21">
            <v>8148865845</v>
          </cell>
          <cell r="H21">
            <v>45919</v>
          </cell>
          <cell r="I21">
            <v>36.347009006215117</v>
          </cell>
          <cell r="J21" t="str">
            <v>LIVE</v>
          </cell>
          <cell r="K21" t="str">
            <v>TAMIL</v>
          </cell>
          <cell r="L21" t="str">
            <v>Female</v>
          </cell>
          <cell r="M21" t="str">
            <v>102067726427</v>
          </cell>
          <cell r="N21">
            <v>5611158636</v>
          </cell>
          <cell r="O21" t="str">
            <v>738151916766</v>
          </cell>
          <cell r="P21" t="str">
            <v>125801000017360</v>
          </cell>
          <cell r="Q21" t="str">
            <v>IOBA0001258</v>
          </cell>
          <cell r="R21" t="str">
            <v>INDIAN OVERSEAS BANK</v>
          </cell>
          <cell r="S21" t="str">
            <v>ODDANCHATRAM</v>
          </cell>
          <cell r="T21" t="str">
            <v>MUTHUGOUNDANPUDUR, NEAR LNW, MAARIAMMANKOVIL STREET, VADAKKUVEDI, SULUR, COIMBATORE</v>
          </cell>
          <cell r="U21" t="str">
            <v>COIMBATORE</v>
          </cell>
          <cell r="V21" t="str">
            <v>COIMBATORE</v>
          </cell>
          <cell r="W21" t="str">
            <v>NAGAPPANPATTI, VERIYAPUR, DINDIGUL - 624619</v>
          </cell>
        </row>
        <row r="22">
          <cell r="B22" t="str">
            <v>J183</v>
          </cell>
          <cell r="C22" t="str">
            <v>SOWPARNIKA SUBRAMANIYAM</v>
          </cell>
          <cell r="D22">
            <v>34416</v>
          </cell>
          <cell r="E22" t="str">
            <v xml:space="preserve">Production Helper </v>
          </cell>
          <cell r="F22" t="str">
            <v>Production</v>
          </cell>
          <cell r="G22">
            <v>9585223927</v>
          </cell>
          <cell r="H22">
            <v>45919</v>
          </cell>
          <cell r="I22">
            <v>32.1661870884069</v>
          </cell>
          <cell r="J22" t="str">
            <v>LIVE</v>
          </cell>
          <cell r="K22" t="str">
            <v>TAMIL</v>
          </cell>
          <cell r="L22" t="str">
            <v>Female</v>
          </cell>
          <cell r="M22" t="str">
            <v>101330310840</v>
          </cell>
          <cell r="N22">
            <v>5606123921</v>
          </cell>
          <cell r="O22" t="str">
            <v>438326909107</v>
          </cell>
          <cell r="P22" t="str">
            <v>41806844387</v>
          </cell>
          <cell r="Q22" t="str">
            <v>SBIN0013438</v>
          </cell>
          <cell r="R22" t="str">
            <v>STATE BANK OF INDIA</v>
          </cell>
          <cell r="S22" t="str">
            <v>AVINASHI ROAD</v>
          </cell>
          <cell r="T22" t="str">
            <v>3/90, EAST STREET, SULUR, RASIPALAYAM, COIMABTORE - 641402</v>
          </cell>
          <cell r="U22" t="str">
            <v>COIMBATORE</v>
          </cell>
          <cell r="V22" t="str">
            <v>COIMBATORE</v>
          </cell>
          <cell r="W22" t="str">
            <v>3/90, EAST STREET, SULUR, RASIPALAYAM, COIMABTORE - 641402</v>
          </cell>
        </row>
        <row r="23">
          <cell r="B23" t="str">
            <v>J181</v>
          </cell>
          <cell r="C23" t="str">
            <v>GANESAN P</v>
          </cell>
          <cell r="D23">
            <v>29410</v>
          </cell>
          <cell r="E23" t="str">
            <v xml:space="preserve">Production Helper </v>
          </cell>
          <cell r="F23" t="str">
            <v>Production</v>
          </cell>
          <cell r="G23">
            <v>8148865845</v>
          </cell>
          <cell r="H23">
            <v>45919</v>
          </cell>
          <cell r="I23">
            <v>45.881255581557582</v>
          </cell>
          <cell r="J23" t="str">
            <v>LIVE</v>
          </cell>
          <cell r="K23" t="str">
            <v>TAMIL</v>
          </cell>
          <cell r="L23" t="str">
            <v>Male</v>
          </cell>
          <cell r="M23" t="str">
            <v>102179081680</v>
          </cell>
          <cell r="N23">
            <v>5611161938</v>
          </cell>
          <cell r="O23" t="str">
            <v>541970516839</v>
          </cell>
          <cell r="P23" t="str">
            <v>20530725774</v>
          </cell>
          <cell r="Q23" t="str">
            <v>SBIN0013438</v>
          </cell>
          <cell r="R23" t="str">
            <v>STATE BANK OF INDIA</v>
          </cell>
          <cell r="S23" t="str">
            <v>AVINASHI ROAD</v>
          </cell>
          <cell r="T23" t="str">
            <v>2/174, Kurumbapalayam, Kurumbapalayam, , PO:MUTHUGOUDANPUDUR, DIST: Coimbatore, Tamil Nadu -641402</v>
          </cell>
          <cell r="U23" t="str">
            <v>COIMBATORE</v>
          </cell>
          <cell r="V23" t="str">
            <v>COIMBATORE</v>
          </cell>
          <cell r="W23" t="str">
            <v>2/174, Kurumbapalayam, Kurumbapalayam, , PO:MUTHUGOUDANPUDUR, DIST: Coimbatore, Tamil Nadu -641402</v>
          </cell>
        </row>
        <row r="24">
          <cell r="B24" t="str">
            <v>J179</v>
          </cell>
          <cell r="C24" t="str">
            <v>MANOJ KUMAR SAHU</v>
          </cell>
          <cell r="D24">
            <v>31912</v>
          </cell>
          <cell r="E24" t="str">
            <v xml:space="preserve">Production Helper </v>
          </cell>
          <cell r="F24" t="str">
            <v>Production</v>
          </cell>
          <cell r="G24">
            <v>9337896930</v>
          </cell>
          <cell r="H24">
            <v>45897</v>
          </cell>
          <cell r="I24">
            <v>39.026461061009634</v>
          </cell>
          <cell r="J24" t="str">
            <v>LIVE</v>
          </cell>
          <cell r="K24" t="str">
            <v>HINDI</v>
          </cell>
          <cell r="L24" t="str">
            <v>Male</v>
          </cell>
          <cell r="M24" t="str">
            <v>101186027931</v>
          </cell>
          <cell r="N24">
            <v>5347366771</v>
          </cell>
          <cell r="O24" t="str">
            <v>641166648296</v>
          </cell>
          <cell r="P24" t="str">
            <v>515810110007126</v>
          </cell>
          <cell r="Q24" t="str">
            <v>BKID0005158</v>
          </cell>
          <cell r="R24" t="str">
            <v>BANK OF BARODA</v>
          </cell>
          <cell r="S24" t="str">
            <v>CHHATRAPUR</v>
          </cell>
          <cell r="T24" t="str">
            <v>NEAR GOVT SCHOOL, MUTHUGOUNDANPUDUR COLONY, SULUR, COIMBATORE - 641402</v>
          </cell>
          <cell r="U24" t="str">
            <v>COIMBATORE</v>
          </cell>
          <cell r="V24" t="str">
            <v>COIMBATORE</v>
          </cell>
          <cell r="W24" t="str">
            <v xml:space="preserve">SANA NOLIANUAGAN, AGASTINUAGAN, CHHATRAPUR, GANJAM, </v>
          </cell>
        </row>
        <row r="25">
          <cell r="B25" t="str">
            <v>J173</v>
          </cell>
          <cell r="C25" t="str">
            <v>AMUTHA MANI</v>
          </cell>
          <cell r="D25">
            <v>31776</v>
          </cell>
          <cell r="E25" t="str">
            <v xml:space="preserve">Production Helper </v>
          </cell>
          <cell r="F25" t="str">
            <v>Production</v>
          </cell>
          <cell r="G25">
            <v>8524032622</v>
          </cell>
          <cell r="H25">
            <v>45890</v>
          </cell>
          <cell r="I25">
            <v>39.399063800735668</v>
          </cell>
          <cell r="J25" t="str">
            <v>LIVE</v>
          </cell>
          <cell r="K25" t="str">
            <v>TAMIL</v>
          </cell>
          <cell r="L25" t="str">
            <v>Female</v>
          </cell>
          <cell r="M25" t="str">
            <v>101890657547</v>
          </cell>
          <cell r="N25">
            <v>5606818321</v>
          </cell>
          <cell r="O25" t="str">
            <v>340394222264</v>
          </cell>
          <cell r="P25" t="str">
            <v>40586319555</v>
          </cell>
          <cell r="Q25" t="str">
            <v>SBIN0071057</v>
          </cell>
          <cell r="R25" t="str">
            <v>STATE BANK OF INDIA</v>
          </cell>
          <cell r="S25" t="str">
            <v>MADAPPUR</v>
          </cell>
          <cell r="T25" t="str">
            <v>1/126, THOTTIPALAYAM, SULUR, KARAVALIMADAPPUR, COIMBATORE, TAMILNADU - 641668</v>
          </cell>
          <cell r="U25" t="str">
            <v>COIMBATORE</v>
          </cell>
          <cell r="V25" t="str">
            <v>COIMBATORE</v>
          </cell>
          <cell r="W25" t="str">
            <v>1/126, THOTTIPALAYAM, SULUR, KARAVALIMADAPPUR, COIMBATORE, TAMILNADU - 641668</v>
          </cell>
        </row>
        <row r="26">
          <cell r="B26" t="str">
            <v>J168</v>
          </cell>
          <cell r="C26" t="str">
            <v>PREMA</v>
          </cell>
          <cell r="D26">
            <v>37677</v>
          </cell>
          <cell r="E26" t="str">
            <v xml:space="preserve">Production Helper </v>
          </cell>
          <cell r="F26" t="str">
            <v>Production</v>
          </cell>
          <cell r="G26">
            <v>9629432693</v>
          </cell>
          <cell r="H26">
            <v>45882</v>
          </cell>
          <cell r="I26">
            <v>23.231940513064433</v>
          </cell>
          <cell r="J26" t="str">
            <v>LIVE</v>
          </cell>
          <cell r="K26" t="str">
            <v>TAMIL</v>
          </cell>
          <cell r="L26" t="str">
            <v>Female</v>
          </cell>
          <cell r="M26" t="str">
            <v>101647086994</v>
          </cell>
          <cell r="N26">
            <v>5611364305</v>
          </cell>
          <cell r="O26" t="str">
            <v>845877132491</v>
          </cell>
          <cell r="P26" t="str">
            <v>67372132221</v>
          </cell>
          <cell r="Q26" t="str">
            <v>SBIN0071057</v>
          </cell>
          <cell r="R26" t="str">
            <v>STATE BANK OF INDIA</v>
          </cell>
          <cell r="S26" t="str">
            <v>MADAPPUR</v>
          </cell>
          <cell r="T26" t="str">
            <v>1/297, PADEESWARAN KOVIL STREET, THOTTIPALAYAM,  SULUR, KARAVALIMADAPPUR, COIMBATORE, TAMILNADU - 641668</v>
          </cell>
          <cell r="U26" t="str">
            <v>COIMBATORE</v>
          </cell>
          <cell r="V26" t="str">
            <v>COIMBATORE</v>
          </cell>
          <cell r="W26" t="str">
            <v>1/297, PADEESWARAN KOVIL STREET, THOTTIPALAYAM,  SULUR, KARAVALIMADAPPUR, COIMBATORE, TAMILNADU - 641668</v>
          </cell>
        </row>
        <row r="27">
          <cell r="B27" t="str">
            <v>J167</v>
          </cell>
          <cell r="C27" t="str">
            <v>GOWRI MANOHARI</v>
          </cell>
          <cell r="D27">
            <v>35508</v>
          </cell>
          <cell r="E27" t="str">
            <v xml:space="preserve">Production Helper </v>
          </cell>
          <cell r="F27" t="str">
            <v>Production</v>
          </cell>
          <cell r="G27">
            <v>8438689264</v>
          </cell>
          <cell r="H27">
            <v>45882</v>
          </cell>
          <cell r="I27">
            <v>29.17440626648909</v>
          </cell>
          <cell r="J27" t="str">
            <v>LIVE</v>
          </cell>
          <cell r="K27" t="str">
            <v>TAMIL</v>
          </cell>
          <cell r="L27" t="str">
            <v>Female</v>
          </cell>
          <cell r="M27" t="str">
            <v>101528268509</v>
          </cell>
          <cell r="N27">
            <v>5611364303</v>
          </cell>
          <cell r="O27" t="str">
            <v>673273625358</v>
          </cell>
          <cell r="P27" t="str">
            <v>24130100013926</v>
          </cell>
          <cell r="Q27" t="str">
            <v>FDRL0002413</v>
          </cell>
          <cell r="R27" t="str">
            <v>FEDERAL BANK</v>
          </cell>
          <cell r="S27" t="str">
            <v>SULUR</v>
          </cell>
          <cell r="T27" t="str">
            <v>1/180, PATTATHARASIAMMAN KOVIL STREET, THOTTIPALAYAM, KARAVALIMADAPUR, SULUR, COIMBATORE, TAMILNADU - 641668</v>
          </cell>
          <cell r="U27" t="str">
            <v>COIMBATORE</v>
          </cell>
          <cell r="V27" t="str">
            <v>COIMBATORE</v>
          </cell>
          <cell r="W27" t="str">
            <v>1/180, PATTATHARASIAMMAN KOVIL STREET, THOTTIPALAYAM, KARAVALIMADAPUR, SULUR, COIMBATORE, TAMILNADU - 641668</v>
          </cell>
        </row>
        <row r="28">
          <cell r="B28" t="str">
            <v>J165</v>
          </cell>
          <cell r="C28" t="str">
            <v>PRIYANKA</v>
          </cell>
          <cell r="D28">
            <v>38546</v>
          </cell>
          <cell r="E28" t="str">
            <v xml:space="preserve">Production Helper </v>
          </cell>
          <cell r="F28" t="str">
            <v>Production</v>
          </cell>
          <cell r="G28">
            <v>9790414514</v>
          </cell>
          <cell r="H28">
            <v>45882</v>
          </cell>
          <cell r="I28">
            <v>20.851118595256214</v>
          </cell>
          <cell r="J28" t="str">
            <v>LIVE</v>
          </cell>
          <cell r="K28" t="str">
            <v>TAMIL</v>
          </cell>
          <cell r="L28" t="str">
            <v>Female</v>
          </cell>
          <cell r="M28" t="str">
            <v>102015250116</v>
          </cell>
          <cell r="N28">
            <v>5610286921</v>
          </cell>
          <cell r="O28" t="str">
            <v>6798 1297 6028</v>
          </cell>
          <cell r="P28" t="str">
            <v>110142308732</v>
          </cell>
          <cell r="Q28" t="str">
            <v>CNRB0004260</v>
          </cell>
          <cell r="R28" t="str">
            <v>CANARA</v>
          </cell>
          <cell r="S28" t="str">
            <v xml:space="preserve">SAMALAPURAM </v>
          </cell>
          <cell r="T28" t="str">
            <v>1/119,pattatharasi Amman Kovil Street,thottipalayam,sulur taluk, karvalimadappur, coimbatore tamilnadu 641668</v>
          </cell>
          <cell r="U28" t="str">
            <v>COIMBATORE</v>
          </cell>
          <cell r="V28" t="str">
            <v>COIMBATORE</v>
          </cell>
          <cell r="W28" t="str">
            <v>1/119,pattatharasi Amman Kovil Street,thottipalayam,sulur taluk, karvalimadappur, coimbatore tamilnadu 641668</v>
          </cell>
        </row>
        <row r="29">
          <cell r="B29" t="str">
            <v>J163</v>
          </cell>
          <cell r="C29" t="str">
            <v>NITHYA THANGAN</v>
          </cell>
          <cell r="D29">
            <v>35717</v>
          </cell>
          <cell r="E29" t="str">
            <v xml:space="preserve">Production Helper </v>
          </cell>
          <cell r="F29" t="str">
            <v>Production</v>
          </cell>
          <cell r="G29">
            <v>9944210461</v>
          </cell>
          <cell r="H29">
            <v>45882</v>
          </cell>
          <cell r="I29">
            <v>28.60180352676306</v>
          </cell>
          <cell r="J29" t="str">
            <v>LIVE</v>
          </cell>
          <cell r="K29" t="str">
            <v>TAMIL</v>
          </cell>
          <cell r="L29" t="str">
            <v>Female</v>
          </cell>
          <cell r="M29" t="str">
            <v>101211296931</v>
          </cell>
          <cell r="N29">
            <v>5611364313</v>
          </cell>
          <cell r="O29" t="str">
            <v>698757015113</v>
          </cell>
          <cell r="P29">
            <v>7710598445</v>
          </cell>
          <cell r="Q29" t="str">
            <v>IDIB000S057</v>
          </cell>
          <cell r="R29" t="str">
            <v>INDIAN BANK</v>
          </cell>
          <cell r="S29" t="str">
            <v>SINGANALLUR</v>
          </cell>
          <cell r="T29" t="str">
            <v>4/170, ARUKAMBALAYAM, RASIPALAYAM, SULUR, COIMBATORE, TAMILNADU - 641402</v>
          </cell>
          <cell r="U29" t="str">
            <v>COIMBATORE</v>
          </cell>
          <cell r="V29" t="str">
            <v>COIMBATORE</v>
          </cell>
          <cell r="W29" t="str">
            <v>4/170, ARUKAMBALAYAM, RASIPALAYAM, SULUR, COIMBATORE, TAMILNADU - 641402</v>
          </cell>
        </row>
        <row r="30">
          <cell r="B30" t="str">
            <v>J162</v>
          </cell>
          <cell r="C30" t="str">
            <v>SUDALI</v>
          </cell>
          <cell r="D30">
            <v>31146</v>
          </cell>
          <cell r="E30" t="str">
            <v xml:space="preserve">Production Helper </v>
          </cell>
          <cell r="F30" t="str">
            <v>Production</v>
          </cell>
          <cell r="G30">
            <v>9942491391</v>
          </cell>
          <cell r="H30">
            <v>45882</v>
          </cell>
          <cell r="I30">
            <v>41.125091197995935</v>
          </cell>
          <cell r="J30" t="str">
            <v>LIVE</v>
          </cell>
          <cell r="K30" t="str">
            <v>TAMIL</v>
          </cell>
          <cell r="L30" t="str">
            <v>Female</v>
          </cell>
          <cell r="M30" t="str">
            <v>102165892403</v>
          </cell>
          <cell r="N30">
            <v>5611364298</v>
          </cell>
          <cell r="O30" t="str">
            <v>954037855491</v>
          </cell>
          <cell r="P30" t="str">
            <v>184501000024472</v>
          </cell>
          <cell r="Q30" t="str">
            <v>IOBA0001845</v>
          </cell>
          <cell r="R30" t="str">
            <v>INDIAN OVERSEAS BANK</v>
          </cell>
          <cell r="S30" t="str">
            <v>THENNAMPALAYAM</v>
          </cell>
          <cell r="T30" t="str">
            <v>3/8D, EAST STREET, RAASIPALAYAM, SULUR, COIMBATORE, TAMILNADU - 641402</v>
          </cell>
          <cell r="U30" t="str">
            <v>COIMBATORE</v>
          </cell>
          <cell r="V30" t="str">
            <v>COIMBATORE</v>
          </cell>
          <cell r="W30" t="str">
            <v>3/8D, EAST STREET, RAASIPALAYAM, SULUR, COIMBATORE, TAMILNADU - 641402</v>
          </cell>
        </row>
        <row r="31">
          <cell r="B31" t="str">
            <v>J159</v>
          </cell>
          <cell r="C31" t="str">
            <v>PAKU MURMU</v>
          </cell>
          <cell r="D31">
            <v>37987</v>
          </cell>
          <cell r="E31" t="str">
            <v xml:space="preserve">Production Helper </v>
          </cell>
          <cell r="F31" t="str">
            <v>Production</v>
          </cell>
          <cell r="G31">
            <v>9155147738</v>
          </cell>
          <cell r="H31">
            <v>45876</v>
          </cell>
          <cell r="I31">
            <v>22.382625444571282</v>
          </cell>
          <cell r="J31" t="str">
            <v>LIVE</v>
          </cell>
          <cell r="K31" t="str">
            <v>HINDI</v>
          </cell>
          <cell r="L31" t="str">
            <v xml:space="preserve">Male </v>
          </cell>
          <cell r="M31">
            <v>102004324881</v>
          </cell>
          <cell r="N31">
            <v>5610239384</v>
          </cell>
          <cell r="O31" t="str">
            <v>884506957773</v>
          </cell>
          <cell r="P31" t="str">
            <v>020110191958</v>
          </cell>
          <cell r="Q31" t="str">
            <v>IPOS0000001</v>
          </cell>
          <cell r="R31" t="str">
            <v>INDIAN POST PAYMENTS BANK</v>
          </cell>
          <cell r="S31" t="str">
            <v>NEW DELHI</v>
          </cell>
          <cell r="T31" t="str">
            <v xml:space="preserve">MUTHUGOUNDANPUDUR, COIMBATORE, TAMILNADU, </v>
          </cell>
          <cell r="U31" t="str">
            <v>COIMBATORE</v>
          </cell>
          <cell r="V31" t="str">
            <v>COIMBATORE</v>
          </cell>
          <cell r="W31" t="str">
            <v>PALASI, MASALIA, JARUADIH, DUMKA, JHARKHAND - 814146</v>
          </cell>
        </row>
        <row r="32">
          <cell r="B32" t="str">
            <v>J158</v>
          </cell>
          <cell r="C32" t="str">
            <v>LOGEN TUDU</v>
          </cell>
          <cell r="D32">
            <v>36526</v>
          </cell>
          <cell r="E32" t="str">
            <v xml:space="preserve">Production Helper </v>
          </cell>
          <cell r="F32" t="str">
            <v>Production</v>
          </cell>
          <cell r="G32">
            <v>9155147738</v>
          </cell>
          <cell r="H32">
            <v>45876</v>
          </cell>
          <cell r="I32">
            <v>26.385365170598678</v>
          </cell>
          <cell r="J32" t="str">
            <v>LIVE</v>
          </cell>
          <cell r="K32" t="str">
            <v>HINDI</v>
          </cell>
          <cell r="L32" t="str">
            <v xml:space="preserve">Male </v>
          </cell>
          <cell r="M32">
            <v>101709036668</v>
          </cell>
          <cell r="N32">
            <v>5610182036</v>
          </cell>
          <cell r="O32" t="str">
            <v>482277956142</v>
          </cell>
          <cell r="P32" t="str">
            <v>9155147738</v>
          </cell>
          <cell r="Q32" t="str">
            <v>AIRP0000001</v>
          </cell>
          <cell r="R32" t="str">
            <v>AIRTEL PAYMENT BANK</v>
          </cell>
          <cell r="S32" t="str">
            <v>GURUGRAM</v>
          </cell>
          <cell r="T32" t="str">
            <v xml:space="preserve">MUTHUGOUNDANPUDUR, COIMBATORE, TAMILNADU, </v>
          </cell>
          <cell r="U32" t="str">
            <v>COIMBATORE</v>
          </cell>
          <cell r="V32" t="str">
            <v>COIMBATORE</v>
          </cell>
          <cell r="W32" t="str">
            <v>MAHUADABAR, AMGACHHI, BAIJNATHPUR, PALOJORI, DEOGHAR, JHARKHAND - 814146</v>
          </cell>
        </row>
        <row r="33">
          <cell r="B33" t="str">
            <v>J155</v>
          </cell>
          <cell r="C33" t="str">
            <v>RAJANI ORAM</v>
          </cell>
          <cell r="D33">
            <v>36595</v>
          </cell>
          <cell r="E33" t="str">
            <v xml:space="preserve">Production Helper </v>
          </cell>
          <cell r="F33" t="str">
            <v>Production</v>
          </cell>
          <cell r="G33">
            <v>7609078766</v>
          </cell>
          <cell r="H33">
            <v>45863</v>
          </cell>
          <cell r="I33">
            <v>26.196324074708269</v>
          </cell>
          <cell r="J33" t="str">
            <v>LIVE</v>
          </cell>
          <cell r="K33" t="str">
            <v>HINDI</v>
          </cell>
          <cell r="L33" t="str">
            <v>Female</v>
          </cell>
          <cell r="M33" t="str">
            <v>102067572091</v>
          </cell>
          <cell r="N33">
            <v>5610722477</v>
          </cell>
          <cell r="O33" t="str">
            <v>777437970430</v>
          </cell>
          <cell r="P33" t="str">
            <v>110167413738</v>
          </cell>
          <cell r="Q33" t="str">
            <v>CNRB0002805</v>
          </cell>
          <cell r="R33" t="str">
            <v>CANARA BANK</v>
          </cell>
          <cell r="S33" t="str">
            <v>JHARSUGUDA</v>
          </cell>
          <cell r="T33" t="str">
            <v>97,ORAMAPASDA,KALIMANDIR,JHARSUGUDA,ODISHA-768202</v>
          </cell>
          <cell r="U33" t="str">
            <v>COIMBATORE</v>
          </cell>
          <cell r="V33" t="str">
            <v>COIMBATORE</v>
          </cell>
          <cell r="W33" t="str">
            <v>97,ORAMAPASDA,KALIMANDIR,JHARSUGUDA,ODISHA-768202</v>
          </cell>
        </row>
        <row r="34">
          <cell r="B34" t="str">
            <v>J151</v>
          </cell>
          <cell r="C34" t="str">
            <v>MANITA KUNKAL</v>
          </cell>
          <cell r="D34">
            <v>37456</v>
          </cell>
          <cell r="E34" t="str">
            <v xml:space="preserve">Production Helper </v>
          </cell>
          <cell r="F34" t="str">
            <v>Production</v>
          </cell>
          <cell r="G34">
            <v>7325884983</v>
          </cell>
          <cell r="H34">
            <v>45856</v>
          </cell>
          <cell r="I34">
            <v>23.837419965119228</v>
          </cell>
          <cell r="J34" t="str">
            <v>LIVE</v>
          </cell>
          <cell r="K34" t="str">
            <v>HINDI</v>
          </cell>
          <cell r="L34" t="str">
            <v>Female</v>
          </cell>
          <cell r="M34" t="str">
            <v>102132583773</v>
          </cell>
          <cell r="N34">
            <v>5611327990</v>
          </cell>
          <cell r="O34" t="str">
            <v>727736063448</v>
          </cell>
          <cell r="P34">
            <v>8144886929</v>
          </cell>
          <cell r="Q34" t="str">
            <v>AIRP0000001</v>
          </cell>
          <cell r="R34" t="str">
            <v>AIRTEL PAYMENT BANK</v>
          </cell>
          <cell r="S34" t="str">
            <v>GURUGRAM</v>
          </cell>
          <cell r="T34" t="str">
            <v>ARASUR MARKET NEAR, ARASUR, THENNAMPALAYAM, COIMBATORE, TAMILNADU</v>
          </cell>
          <cell r="U34" t="str">
            <v>COIMBATORE</v>
          </cell>
          <cell r="V34" t="str">
            <v>COIMBATORE</v>
          </cell>
          <cell r="W34" t="str">
            <v>GOPINATHPUR, BARAKOTIA, ANUGUL, ODISHA, 759118</v>
          </cell>
        </row>
        <row r="35">
          <cell r="B35" t="str">
            <v>J144</v>
          </cell>
          <cell r="C35" t="str">
            <v>Anandhi.M</v>
          </cell>
          <cell r="D35">
            <v>32860</v>
          </cell>
          <cell r="E35" t="str">
            <v xml:space="preserve">Production Helper </v>
          </cell>
          <cell r="F35" t="str">
            <v>Production</v>
          </cell>
          <cell r="G35">
            <v>9384178061</v>
          </cell>
          <cell r="H35">
            <v>45839</v>
          </cell>
          <cell r="I35">
            <v>36.429200787037033</v>
          </cell>
          <cell r="J35" t="str">
            <v>LIVE</v>
          </cell>
          <cell r="K35" t="str">
            <v>TAMIL</v>
          </cell>
          <cell r="L35" t="str">
            <v>Female</v>
          </cell>
          <cell r="M35">
            <v>101709328468</v>
          </cell>
          <cell r="N35">
            <v>5611064952</v>
          </cell>
          <cell r="O35" t="str">
            <v>289848592174</v>
          </cell>
          <cell r="P35">
            <v>69850100007114</v>
          </cell>
          <cell r="Q35" t="str">
            <v xml:space="preserve">BARBOVJTHP </v>
          </cell>
          <cell r="R35" t="str">
            <v>BOB</v>
          </cell>
          <cell r="S35" t="str">
            <v>Thennampalayam</v>
          </cell>
          <cell r="T35" t="str">
            <v>1/191 pattathrasiyamman Kovil street thotti palayam sulur taluk, karavaill madapur coimbatore tamil nadu - 641668</v>
          </cell>
          <cell r="U35" t="str">
            <v>COIMBATORE</v>
          </cell>
          <cell r="V35" t="str">
            <v>COIMBATORE</v>
          </cell>
          <cell r="W35" t="str">
            <v>1/191 pattathrasiyamman Kovil street thotti palayam sulur taluk, karavaill madapur coimbatore tamil nadu - 641668</v>
          </cell>
        </row>
        <row r="36">
          <cell r="B36" t="str">
            <v>J143</v>
          </cell>
          <cell r="C36" t="str">
            <v xml:space="preserve">Sathiya </v>
          </cell>
          <cell r="D36">
            <v>31794</v>
          </cell>
          <cell r="E36" t="str">
            <v xml:space="preserve">Production Helper </v>
          </cell>
          <cell r="F36" t="str">
            <v>Production</v>
          </cell>
          <cell r="G36">
            <v>8838550083</v>
          </cell>
          <cell r="H36">
            <v>45839</v>
          </cell>
          <cell r="I36">
            <v>39.349748732242517</v>
          </cell>
          <cell r="J36" t="str">
            <v>LIVE</v>
          </cell>
          <cell r="K36" t="str">
            <v>TAMIL</v>
          </cell>
          <cell r="L36" t="str">
            <v>Female</v>
          </cell>
          <cell r="M36" t="str">
            <v>101501794638</v>
          </cell>
          <cell r="N36">
            <v>5608038212</v>
          </cell>
          <cell r="O36" t="str">
            <v>802137660688</v>
          </cell>
          <cell r="P36">
            <v>334902010139038</v>
          </cell>
          <cell r="Q36" t="str">
            <v>UBIN0533491</v>
          </cell>
          <cell r="R36" t="str">
            <v xml:space="preserve">UBI </v>
          </cell>
          <cell r="S36" t="str">
            <v xml:space="preserve">Somanur </v>
          </cell>
          <cell r="T36" t="str">
            <v>1/191 thundukadu , thottipalayam sulur taluka karavaill madapur coimbatore tamil nadu - 641668</v>
          </cell>
          <cell r="U36" t="str">
            <v>COIMBATORE</v>
          </cell>
          <cell r="V36" t="str">
            <v>COIMBATORE</v>
          </cell>
          <cell r="W36" t="str">
            <v>1/191 thundukadu , thottipalayam sulur taluka karavaill madapur coimbatore tamil nadu - 641668</v>
          </cell>
        </row>
        <row r="37">
          <cell r="B37" t="str">
            <v>J141</v>
          </cell>
          <cell r="C37" t="str">
            <v>VENNILA G</v>
          </cell>
          <cell r="D37">
            <v>31126</v>
          </cell>
          <cell r="E37" t="str">
            <v xml:space="preserve">Production Helper </v>
          </cell>
          <cell r="F37" t="str">
            <v>Production</v>
          </cell>
          <cell r="G37">
            <v>9715784733</v>
          </cell>
          <cell r="H37">
            <v>45839</v>
          </cell>
          <cell r="I37">
            <v>41.179885718543886</v>
          </cell>
          <cell r="J37" t="str">
            <v>LIVE</v>
          </cell>
          <cell r="K37" t="str">
            <v>TAMIL</v>
          </cell>
          <cell r="L37" t="str">
            <v>Female</v>
          </cell>
          <cell r="M37" t="str">
            <v>102035911878</v>
          </cell>
          <cell r="N37">
            <v>5611313250</v>
          </cell>
          <cell r="O37" t="str">
            <v>493731571214</v>
          </cell>
          <cell r="P37" t="str">
            <v>67360309805</v>
          </cell>
          <cell r="Q37" t="str">
            <v>SBIN0071057</v>
          </cell>
          <cell r="R37" t="str">
            <v>SBI</v>
          </cell>
          <cell r="S37" t="str">
            <v>MADHAPUR</v>
          </cell>
          <cell r="T37" t="str">
            <v>1/239, THOTTIPALAYAM, KARAVALLI MADHAPUR, SULUR TK, COIMBATORE, TAMILNADU - 641668</v>
          </cell>
          <cell r="U37" t="str">
            <v>COIMBATORE</v>
          </cell>
          <cell r="V37" t="str">
            <v>COIMBATORE</v>
          </cell>
          <cell r="W37" t="str">
            <v>1/239, THOTTIPALAYAM, KARAVALLI MADHAPUR, SULUR TK, COIMBATORE, TAMILNADU - 641668</v>
          </cell>
        </row>
        <row r="38">
          <cell r="B38" t="str">
            <v>J138</v>
          </cell>
          <cell r="C38" t="str">
            <v>AISWARIYA ANANTHAN</v>
          </cell>
          <cell r="D38">
            <v>33823</v>
          </cell>
          <cell r="E38" t="str">
            <v xml:space="preserve">Production Helper </v>
          </cell>
          <cell r="F38" t="str">
            <v>Production</v>
          </cell>
          <cell r="G38">
            <v>9095732300</v>
          </cell>
          <cell r="H38">
            <v>45810</v>
          </cell>
          <cell r="I38">
            <v>33.790844622653474</v>
          </cell>
          <cell r="J38" t="str">
            <v>LIVE</v>
          </cell>
          <cell r="K38" t="str">
            <v>TAMIL</v>
          </cell>
          <cell r="L38" t="str">
            <v>Female</v>
          </cell>
          <cell r="M38" t="str">
            <v>102162891516 </v>
          </cell>
          <cell r="N38">
            <v>5611281667</v>
          </cell>
          <cell r="O38" t="str">
            <v>477100812174</v>
          </cell>
          <cell r="P38">
            <v>713311337</v>
          </cell>
          <cell r="Q38" t="str">
            <v>TNSC0010000</v>
          </cell>
          <cell r="R38" t="str">
            <v>THE COIMBATORE DISTRICT CENTRAL CO OPERETIVE BANK</v>
          </cell>
          <cell r="S38" t="str">
            <v>SOMANJUR</v>
          </cell>
          <cell r="T38" t="str">
            <v>1-221, KOVIL STREET, THOTTIPALAYAM, KARAVALLI MADHAPUR, SOMANUR, COIMBATORE, TAMILNADU - 641668</v>
          </cell>
          <cell r="U38" t="str">
            <v>COIMBATORE</v>
          </cell>
          <cell r="V38" t="str">
            <v>COIMBATORE</v>
          </cell>
          <cell r="W38" t="str">
            <v>1-221, KOVIL STREET, THOTTIPALAYAM, KARAVALLI MADHAPUR, SOMANUR, COIMBATORE, TAMILNADU - 641668</v>
          </cell>
        </row>
        <row r="39">
          <cell r="B39" t="str">
            <v>J135</v>
          </cell>
          <cell r="C39" t="str">
            <v>SUDHAPRIYA PALANISAMY</v>
          </cell>
          <cell r="D39">
            <v>30811</v>
          </cell>
          <cell r="E39" t="str">
            <v xml:space="preserve">Production Helper </v>
          </cell>
          <cell r="F39" t="str">
            <v>Production</v>
          </cell>
          <cell r="G39">
            <v>7373976768</v>
          </cell>
          <cell r="H39">
            <v>45810</v>
          </cell>
          <cell r="I39">
            <v>42.04289941717402</v>
          </cell>
          <cell r="J39" t="str">
            <v>LIVE</v>
          </cell>
          <cell r="K39" t="str">
            <v>TAMIL</v>
          </cell>
          <cell r="L39" t="str">
            <v>Female</v>
          </cell>
          <cell r="M39" t="str">
            <v>101701659866</v>
          </cell>
          <cell r="N39">
            <v>5610655034</v>
          </cell>
          <cell r="O39" t="str">
            <v>406871770547</v>
          </cell>
          <cell r="P39" t="str">
            <v>40900386038</v>
          </cell>
          <cell r="Q39" t="str">
            <v>SBIN0071057</v>
          </cell>
          <cell r="R39" t="str">
            <v>SBI</v>
          </cell>
          <cell r="S39" t="str">
            <v xml:space="preserve">MADAPPUR </v>
          </cell>
          <cell r="T39" t="str">
            <v>1/259 PATTARASIYAMMAN KOVIL STREET THOTTIPALAYAM,KARAVALLIMADAPPUR,COIMBATORE TAMILNADU-641668</v>
          </cell>
          <cell r="U39" t="str">
            <v>COIMBATORE</v>
          </cell>
          <cell r="V39" t="str">
            <v>COIMBATORE</v>
          </cell>
          <cell r="W39" t="str">
            <v>1/259 PATTARASIYAMMAN KOVIL STREET THOTTIPALAYAM,KARAVALLIMADAPPUR,COIMBATORE TAMILNADU-641668</v>
          </cell>
        </row>
        <row r="40">
          <cell r="B40" t="str">
            <v>J131</v>
          </cell>
          <cell r="C40" t="str">
            <v>THAILA G</v>
          </cell>
          <cell r="D40">
            <v>35753</v>
          </cell>
          <cell r="E40" t="str">
            <v xml:space="preserve">Production Helper </v>
          </cell>
          <cell r="F40" t="str">
            <v>Production</v>
          </cell>
          <cell r="G40">
            <v>8248087395</v>
          </cell>
          <cell r="H40">
            <v>45705</v>
          </cell>
          <cell r="I40">
            <v>28.503173389776762</v>
          </cell>
          <cell r="J40" t="str">
            <v>LIVE</v>
          </cell>
          <cell r="K40" t="str">
            <v>TAMIL</v>
          </cell>
          <cell r="L40" t="str">
            <v>Female</v>
          </cell>
          <cell r="M40" t="str">
            <v>102139430777</v>
          </cell>
          <cell r="N40">
            <v>5610900530</v>
          </cell>
          <cell r="O40" t="str">
            <v>954534895869</v>
          </cell>
          <cell r="P40" t="str">
            <v>4367101004522</v>
          </cell>
          <cell r="Q40" t="str">
            <v>CNRB0005997</v>
          </cell>
          <cell r="R40" t="str">
            <v>CANARA BANK</v>
          </cell>
          <cell r="S40" t="str">
            <v>CHINNIYAMPALAYAM</v>
          </cell>
          <cell r="T40" t="str">
            <v>1/16, VALLIMADURAI, KIRAIPATTI, DHARMAPURI, TAMILNADU-636903</v>
          </cell>
          <cell r="U40" t="str">
            <v>COIMBATORE</v>
          </cell>
          <cell r="V40" t="str">
            <v>COIMBATORE</v>
          </cell>
          <cell r="W40" t="str">
            <v>1/16, VALLIMADURAI, KIRAIPATTI, DHARMAPURI, TAMILNADU-636903</v>
          </cell>
        </row>
        <row r="41">
          <cell r="B41" t="str">
            <v>J129</v>
          </cell>
          <cell r="C41" t="str">
            <v>GLORY</v>
          </cell>
          <cell r="D41">
            <v>29007</v>
          </cell>
          <cell r="E41" t="str">
            <v xml:space="preserve">Production Helper </v>
          </cell>
          <cell r="F41" t="str">
            <v>Production</v>
          </cell>
          <cell r="G41">
            <v>9942813416</v>
          </cell>
          <cell r="H41">
            <v>45635</v>
          </cell>
          <cell r="I41">
            <v>46.985365170598676</v>
          </cell>
          <cell r="J41" t="str">
            <v>LIVE</v>
          </cell>
          <cell r="K41" t="str">
            <v>TAMIL</v>
          </cell>
          <cell r="L41" t="str">
            <v>Female</v>
          </cell>
          <cell r="M41" t="str">
            <v>102098477464</v>
          </cell>
          <cell r="N41">
            <v>5610945247</v>
          </cell>
          <cell r="O41" t="str">
            <v>633556961233</v>
          </cell>
          <cell r="P41" t="str">
            <v>1279155000149416</v>
          </cell>
          <cell r="Q41" t="str">
            <v>KVBL0001279</v>
          </cell>
          <cell r="R41" t="str">
            <v>KARUR VYSYA BANK</v>
          </cell>
          <cell r="S41" t="str">
            <v>SOMANUR</v>
          </cell>
          <cell r="T41" t="str">
            <v>NO 3/352,WEST STREET,ATHANKOTHANGUDI,MUTHUKULATHUR,RAMANATHAPURAM,TAMIL NADU-623711</v>
          </cell>
          <cell r="U41" t="str">
            <v>COIMBATORE</v>
          </cell>
          <cell r="V41" t="str">
            <v>COIMBATORE</v>
          </cell>
          <cell r="W41" t="str">
            <v>NO 3/352,WEST STREET,ATHANKOTHANGUDI,MUTHUKULATHUR,RAMANATHAPURAM,TAMIL NADU-623711</v>
          </cell>
        </row>
        <row r="42">
          <cell r="B42" t="str">
            <v>J123</v>
          </cell>
          <cell r="C42" t="str">
            <v>REVATHI V</v>
          </cell>
          <cell r="D42">
            <v>31048</v>
          </cell>
          <cell r="E42" t="str">
            <v xml:space="preserve">Production Helper </v>
          </cell>
          <cell r="F42" t="str">
            <v>Production</v>
          </cell>
          <cell r="G42">
            <v>9087726886</v>
          </cell>
          <cell r="H42">
            <v>45610</v>
          </cell>
          <cell r="I42">
            <v>41.393584348680868</v>
          </cell>
          <cell r="J42" t="str">
            <v>LIVE</v>
          </cell>
          <cell r="K42" t="str">
            <v>TAMIL</v>
          </cell>
          <cell r="L42" t="str">
            <v>Female</v>
          </cell>
          <cell r="M42" t="str">
            <v>101500927057</v>
          </cell>
          <cell r="N42">
            <v>5610900513</v>
          </cell>
          <cell r="O42" t="str">
            <v>964896114852</v>
          </cell>
          <cell r="P42" t="str">
            <v>42845971468</v>
          </cell>
          <cell r="Q42" t="str">
            <v>SBIN0071057</v>
          </cell>
          <cell r="R42" t="str">
            <v>STATE BANK OF INDIA</v>
          </cell>
          <cell r="S42" t="str">
            <v>MADAPPUR</v>
          </cell>
          <cell r="T42" t="str">
            <v>4/52, VINAYAGAR KOVIL STREET, ARUGAMPALAYAM, RASIPALAYAM, COIMBATORE, TAMILNADU-641402</v>
          </cell>
          <cell r="U42" t="str">
            <v>COIMBATORE</v>
          </cell>
          <cell r="V42" t="str">
            <v>COIMBATORE</v>
          </cell>
          <cell r="W42" t="str">
            <v>4/52, VINAYAGAR KOVIL STREET, ARUGAMPALAYAM, RASIPALAYAM, COIMBATORE, TAMILNADU-641402</v>
          </cell>
        </row>
        <row r="43">
          <cell r="B43" t="str">
            <v>J114</v>
          </cell>
          <cell r="C43" t="str">
            <v>RABITHA JAYASEELAN</v>
          </cell>
          <cell r="D43">
            <v>27215</v>
          </cell>
          <cell r="E43" t="str">
            <v xml:space="preserve">Production Helper </v>
          </cell>
          <cell r="F43" t="str">
            <v>Production</v>
          </cell>
          <cell r="G43">
            <v>8122414491</v>
          </cell>
          <cell r="H43">
            <v>45604</v>
          </cell>
          <cell r="I43">
            <v>51.894954211694568</v>
          </cell>
          <cell r="J43" t="str">
            <v>LIVE</v>
          </cell>
          <cell r="K43" t="str">
            <v>TAMIL</v>
          </cell>
          <cell r="L43" t="str">
            <v>Female</v>
          </cell>
          <cell r="M43" t="str">
            <v>101710793475</v>
          </cell>
          <cell r="N43">
            <v>5610886837</v>
          </cell>
          <cell r="O43" t="str">
            <v>317316657198</v>
          </cell>
          <cell r="P43" t="str">
            <v>6206242900</v>
          </cell>
          <cell r="Q43" t="str">
            <v>IDIB000C062</v>
          </cell>
          <cell r="R43" t="str">
            <v>INDIAN BANK</v>
          </cell>
          <cell r="S43" t="str">
            <v>CHENNIYAMPALAYAM</v>
          </cell>
          <cell r="T43" t="str">
            <v>2/404, V.I.P NAGAR, KURUMBAPALAYAM, SULUR, COIMBATORE, TAMILNADU-641402</v>
          </cell>
          <cell r="U43" t="str">
            <v>COIMBATORE</v>
          </cell>
          <cell r="V43" t="str">
            <v>COIMBATORE</v>
          </cell>
          <cell r="W43" t="str">
            <v>2/404, V.I.P NAGAR, KURUMBAPALAYAM, SULUR, COIMBATORE, TAMILNADU-641402</v>
          </cell>
        </row>
        <row r="44">
          <cell r="B44" t="str">
            <v>J111</v>
          </cell>
          <cell r="C44" t="str">
            <v>RAJA MUNDA</v>
          </cell>
          <cell r="D44">
            <v>36526</v>
          </cell>
          <cell r="E44" t="str">
            <v xml:space="preserve">Production Helper </v>
          </cell>
          <cell r="F44" t="str">
            <v>Production</v>
          </cell>
          <cell r="G44">
            <v>8144436031</v>
          </cell>
          <cell r="H44">
            <v>45580</v>
          </cell>
          <cell r="I44">
            <v>26.385365170598678</v>
          </cell>
          <cell r="J44" t="str">
            <v>LIVE</v>
          </cell>
          <cell r="K44" t="str">
            <v>HINDI</v>
          </cell>
          <cell r="L44" t="str">
            <v>Male</v>
          </cell>
          <cell r="M44" t="str">
            <v>102129597358</v>
          </cell>
          <cell r="N44">
            <v>5610854294</v>
          </cell>
          <cell r="O44" t="str">
            <v>454741108234</v>
          </cell>
          <cell r="P44" t="str">
            <v>501032872508</v>
          </cell>
          <cell r="Q44" t="str">
            <v>NSPB0000002</v>
          </cell>
          <cell r="R44" t="str">
            <v>NSDL PAYMENTS BANK</v>
          </cell>
          <cell r="S44" t="str">
            <v>LOWER PAREL</v>
          </cell>
          <cell r="T44" t="str">
            <v>LMW NEAR, LMW ROAD, MUTHUGOUNDANPUDUR, SULUR, COIMBATORE, TAMILNADU- 641402</v>
          </cell>
          <cell r="U44" t="str">
            <v>COIMBATORE</v>
          </cell>
          <cell r="V44" t="str">
            <v>COIMBATORE</v>
          </cell>
          <cell r="W44" t="str">
            <v>KARADAPAL, DHORADIAMBA, KENDUJHAR, ODISHA-758080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B1" t="str">
            <v>ID.No</v>
          </cell>
          <cell r="C1" t="str">
            <v>DOJ</v>
          </cell>
          <cell r="D1" t="str">
            <v>Name</v>
          </cell>
          <cell r="E1" t="str">
            <v>STATUS</v>
          </cell>
          <cell r="F1" t="str">
            <v>LANG</v>
          </cell>
          <cell r="G1" t="str">
            <v>GENDER</v>
          </cell>
          <cell r="H1" t="str">
            <v>UNIT</v>
          </cell>
          <cell r="I1" t="str">
            <v>BANK Account Number</v>
          </cell>
          <cell r="J1" t="str">
            <v xml:space="preserve">BANK IFSC CODE </v>
          </cell>
          <cell r="K1" t="str">
            <v>Bank Name</v>
          </cell>
        </row>
        <row r="2">
          <cell r="B2" t="str">
            <v>J01</v>
          </cell>
          <cell r="C2">
            <v>45246</v>
          </cell>
          <cell r="D2" t="str">
            <v xml:space="preserve">SHALINI A </v>
          </cell>
          <cell r="E2" t="str">
            <v>LIVE</v>
          </cell>
          <cell r="F2" t="str">
            <v>TAMIL</v>
          </cell>
          <cell r="G2" t="str">
            <v>F</v>
          </cell>
          <cell r="H2" t="str">
            <v>CARE NOW</v>
          </cell>
          <cell r="I2" t="str">
            <v>0048951883</v>
          </cell>
          <cell r="J2" t="str">
            <v>KKBK0008668</v>
          </cell>
          <cell r="K2" t="str">
            <v>KOTAK</v>
          </cell>
        </row>
        <row r="3">
          <cell r="B3" t="str">
            <v>J02</v>
          </cell>
          <cell r="C3">
            <v>45246</v>
          </cell>
          <cell r="D3" t="str">
            <v>BANUPRIYA M</v>
          </cell>
          <cell r="E3" t="str">
            <v>LIVE</v>
          </cell>
          <cell r="F3" t="str">
            <v>TAMIL</v>
          </cell>
          <cell r="G3" t="str">
            <v>F</v>
          </cell>
          <cell r="H3" t="str">
            <v>CARE NOW</v>
          </cell>
          <cell r="I3">
            <v>40799080885</v>
          </cell>
          <cell r="J3" t="str">
            <v>SBIN0071057</v>
          </cell>
          <cell r="K3" t="str">
            <v>SBI</v>
          </cell>
        </row>
        <row r="4">
          <cell r="B4" t="str">
            <v>J03</v>
          </cell>
          <cell r="C4">
            <v>45246</v>
          </cell>
          <cell r="D4" t="str">
            <v>RAJESHWARI M</v>
          </cell>
          <cell r="E4" t="str">
            <v>LIVE</v>
          </cell>
          <cell r="F4" t="str">
            <v>TAMIL</v>
          </cell>
          <cell r="G4" t="str">
            <v>F</v>
          </cell>
          <cell r="H4" t="str">
            <v>CARE NOW</v>
          </cell>
          <cell r="I4">
            <v>67397461279</v>
          </cell>
          <cell r="J4" t="str">
            <v>SBIN0071057</v>
          </cell>
          <cell r="K4" t="str">
            <v>IOB</v>
          </cell>
        </row>
        <row r="5">
          <cell r="B5" t="str">
            <v>J06</v>
          </cell>
          <cell r="C5">
            <v>45247</v>
          </cell>
          <cell r="D5" t="str">
            <v xml:space="preserve">P BHARATHI </v>
          </cell>
          <cell r="E5" t="str">
            <v>LIVE</v>
          </cell>
          <cell r="F5" t="str">
            <v>TAMIL</v>
          </cell>
          <cell r="G5" t="str">
            <v>F</v>
          </cell>
          <cell r="H5" t="str">
            <v>CARE NOW</v>
          </cell>
          <cell r="I5">
            <v>334902010148405</v>
          </cell>
          <cell r="J5" t="str">
            <v>UNIN0533491</v>
          </cell>
          <cell r="K5" t="str">
            <v>UNION</v>
          </cell>
        </row>
        <row r="6">
          <cell r="B6" t="str">
            <v>J07</v>
          </cell>
          <cell r="C6">
            <v>45248</v>
          </cell>
          <cell r="D6" t="str">
            <v>RAJABIR LUHAR</v>
          </cell>
          <cell r="E6" t="str">
            <v>LIVE</v>
          </cell>
          <cell r="F6" t="str">
            <v>HINDI</v>
          </cell>
          <cell r="G6" t="str">
            <v>M</v>
          </cell>
          <cell r="H6" t="str">
            <v>CARE NOW</v>
          </cell>
          <cell r="I6">
            <v>410501502819</v>
          </cell>
          <cell r="J6" t="str">
            <v>ICIC0004105</v>
          </cell>
          <cell r="K6" t="str">
            <v>ICICI</v>
          </cell>
        </row>
        <row r="7">
          <cell r="B7" t="str">
            <v>J08</v>
          </cell>
          <cell r="C7">
            <v>45248</v>
          </cell>
          <cell r="D7" t="str">
            <v>SRIEL BEHERA</v>
          </cell>
          <cell r="E7" t="str">
            <v>LIVE</v>
          </cell>
          <cell r="F7" t="str">
            <v>HINDI</v>
          </cell>
          <cell r="G7" t="str">
            <v>M</v>
          </cell>
          <cell r="H7" t="str">
            <v>CARE NOW</v>
          </cell>
          <cell r="I7">
            <v>0</v>
          </cell>
          <cell r="J7">
            <v>0</v>
          </cell>
          <cell r="K7">
            <v>0</v>
          </cell>
        </row>
        <row r="8">
          <cell r="B8" t="str">
            <v>J09</v>
          </cell>
          <cell r="C8">
            <v>45250</v>
          </cell>
          <cell r="D8" t="str">
            <v>RAJESWARI K</v>
          </cell>
          <cell r="E8" t="str">
            <v>LIVE</v>
          </cell>
          <cell r="F8" t="str">
            <v>TAMIL</v>
          </cell>
          <cell r="G8" t="str">
            <v>F</v>
          </cell>
          <cell r="H8" t="str">
            <v>CARE NOW</v>
          </cell>
          <cell r="I8" t="str">
            <v>24001000018901</v>
          </cell>
          <cell r="J8" t="str">
            <v>IOBA0000246</v>
          </cell>
          <cell r="K8" t="str">
            <v>IOB</v>
          </cell>
        </row>
        <row r="9">
          <cell r="B9" t="str">
            <v>J10</v>
          </cell>
          <cell r="C9">
            <v>0</v>
          </cell>
          <cell r="D9" t="str">
            <v>SRI LAKSHMI RAJAN</v>
          </cell>
          <cell r="E9" t="str">
            <v>LIVE</v>
          </cell>
          <cell r="F9" t="str">
            <v>TAMIL</v>
          </cell>
          <cell r="G9" t="str">
            <v>F</v>
          </cell>
          <cell r="H9" t="str">
            <v>CARE NOW</v>
          </cell>
          <cell r="I9" t="str">
            <v>150010100062283</v>
          </cell>
          <cell r="J9" t="str">
            <v>UBIN0554863</v>
          </cell>
          <cell r="K9" t="str">
            <v>UNION BANK</v>
          </cell>
        </row>
        <row r="10">
          <cell r="B10" t="str">
            <v>J11</v>
          </cell>
          <cell r="C10">
            <v>45250</v>
          </cell>
          <cell r="D10" t="str">
            <v>GOBIKA RAJAN</v>
          </cell>
          <cell r="E10" t="str">
            <v>LIVE</v>
          </cell>
          <cell r="F10" t="str">
            <v>TAMIL</v>
          </cell>
          <cell r="G10" t="str">
            <v>F</v>
          </cell>
          <cell r="H10" t="str">
            <v>CARE NOW</v>
          </cell>
          <cell r="I10" t="str">
            <v>150010100062210</v>
          </cell>
          <cell r="J10" t="str">
            <v>UBIN0554863</v>
          </cell>
          <cell r="K10" t="str">
            <v>UNION BANK</v>
          </cell>
        </row>
        <row r="11">
          <cell r="B11" t="str">
            <v>J12</v>
          </cell>
          <cell r="C11">
            <v>45250</v>
          </cell>
          <cell r="D11" t="str">
            <v>PINKI BISWAL</v>
          </cell>
          <cell r="E11" t="str">
            <v>LIVE</v>
          </cell>
          <cell r="F11" t="str">
            <v>HINDI</v>
          </cell>
          <cell r="G11" t="str">
            <v>F</v>
          </cell>
          <cell r="H11" t="str">
            <v>CARE NOW</v>
          </cell>
          <cell r="I11">
            <v>0</v>
          </cell>
          <cell r="J11">
            <v>0</v>
          </cell>
          <cell r="K11">
            <v>0</v>
          </cell>
        </row>
        <row r="12">
          <cell r="B12" t="str">
            <v>J14</v>
          </cell>
          <cell r="C12">
            <v>45250</v>
          </cell>
          <cell r="D12" t="str">
            <v>SELVI RAVICHANDARN</v>
          </cell>
          <cell r="E12" t="str">
            <v>LIVE</v>
          </cell>
          <cell r="F12" t="str">
            <v>TAMIL</v>
          </cell>
          <cell r="G12" t="str">
            <v>F</v>
          </cell>
          <cell r="H12" t="str">
            <v>CARE NOW</v>
          </cell>
          <cell r="I12">
            <v>184501000023601</v>
          </cell>
          <cell r="J12" t="str">
            <v>IOBA0001845</v>
          </cell>
          <cell r="K12" t="str">
            <v>IOB</v>
          </cell>
        </row>
        <row r="13">
          <cell r="B13" t="str">
            <v>J19</v>
          </cell>
          <cell r="C13">
            <v>45252</v>
          </cell>
          <cell r="D13" t="str">
            <v>PAKU MURMU</v>
          </cell>
          <cell r="E13" t="str">
            <v>LIVE</v>
          </cell>
          <cell r="F13" t="str">
            <v>HINDI</v>
          </cell>
          <cell r="G13" t="str">
            <v>F</v>
          </cell>
          <cell r="H13" t="str">
            <v>CARE NOW</v>
          </cell>
          <cell r="I13">
            <v>0</v>
          </cell>
          <cell r="J13">
            <v>0</v>
          </cell>
          <cell r="K13">
            <v>0</v>
          </cell>
        </row>
        <row r="14">
          <cell r="B14" t="str">
            <v>J20</v>
          </cell>
          <cell r="C14">
            <v>45252</v>
          </cell>
          <cell r="D14" t="str">
            <v>LOGEN TUDU</v>
          </cell>
          <cell r="E14" t="str">
            <v>LIVE</v>
          </cell>
          <cell r="F14" t="str">
            <v>HINDI</v>
          </cell>
          <cell r="G14" t="str">
            <v>M</v>
          </cell>
          <cell r="H14" t="str">
            <v>CARE NOW</v>
          </cell>
          <cell r="I14">
            <v>8548389793</v>
          </cell>
          <cell r="J14" t="str">
            <v>KKBK0008668</v>
          </cell>
          <cell r="K14" t="str">
            <v>KOTAK</v>
          </cell>
        </row>
        <row r="15">
          <cell r="B15" t="str">
            <v>J21</v>
          </cell>
          <cell r="C15">
            <v>45252</v>
          </cell>
          <cell r="D15" t="str">
            <v>MENAKA B</v>
          </cell>
          <cell r="E15" t="str">
            <v>LIVE</v>
          </cell>
          <cell r="F15" t="str">
            <v>TAMIL</v>
          </cell>
          <cell r="G15" t="str">
            <v>F</v>
          </cell>
          <cell r="H15" t="str">
            <v>CARE NOW</v>
          </cell>
          <cell r="I15">
            <v>110154007050</v>
          </cell>
          <cell r="J15" t="str">
            <v>CNRB0004260</v>
          </cell>
          <cell r="K15" t="str">
            <v>CANARA</v>
          </cell>
        </row>
        <row r="16">
          <cell r="B16" t="str">
            <v>J22</v>
          </cell>
          <cell r="C16">
            <v>45252</v>
          </cell>
          <cell r="D16" t="str">
            <v>A PRIYANKA</v>
          </cell>
          <cell r="E16" t="str">
            <v>LIVE</v>
          </cell>
          <cell r="F16" t="str">
            <v>TAMIL</v>
          </cell>
          <cell r="G16" t="str">
            <v>F</v>
          </cell>
          <cell r="H16" t="str">
            <v>CARE NOW</v>
          </cell>
          <cell r="I16">
            <v>110142308732</v>
          </cell>
          <cell r="J16" t="str">
            <v>CNRB0004260</v>
          </cell>
          <cell r="K16" t="str">
            <v>CANARA</v>
          </cell>
        </row>
        <row r="17">
          <cell r="B17" t="str">
            <v>J23</v>
          </cell>
          <cell r="C17">
            <v>45252</v>
          </cell>
          <cell r="D17" t="str">
            <v>P SOBIYA</v>
          </cell>
          <cell r="E17" t="str">
            <v>LIVE</v>
          </cell>
          <cell r="F17" t="str">
            <v>TAMIL</v>
          </cell>
          <cell r="G17" t="str">
            <v>F</v>
          </cell>
          <cell r="H17" t="str">
            <v>CARE NOW</v>
          </cell>
          <cell r="I17">
            <v>41124896136</v>
          </cell>
          <cell r="J17" t="str">
            <v>SBIN0018670</v>
          </cell>
          <cell r="K17" t="str">
            <v>SBI</v>
          </cell>
        </row>
        <row r="18">
          <cell r="B18" t="str">
            <v>J24</v>
          </cell>
          <cell r="C18">
            <v>45252</v>
          </cell>
          <cell r="D18" t="str">
            <v>MADHUPRIYA JAGAN</v>
          </cell>
          <cell r="E18" t="str">
            <v>LIVE</v>
          </cell>
          <cell r="F18" t="str">
            <v>TAMIL</v>
          </cell>
          <cell r="G18" t="str">
            <v>F</v>
          </cell>
          <cell r="H18" t="str">
            <v>CARE NOW</v>
          </cell>
          <cell r="I18">
            <v>39449132892</v>
          </cell>
          <cell r="J18" t="str">
            <v>SBIN0018670</v>
          </cell>
          <cell r="K18" t="str">
            <v>SBI</v>
          </cell>
        </row>
        <row r="19">
          <cell r="B19" t="str">
            <v>J25</v>
          </cell>
          <cell r="C19">
            <v>45252</v>
          </cell>
          <cell r="D19" t="str">
            <v>K SARASWATHI</v>
          </cell>
          <cell r="E19" t="str">
            <v>LIVE</v>
          </cell>
          <cell r="F19" t="str">
            <v>TAMIL</v>
          </cell>
          <cell r="G19" t="str">
            <v>F</v>
          </cell>
          <cell r="H19" t="str">
            <v>CARE NOW</v>
          </cell>
          <cell r="I19">
            <v>30731542778</v>
          </cell>
          <cell r="J19" t="str">
            <v>SBIN0010617</v>
          </cell>
          <cell r="K19" t="str">
            <v>SBI</v>
          </cell>
        </row>
        <row r="20">
          <cell r="B20" t="str">
            <v>J26</v>
          </cell>
          <cell r="C20">
            <v>45252</v>
          </cell>
          <cell r="D20" t="str">
            <v>JEEVITHA PALANISAMY</v>
          </cell>
          <cell r="E20" t="str">
            <v>LIVE</v>
          </cell>
          <cell r="F20" t="str">
            <v>TAMIL</v>
          </cell>
          <cell r="G20" t="str">
            <v>F</v>
          </cell>
          <cell r="H20" t="str">
            <v>CARE NOW</v>
          </cell>
          <cell r="I20">
            <v>917010060652135</v>
          </cell>
          <cell r="J20" t="str">
            <v>UTIB0003462</v>
          </cell>
          <cell r="K20">
            <v>0</v>
          </cell>
        </row>
        <row r="21">
          <cell r="B21" t="str">
            <v>J27</v>
          </cell>
          <cell r="C21">
            <v>45254</v>
          </cell>
          <cell r="D21" t="str">
            <v>SUMITRA PRADHAN</v>
          </cell>
          <cell r="E21" t="str">
            <v>LIVE</v>
          </cell>
          <cell r="F21" t="str">
            <v>HINDI</v>
          </cell>
          <cell r="G21" t="str">
            <v>F</v>
          </cell>
          <cell r="H21" t="str">
            <v>CARE NOW</v>
          </cell>
          <cell r="I21">
            <v>0</v>
          </cell>
          <cell r="J21">
            <v>0</v>
          </cell>
          <cell r="K21">
            <v>0</v>
          </cell>
        </row>
        <row r="22">
          <cell r="B22" t="str">
            <v>J28</v>
          </cell>
          <cell r="C22">
            <v>45253</v>
          </cell>
          <cell r="D22" t="str">
            <v>CHELLAMMAL</v>
          </cell>
          <cell r="E22" t="str">
            <v>LIVE</v>
          </cell>
          <cell r="F22" t="str">
            <v>TAMIL</v>
          </cell>
          <cell r="G22" t="str">
            <v>F</v>
          </cell>
          <cell r="H22" t="str">
            <v>CARE NOW</v>
          </cell>
          <cell r="I22">
            <v>0</v>
          </cell>
          <cell r="J22">
            <v>0</v>
          </cell>
          <cell r="K22">
            <v>0</v>
          </cell>
        </row>
        <row r="23">
          <cell r="B23" t="str">
            <v>J29</v>
          </cell>
          <cell r="C23">
            <v>45254</v>
          </cell>
          <cell r="D23" t="str">
            <v>RINA MUNDA</v>
          </cell>
          <cell r="E23" t="str">
            <v>LIVE</v>
          </cell>
          <cell r="F23" t="str">
            <v>HINDI</v>
          </cell>
          <cell r="G23" t="str">
            <v>F</v>
          </cell>
          <cell r="H23" t="str">
            <v>CARE NOW</v>
          </cell>
          <cell r="I23" t="str">
            <v>0048941815</v>
          </cell>
          <cell r="J23" t="str">
            <v>KKBK0008668</v>
          </cell>
          <cell r="K23" t="str">
            <v>KOTAK</v>
          </cell>
        </row>
        <row r="24">
          <cell r="B24" t="str">
            <v>J30</v>
          </cell>
          <cell r="C24">
            <v>45254</v>
          </cell>
          <cell r="D24" t="str">
            <v>HEMANT MUNDA</v>
          </cell>
          <cell r="E24" t="str">
            <v>LIVE</v>
          </cell>
          <cell r="F24" t="str">
            <v>HINDI</v>
          </cell>
          <cell r="G24" t="str">
            <v>M</v>
          </cell>
          <cell r="H24" t="str">
            <v>CARE NOW</v>
          </cell>
          <cell r="I24" t="str">
            <v>0048942058</v>
          </cell>
          <cell r="J24" t="str">
            <v>KKBK0008668</v>
          </cell>
          <cell r="K24" t="str">
            <v>KOTAK</v>
          </cell>
        </row>
        <row r="25">
          <cell r="B25" t="str">
            <v>J31</v>
          </cell>
          <cell r="C25">
            <v>45254</v>
          </cell>
          <cell r="D25" t="str">
            <v>UMAMAHESWARI ARUMUGAM</v>
          </cell>
          <cell r="E25" t="str">
            <v>LIVE</v>
          </cell>
          <cell r="F25" t="str">
            <v>TAMIL</v>
          </cell>
          <cell r="G25" t="str">
            <v>F</v>
          </cell>
          <cell r="H25" t="str">
            <v>CARE NOW</v>
          </cell>
          <cell r="I25">
            <v>184501000008816</v>
          </cell>
          <cell r="J25" t="str">
            <v>IOBA0001845</v>
          </cell>
          <cell r="K25" t="str">
            <v>IOB</v>
          </cell>
        </row>
        <row r="26">
          <cell r="B26" t="str">
            <v>J32</v>
          </cell>
          <cell r="C26">
            <v>45254</v>
          </cell>
          <cell r="D26" t="str">
            <v>BINTHU RAJAN</v>
          </cell>
          <cell r="E26" t="str">
            <v>LIVE</v>
          </cell>
          <cell r="F26" t="str">
            <v>TAMIL</v>
          </cell>
          <cell r="G26" t="str">
            <v>F</v>
          </cell>
          <cell r="H26" t="str">
            <v>CARE NOW</v>
          </cell>
          <cell r="I26">
            <v>67340948971</v>
          </cell>
          <cell r="J26" t="str">
            <v>SBIN0071057</v>
          </cell>
          <cell r="K26" t="str">
            <v>SBI</v>
          </cell>
        </row>
        <row r="27">
          <cell r="B27" t="str">
            <v>J33</v>
          </cell>
          <cell r="C27">
            <v>45254</v>
          </cell>
          <cell r="D27" t="str">
            <v>KIRUTHIKA</v>
          </cell>
          <cell r="E27" t="str">
            <v>LIVE</v>
          </cell>
          <cell r="F27" t="str">
            <v>TAMIL</v>
          </cell>
          <cell r="G27" t="str">
            <v>F</v>
          </cell>
          <cell r="H27" t="str">
            <v>CARE NOW</v>
          </cell>
          <cell r="I27">
            <v>334902010151065</v>
          </cell>
          <cell r="J27" t="str">
            <v xml:space="preserve">UBIN0533491 </v>
          </cell>
          <cell r="K27" t="str">
            <v>UNION</v>
          </cell>
        </row>
        <row r="28">
          <cell r="B28" t="str">
            <v>J34</v>
          </cell>
          <cell r="C28">
            <v>45255</v>
          </cell>
          <cell r="D28" t="str">
            <v>NAKUL PRADHAN</v>
          </cell>
          <cell r="E28" t="str">
            <v>LIVE</v>
          </cell>
          <cell r="F28" t="str">
            <v>HINDI</v>
          </cell>
          <cell r="G28" t="str">
            <v>M</v>
          </cell>
          <cell r="H28" t="str">
            <v>CARE NOW</v>
          </cell>
          <cell r="I28">
            <v>0</v>
          </cell>
          <cell r="J28">
            <v>0</v>
          </cell>
          <cell r="K28">
            <v>0</v>
          </cell>
        </row>
        <row r="29">
          <cell r="B29" t="str">
            <v>J35</v>
          </cell>
          <cell r="C29">
            <v>45255</v>
          </cell>
          <cell r="D29" t="str">
            <v>SAKUNTALA MUNDA</v>
          </cell>
          <cell r="E29" t="str">
            <v>LIVE</v>
          </cell>
          <cell r="F29" t="str">
            <v>HINDI</v>
          </cell>
          <cell r="G29" t="str">
            <v>F</v>
          </cell>
          <cell r="H29" t="str">
            <v>CARE NOW</v>
          </cell>
          <cell r="I29" t="str">
            <v>0048942454</v>
          </cell>
          <cell r="J29" t="str">
            <v>KKBK0008668</v>
          </cell>
          <cell r="K29" t="str">
            <v>KOTAK</v>
          </cell>
        </row>
        <row r="30">
          <cell r="B30" t="str">
            <v>J36</v>
          </cell>
          <cell r="C30">
            <v>45257</v>
          </cell>
          <cell r="D30" t="str">
            <v>ANANTHI KARTHIK</v>
          </cell>
          <cell r="E30" t="str">
            <v>LIVE</v>
          </cell>
          <cell r="F30" t="str">
            <v>TAMIL</v>
          </cell>
          <cell r="G30" t="str">
            <v>F</v>
          </cell>
          <cell r="H30" t="str">
            <v>CARE NOW</v>
          </cell>
          <cell r="I30">
            <v>184501000017178</v>
          </cell>
          <cell r="J30" t="str">
            <v>IOBA0001845</v>
          </cell>
          <cell r="K30" t="str">
            <v>IOB</v>
          </cell>
        </row>
        <row r="31">
          <cell r="B31" t="str">
            <v>J37</v>
          </cell>
          <cell r="C31">
            <v>45257</v>
          </cell>
          <cell r="D31" t="str">
            <v>PARIMALA RAMAMOORTHI</v>
          </cell>
          <cell r="E31" t="str">
            <v>LEFT</v>
          </cell>
          <cell r="F31" t="str">
            <v>TAMIL</v>
          </cell>
          <cell r="G31" t="str">
            <v>F</v>
          </cell>
          <cell r="H31" t="str">
            <v>CARE NOW</v>
          </cell>
          <cell r="I31">
            <v>0</v>
          </cell>
          <cell r="J31">
            <v>0</v>
          </cell>
          <cell r="K31">
            <v>0</v>
          </cell>
        </row>
        <row r="32">
          <cell r="B32" t="str">
            <v>J38</v>
          </cell>
          <cell r="C32">
            <v>45257</v>
          </cell>
          <cell r="D32" t="str">
            <v>S GEETHA</v>
          </cell>
          <cell r="E32" t="str">
            <v>LIVE</v>
          </cell>
          <cell r="F32" t="str">
            <v>TAMIL</v>
          </cell>
          <cell r="G32" t="str">
            <v>F</v>
          </cell>
          <cell r="H32" t="str">
            <v>CARE NOW</v>
          </cell>
          <cell r="I32">
            <v>0</v>
          </cell>
          <cell r="J32">
            <v>0</v>
          </cell>
          <cell r="K32">
            <v>0</v>
          </cell>
        </row>
        <row r="33">
          <cell r="B33" t="str">
            <v>J39</v>
          </cell>
          <cell r="C33">
            <v>45258</v>
          </cell>
          <cell r="D33" t="str">
            <v>RINKU SINGH</v>
          </cell>
          <cell r="E33" t="str">
            <v>LIVE</v>
          </cell>
          <cell r="F33" t="str">
            <v>HINDI</v>
          </cell>
          <cell r="G33" t="str">
            <v>M</v>
          </cell>
          <cell r="H33" t="str">
            <v>CARE NOW</v>
          </cell>
          <cell r="I33">
            <v>110001844562</v>
          </cell>
          <cell r="J33" t="str">
            <v>CNRB0016146</v>
          </cell>
          <cell r="K33" t="str">
            <v xml:space="preserve">CANARA </v>
          </cell>
        </row>
        <row r="34">
          <cell r="B34" t="str">
            <v>J40</v>
          </cell>
          <cell r="C34">
            <v>45258</v>
          </cell>
          <cell r="D34" t="str">
            <v>SAWAN KUMAR NATH</v>
          </cell>
          <cell r="E34" t="str">
            <v>LIVE</v>
          </cell>
          <cell r="F34" t="str">
            <v>HINDI</v>
          </cell>
          <cell r="G34" t="str">
            <v>M</v>
          </cell>
          <cell r="H34" t="str">
            <v>CARE NOW</v>
          </cell>
          <cell r="I34">
            <v>0</v>
          </cell>
          <cell r="J34">
            <v>0</v>
          </cell>
          <cell r="K3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31"/>
  <sheetViews>
    <sheetView tabSelected="1" workbookViewId="0">
      <pane xSplit="3" ySplit="2" topLeftCell="D3" activePane="bottomRight" state="frozen"/>
      <selection pane="topRight" activeCell="Q1" sqref="Q1"/>
      <selection pane="bottomLeft" activeCell="A3" sqref="A3"/>
      <selection pane="bottomRight" activeCell="I23" sqref="I23"/>
    </sheetView>
  </sheetViews>
  <sheetFormatPr defaultColWidth="9.140625" defaultRowHeight="12.75" customHeight="1"/>
  <cols>
    <col min="1" max="1" width="6.140625" style="1" customWidth="1"/>
    <col min="2" max="2" width="6.5703125" style="2" customWidth="1"/>
    <col min="3" max="3" width="24.85546875" style="1" customWidth="1"/>
    <col min="4" max="4" width="7.5703125" style="1" customWidth="1"/>
    <col min="5" max="5" width="11.28515625" style="2" customWidth="1"/>
    <col min="6" max="6" width="21.85546875" style="2" customWidth="1"/>
    <col min="7" max="7" width="17.5703125" style="3" customWidth="1"/>
    <col min="8" max="8" width="15.140625" style="3" customWidth="1"/>
    <col min="9" max="9" width="14.42578125" style="2" customWidth="1"/>
    <col min="10" max="10" width="11.140625" style="4" customWidth="1"/>
    <col min="11" max="11" width="11.140625" style="5" customWidth="1"/>
    <col min="12" max="12" width="14.140625" style="5" customWidth="1"/>
    <col min="13" max="13" width="6.28515625" style="2" customWidth="1"/>
    <col min="14" max="14" width="12.28515625" style="3" customWidth="1"/>
    <col min="15" max="15" width="14.7109375" style="1" customWidth="1"/>
    <col min="16" max="16" width="9.7109375" style="2" customWidth="1"/>
    <col min="17" max="17" width="14.42578125" style="3" customWidth="1"/>
    <col min="18" max="18" width="16.140625" style="3" customWidth="1"/>
    <col min="19" max="19" width="11.85546875" style="3" customWidth="1"/>
    <col min="20" max="20" width="15.42578125" style="3" customWidth="1"/>
    <col min="21" max="21" width="12.28515625" style="3" customWidth="1"/>
    <col min="22" max="22" width="14.85546875" style="2" customWidth="1"/>
    <col min="23" max="23" width="24.5703125" style="2" customWidth="1"/>
    <col min="24" max="24" width="11.85546875" style="3" customWidth="1"/>
    <col min="25" max="25" width="12" style="2" customWidth="1"/>
    <col min="26" max="26" width="12.5703125" style="2" customWidth="1"/>
    <col min="27" max="27" width="14.5703125" style="3" customWidth="1"/>
    <col min="28" max="28" width="12.140625" style="3" customWidth="1"/>
    <col min="29" max="29" width="21" style="3" customWidth="1"/>
    <col min="30" max="30" width="20.28515625" style="3" customWidth="1"/>
    <col min="31" max="31" width="107.140625" style="3" customWidth="1"/>
    <col min="32" max="32" width="105.28515625" style="3" customWidth="1"/>
    <col min="33" max="33" width="15" style="6" customWidth="1"/>
    <col min="34" max="34" width="11.7109375" style="6" customWidth="1"/>
    <col min="35" max="35" width="5.85546875" style="6" customWidth="1"/>
    <col min="36" max="36" width="11.7109375" style="6" customWidth="1"/>
    <col min="37" max="37" width="23.28515625" style="6" customWidth="1"/>
    <col min="38" max="38" width="9.85546875" style="6" customWidth="1"/>
    <col min="39" max="39" width="8.5703125" style="6" customWidth="1"/>
    <col min="40" max="40" width="10" style="6" customWidth="1"/>
    <col min="41" max="41" width="7.140625" style="6" customWidth="1"/>
    <col min="42" max="42" width="13.140625" style="6" customWidth="1"/>
    <col min="43" max="43" width="8.7109375" style="6" customWidth="1"/>
    <col min="44" max="44" width="9" style="6" customWidth="1"/>
    <col min="45" max="45" width="8.42578125" style="6" customWidth="1"/>
    <col min="46" max="46" width="9.42578125" style="6" customWidth="1"/>
    <col min="47" max="16384" width="9.140625" style="1"/>
  </cols>
  <sheetData>
    <row r="1" spans="1:48" ht="18" customHeight="1" thickTop="1">
      <c r="A1" s="7" t="s">
        <v>0</v>
      </c>
      <c r="B1" s="8"/>
      <c r="C1" s="9"/>
      <c r="D1" s="9"/>
      <c r="E1" s="8"/>
      <c r="F1" s="8"/>
      <c r="G1" s="10"/>
      <c r="H1" s="10"/>
      <c r="I1" s="8"/>
      <c r="J1" s="11"/>
      <c r="K1" s="12"/>
      <c r="L1" s="12"/>
      <c r="M1" s="8"/>
      <c r="N1" s="10"/>
      <c r="O1" s="9"/>
      <c r="P1" s="8"/>
      <c r="Q1" s="10"/>
      <c r="R1" s="10"/>
      <c r="S1" s="10"/>
      <c r="T1" s="10"/>
      <c r="U1" s="10"/>
      <c r="V1" s="8"/>
      <c r="W1" s="8"/>
      <c r="X1" s="10"/>
      <c r="Y1" s="8"/>
      <c r="Z1" s="8"/>
      <c r="AA1" s="10"/>
      <c r="AB1" s="10"/>
      <c r="AC1" s="10"/>
      <c r="AD1" s="10"/>
      <c r="AE1" s="10"/>
      <c r="AF1" s="13"/>
      <c r="AG1" s="119" t="s">
        <v>1</v>
      </c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</row>
    <row r="2" spans="1:48" s="2" customFormat="1" ht="48">
      <c r="A2" s="14" t="s">
        <v>2</v>
      </c>
      <c r="B2" s="14" t="s">
        <v>3</v>
      </c>
      <c r="C2" s="14" t="s">
        <v>4</v>
      </c>
      <c r="D2" s="14" t="s">
        <v>5</v>
      </c>
      <c r="E2" s="14" t="s">
        <v>6</v>
      </c>
      <c r="F2" s="14" t="s">
        <v>7</v>
      </c>
      <c r="G2" s="14" t="s">
        <v>8</v>
      </c>
      <c r="H2" s="14" t="s">
        <v>9</v>
      </c>
      <c r="I2" s="14" t="s">
        <v>10</v>
      </c>
      <c r="J2" s="15" t="s">
        <v>11</v>
      </c>
      <c r="K2" s="16" t="s">
        <v>12</v>
      </c>
      <c r="L2" s="17" t="s">
        <v>13</v>
      </c>
      <c r="M2" s="14" t="s">
        <v>14</v>
      </c>
      <c r="N2" s="18" t="s">
        <v>15</v>
      </c>
      <c r="O2" s="14" t="s">
        <v>16</v>
      </c>
      <c r="P2" s="19" t="s">
        <v>17</v>
      </c>
      <c r="Q2" s="14" t="s">
        <v>18</v>
      </c>
      <c r="R2" s="14" t="s">
        <v>19</v>
      </c>
      <c r="S2" s="14" t="s">
        <v>20</v>
      </c>
      <c r="T2" s="14" t="s">
        <v>21</v>
      </c>
      <c r="U2" s="18" t="s">
        <v>22</v>
      </c>
      <c r="V2" s="14" t="s">
        <v>23</v>
      </c>
      <c r="W2" s="14" t="s">
        <v>24</v>
      </c>
      <c r="X2" s="18" t="s">
        <v>25</v>
      </c>
      <c r="Y2" s="14" t="s">
        <v>26</v>
      </c>
      <c r="Z2" s="14" t="s">
        <v>27</v>
      </c>
      <c r="AA2" s="18" t="s">
        <v>28</v>
      </c>
      <c r="AB2" s="18" t="s">
        <v>29</v>
      </c>
      <c r="AC2" s="18" t="s">
        <v>30</v>
      </c>
      <c r="AD2" s="18" t="s">
        <v>31</v>
      </c>
      <c r="AE2" s="19" t="s">
        <v>32</v>
      </c>
      <c r="AF2" s="19" t="s">
        <v>33</v>
      </c>
      <c r="AG2" s="19" t="s">
        <v>34</v>
      </c>
      <c r="AH2" s="19" t="s">
        <v>35</v>
      </c>
      <c r="AI2" s="19" t="s">
        <v>36</v>
      </c>
      <c r="AJ2" s="19" t="s">
        <v>37</v>
      </c>
      <c r="AK2" s="19" t="s">
        <v>38</v>
      </c>
      <c r="AL2" s="19" t="s">
        <v>39</v>
      </c>
      <c r="AM2" s="19" t="s">
        <v>40</v>
      </c>
      <c r="AN2" s="19" t="s">
        <v>41</v>
      </c>
      <c r="AO2" s="19" t="s">
        <v>42</v>
      </c>
      <c r="AP2" s="19" t="s">
        <v>43</v>
      </c>
      <c r="AQ2" s="19" t="s">
        <v>44</v>
      </c>
      <c r="AR2" s="19" t="s">
        <v>45</v>
      </c>
      <c r="AS2" s="19" t="s">
        <v>46</v>
      </c>
      <c r="AT2" s="19" t="s">
        <v>47</v>
      </c>
    </row>
    <row r="3" spans="1:48" ht="12.75" customHeight="1">
      <c r="A3" s="20">
        <v>1</v>
      </c>
      <c r="B3" s="21" t="s">
        <v>67</v>
      </c>
      <c r="C3" s="22" t="s">
        <v>68</v>
      </c>
      <c r="D3" s="20" t="s">
        <v>50</v>
      </c>
      <c r="E3" s="23" t="s">
        <v>51</v>
      </c>
      <c r="F3" s="23" t="s">
        <v>69</v>
      </c>
      <c r="G3" s="24" t="s">
        <v>53</v>
      </c>
      <c r="H3" s="24" t="s">
        <v>54</v>
      </c>
      <c r="I3" s="23"/>
      <c r="J3" s="25">
        <v>45479</v>
      </c>
      <c r="K3" s="26">
        <f t="shared" ref="K3:K28" ca="1" si="0">(TODAY()-J3)/365</f>
        <v>2.1232876712328768</v>
      </c>
      <c r="L3" s="27">
        <v>30507</v>
      </c>
      <c r="M3" s="28">
        <f t="shared" ref="M3:M28" ca="1" si="1">DATEDIF(L3,TODAY(),"y")</f>
        <v>43</v>
      </c>
      <c r="N3" s="29" t="s">
        <v>70</v>
      </c>
      <c r="O3" s="20"/>
      <c r="P3" s="53" t="s">
        <v>56</v>
      </c>
      <c r="Q3" s="24"/>
      <c r="R3" s="24" t="s">
        <v>71</v>
      </c>
      <c r="S3" s="22" t="s">
        <v>57</v>
      </c>
      <c r="T3" s="22" t="s">
        <v>72</v>
      </c>
      <c r="U3" s="65">
        <v>9159307901</v>
      </c>
      <c r="V3" s="21" t="s">
        <v>73</v>
      </c>
      <c r="W3" s="32"/>
      <c r="X3" s="33">
        <v>5610477443</v>
      </c>
      <c r="Y3" s="34" t="s">
        <v>74</v>
      </c>
      <c r="Z3" s="32"/>
      <c r="AA3" s="29" t="s">
        <v>75</v>
      </c>
      <c r="AB3" s="42" t="s">
        <v>76</v>
      </c>
      <c r="AC3" s="29" t="s">
        <v>77</v>
      </c>
      <c r="AD3" s="43" t="s">
        <v>78</v>
      </c>
      <c r="AE3" s="24" t="s">
        <v>79</v>
      </c>
      <c r="AF3" s="24" t="str">
        <f>VLOOKUP(B3,[1]Current!$B$2:$W$44,22,0)</f>
        <v>7/92/B, EZHIL NAGAR,RASIPALAYAM,UTHUPALAYAM ROAD,SULUR,COIMBATORE,TAMILNADU-641402</v>
      </c>
      <c r="AG3" s="37">
        <v>7060</v>
      </c>
      <c r="AH3" s="37">
        <v>8025</v>
      </c>
      <c r="AI3" s="38"/>
      <c r="AJ3" s="38"/>
      <c r="AK3" s="38"/>
      <c r="AL3" s="38">
        <v>15085</v>
      </c>
      <c r="AM3" s="38">
        <v>15000</v>
      </c>
      <c r="AN3" s="38">
        <f t="shared" ref="AN3:AN11" si="2">AM3*13%</f>
        <v>1950</v>
      </c>
      <c r="AO3" s="38">
        <f t="shared" ref="AO3:AO11" si="3">AL3*3.25%</f>
        <v>490.26249999999999</v>
      </c>
      <c r="AP3" s="38">
        <f t="shared" ref="AP3:AP11" si="4">AL3/12</f>
        <v>1257.0833333333333</v>
      </c>
      <c r="AQ3" s="38"/>
      <c r="AR3" s="39"/>
      <c r="AS3" s="40">
        <f t="shared" ref="AS3:AS28" si="5">AL3*8%</f>
        <v>1206.8</v>
      </c>
      <c r="AT3" s="38">
        <f t="shared" ref="AT3:AT28" si="6">AL3+AN3+AO3+AP3+AR3+AS3</f>
        <v>19989.145833333332</v>
      </c>
      <c r="AV3" s="41"/>
    </row>
    <row r="4" spans="1:48" ht="12.75" customHeight="1">
      <c r="A4" s="20">
        <f t="shared" ref="A4:A21" si="7">A3+1</f>
        <v>2</v>
      </c>
      <c r="B4" s="44" t="s">
        <v>80</v>
      </c>
      <c r="C4" s="45" t="s">
        <v>81</v>
      </c>
      <c r="D4" s="20" t="s">
        <v>82</v>
      </c>
      <c r="E4" s="23" t="s">
        <v>51</v>
      </c>
      <c r="F4" s="23" t="s">
        <v>83</v>
      </c>
      <c r="G4" s="24" t="s">
        <v>53</v>
      </c>
      <c r="H4" s="24" t="s">
        <v>54</v>
      </c>
      <c r="I4" s="23"/>
      <c r="J4" s="25">
        <v>45580</v>
      </c>
      <c r="K4" s="26">
        <f t="shared" ca="1" si="0"/>
        <v>1.8465753424657534</v>
      </c>
      <c r="L4" s="46">
        <v>36526</v>
      </c>
      <c r="M4" s="28">
        <f t="shared" ca="1" si="1"/>
        <v>26</v>
      </c>
      <c r="N4" s="22" t="s">
        <v>70</v>
      </c>
      <c r="O4" s="20"/>
      <c r="P4" s="53" t="s">
        <v>56</v>
      </c>
      <c r="Q4" s="24" t="s">
        <v>84</v>
      </c>
      <c r="R4" s="24" t="s">
        <v>85</v>
      </c>
      <c r="S4" s="22" t="s">
        <v>86</v>
      </c>
      <c r="T4" s="22"/>
      <c r="U4" s="103">
        <v>8144436031</v>
      </c>
      <c r="V4" s="21" t="s">
        <v>87</v>
      </c>
      <c r="W4" s="32"/>
      <c r="X4" s="33">
        <v>5610854294</v>
      </c>
      <c r="Y4" s="34" t="s">
        <v>88</v>
      </c>
      <c r="Z4" s="32"/>
      <c r="AA4" s="22" t="s">
        <v>89</v>
      </c>
      <c r="AB4" s="22" t="s">
        <v>63</v>
      </c>
      <c r="AC4" s="22" t="s">
        <v>64</v>
      </c>
      <c r="AD4" s="22" t="s">
        <v>65</v>
      </c>
      <c r="AE4" s="24" t="s">
        <v>90</v>
      </c>
      <c r="AF4" s="24" t="str">
        <f>VLOOKUP(B4,[1]Current!$B$2:$W$44,22,0)</f>
        <v>KARADAPAL, DHORADIAMBA, KENDUJHAR, ODISHA-758080</v>
      </c>
      <c r="AG4" s="37">
        <v>7060</v>
      </c>
      <c r="AH4" s="37">
        <v>8025</v>
      </c>
      <c r="AI4" s="38"/>
      <c r="AJ4" s="38"/>
      <c r="AK4" s="38"/>
      <c r="AL4" s="38">
        <v>15085</v>
      </c>
      <c r="AM4" s="38">
        <v>15000</v>
      </c>
      <c r="AN4" s="38">
        <f t="shared" si="2"/>
        <v>1950</v>
      </c>
      <c r="AO4" s="38">
        <f t="shared" si="3"/>
        <v>490.26249999999999</v>
      </c>
      <c r="AP4" s="38">
        <f t="shared" si="4"/>
        <v>1257.0833333333333</v>
      </c>
      <c r="AQ4" s="38"/>
      <c r="AR4" s="39"/>
      <c r="AS4" s="40">
        <f t="shared" si="5"/>
        <v>1206.8</v>
      </c>
      <c r="AT4" s="38">
        <f t="shared" si="6"/>
        <v>19989.145833333332</v>
      </c>
      <c r="AV4" s="41"/>
    </row>
    <row r="5" spans="1:48" ht="12.75" customHeight="1">
      <c r="A5" s="20">
        <f t="shared" si="7"/>
        <v>3</v>
      </c>
      <c r="B5" s="21" t="s">
        <v>91</v>
      </c>
      <c r="C5" s="22" t="s">
        <v>92</v>
      </c>
      <c r="D5" s="20" t="s">
        <v>50</v>
      </c>
      <c r="E5" s="23" t="s">
        <v>51</v>
      </c>
      <c r="F5" s="23" t="s">
        <v>69</v>
      </c>
      <c r="G5" s="24" t="s">
        <v>53</v>
      </c>
      <c r="H5" s="24" t="s">
        <v>54</v>
      </c>
      <c r="I5" s="23"/>
      <c r="J5" s="25">
        <v>45610</v>
      </c>
      <c r="K5" s="26">
        <f t="shared" ca="1" si="0"/>
        <v>1.7643835616438357</v>
      </c>
      <c r="L5" s="46">
        <v>31048</v>
      </c>
      <c r="M5" s="28">
        <f t="shared" ca="1" si="1"/>
        <v>41</v>
      </c>
      <c r="N5" s="22" t="s">
        <v>93</v>
      </c>
      <c r="O5" s="20"/>
      <c r="P5" s="53" t="s">
        <v>56</v>
      </c>
      <c r="Q5" s="24"/>
      <c r="R5" s="24"/>
      <c r="S5" s="22" t="s">
        <v>94</v>
      </c>
      <c r="T5" s="22" t="s">
        <v>95</v>
      </c>
      <c r="U5" s="103">
        <v>9087726886</v>
      </c>
      <c r="V5" s="21" t="s">
        <v>96</v>
      </c>
      <c r="W5" s="32"/>
      <c r="X5" s="33">
        <v>5610900513</v>
      </c>
      <c r="Y5" s="34" t="s">
        <v>97</v>
      </c>
      <c r="Z5" s="32"/>
      <c r="AA5" s="22" t="s">
        <v>98</v>
      </c>
      <c r="AB5" s="22" t="s">
        <v>99</v>
      </c>
      <c r="AC5" s="22" t="s">
        <v>100</v>
      </c>
      <c r="AD5" s="22" t="s">
        <v>101</v>
      </c>
      <c r="AE5" s="24" t="s">
        <v>102</v>
      </c>
      <c r="AF5" s="24" t="str">
        <f>VLOOKUP(B5,[1]Current!$B$2:$W$44,22,0)</f>
        <v>4/52, VINAYAGAR KOVIL STREET, ARUGAMPALAYAM, RASIPALAYAM, COIMBATORE, TAMILNADU-641402</v>
      </c>
      <c r="AG5" s="37">
        <v>7060</v>
      </c>
      <c r="AH5" s="37">
        <v>8025</v>
      </c>
      <c r="AI5" s="38"/>
      <c r="AJ5" s="38"/>
      <c r="AK5" s="38"/>
      <c r="AL5" s="38">
        <v>15085</v>
      </c>
      <c r="AM5" s="38">
        <v>15000</v>
      </c>
      <c r="AN5" s="38">
        <f t="shared" si="2"/>
        <v>1950</v>
      </c>
      <c r="AO5" s="38">
        <f t="shared" si="3"/>
        <v>490.26249999999999</v>
      </c>
      <c r="AP5" s="38">
        <f t="shared" si="4"/>
        <v>1257.0833333333333</v>
      </c>
      <c r="AQ5" s="38"/>
      <c r="AR5" s="39"/>
      <c r="AS5" s="40">
        <f t="shared" si="5"/>
        <v>1206.8</v>
      </c>
      <c r="AT5" s="38">
        <f t="shared" si="6"/>
        <v>19989.145833333332</v>
      </c>
      <c r="AV5" s="41"/>
    </row>
    <row r="6" spans="1:48" ht="12.75" customHeight="1">
      <c r="A6" s="20">
        <f t="shared" si="7"/>
        <v>4</v>
      </c>
      <c r="B6" s="47" t="s">
        <v>103</v>
      </c>
      <c r="C6" s="33" t="s">
        <v>104</v>
      </c>
      <c r="D6" s="20" t="s">
        <v>50</v>
      </c>
      <c r="E6" s="23" t="s">
        <v>51</v>
      </c>
      <c r="F6" s="23" t="s">
        <v>105</v>
      </c>
      <c r="G6" s="24" t="s">
        <v>53</v>
      </c>
      <c r="H6" s="24" t="s">
        <v>54</v>
      </c>
      <c r="I6" s="23"/>
      <c r="J6" s="25">
        <v>45966</v>
      </c>
      <c r="K6" s="26">
        <f t="shared" ca="1" si="0"/>
        <v>0.78904109589041094</v>
      </c>
      <c r="L6" s="27">
        <v>32178</v>
      </c>
      <c r="M6" s="28">
        <f t="shared" ca="1" si="1"/>
        <v>38</v>
      </c>
      <c r="N6" s="29" t="s">
        <v>106</v>
      </c>
      <c r="O6" s="20"/>
      <c r="P6" s="53" t="s">
        <v>56</v>
      </c>
      <c r="Q6" s="24"/>
      <c r="R6" s="24"/>
      <c r="S6" s="22" t="s">
        <v>57</v>
      </c>
      <c r="T6" s="22" t="s">
        <v>107</v>
      </c>
      <c r="U6" s="47">
        <v>7373155745</v>
      </c>
      <c r="V6" s="48" t="s">
        <v>108</v>
      </c>
      <c r="W6" s="32"/>
      <c r="X6" s="33">
        <v>5610654409</v>
      </c>
      <c r="Y6" s="34" t="s">
        <v>109</v>
      </c>
      <c r="Z6" s="32"/>
      <c r="AA6" s="22" t="s">
        <v>110</v>
      </c>
      <c r="AB6" s="22" t="s">
        <v>111</v>
      </c>
      <c r="AC6" s="33" t="s">
        <v>112</v>
      </c>
      <c r="AD6" s="22" t="s">
        <v>113</v>
      </c>
      <c r="AE6" s="24" t="s">
        <v>114</v>
      </c>
      <c r="AF6" s="24" t="str">
        <f>VLOOKUP(B6,[1]Current!$B$2:$W$44,22,0)</f>
        <v>190A THOTTIPALAYAM,KARAVALLIMADAPPUR,COIMBATORE,TAMILNADU-641 668</v>
      </c>
      <c r="AG6" s="37">
        <v>7060</v>
      </c>
      <c r="AH6" s="37">
        <v>8025</v>
      </c>
      <c r="AI6" s="38"/>
      <c r="AJ6" s="38"/>
      <c r="AK6" s="38"/>
      <c r="AL6" s="38">
        <v>15085</v>
      </c>
      <c r="AM6" s="38">
        <v>15000</v>
      </c>
      <c r="AN6" s="38">
        <f t="shared" si="2"/>
        <v>1950</v>
      </c>
      <c r="AO6" s="38">
        <f t="shared" si="3"/>
        <v>490.26249999999999</v>
      </c>
      <c r="AP6" s="38">
        <f t="shared" si="4"/>
        <v>1257.0833333333333</v>
      </c>
      <c r="AQ6" s="38"/>
      <c r="AR6" s="39"/>
      <c r="AS6" s="40">
        <f t="shared" si="5"/>
        <v>1206.8</v>
      </c>
      <c r="AT6" s="38">
        <f t="shared" si="6"/>
        <v>19989.145833333332</v>
      </c>
      <c r="AV6" s="41"/>
    </row>
    <row r="7" spans="1:48" ht="12.75" customHeight="1">
      <c r="A7" s="20">
        <f t="shared" si="7"/>
        <v>5</v>
      </c>
      <c r="B7" s="21" t="s">
        <v>115</v>
      </c>
      <c r="C7" s="30" t="s">
        <v>116</v>
      </c>
      <c r="D7" s="30" t="s">
        <v>117</v>
      </c>
      <c r="E7" s="23" t="s">
        <v>51</v>
      </c>
      <c r="F7" s="21" t="s">
        <v>83</v>
      </c>
      <c r="G7" s="30" t="s">
        <v>118</v>
      </c>
      <c r="H7" s="24" t="s">
        <v>54</v>
      </c>
      <c r="I7" s="21"/>
      <c r="J7" s="49">
        <v>45919</v>
      </c>
      <c r="K7" s="26">
        <f t="shared" ca="1" si="0"/>
        <v>0.9178082191780822</v>
      </c>
      <c r="L7" s="50">
        <v>29410</v>
      </c>
      <c r="M7" s="51">
        <f t="shared" ca="1" si="1"/>
        <v>46</v>
      </c>
      <c r="N7" s="22" t="s">
        <v>119</v>
      </c>
      <c r="O7" s="52"/>
      <c r="P7" s="53" t="s">
        <v>56</v>
      </c>
      <c r="Q7" s="22"/>
      <c r="R7" s="22"/>
      <c r="S7" s="22" t="s">
        <v>57</v>
      </c>
      <c r="T7" s="22" t="s">
        <v>120</v>
      </c>
      <c r="U7" s="47">
        <v>8148865845</v>
      </c>
      <c r="V7" s="47" t="s">
        <v>121</v>
      </c>
      <c r="W7" s="21"/>
      <c r="X7" s="33">
        <v>5611161938</v>
      </c>
      <c r="Y7" s="34" t="s">
        <v>122</v>
      </c>
      <c r="Z7" s="21"/>
      <c r="AA7" s="22" t="s">
        <v>123</v>
      </c>
      <c r="AB7" s="22" t="s">
        <v>124</v>
      </c>
      <c r="AC7" s="22" t="s">
        <v>100</v>
      </c>
      <c r="AD7" s="22" t="s">
        <v>125</v>
      </c>
      <c r="AE7" s="24" t="s">
        <v>126</v>
      </c>
      <c r="AF7" s="24" t="str">
        <f>VLOOKUP(B7,[1]Current!$B$2:$W$44,22,0)</f>
        <v>2/174, Kurumbapalayam, Kurumbapalayam, , PO:MUTHUGOUDANPUDUR, DIST: Coimbatore, Tamil Nadu -641402</v>
      </c>
      <c r="AG7" s="37">
        <v>7060</v>
      </c>
      <c r="AH7" s="37">
        <v>8025</v>
      </c>
      <c r="AI7" s="39"/>
      <c r="AJ7" s="39"/>
      <c r="AK7" s="39"/>
      <c r="AL7" s="38">
        <v>15085</v>
      </c>
      <c r="AM7" s="38">
        <v>15000</v>
      </c>
      <c r="AN7" s="38">
        <f t="shared" si="2"/>
        <v>1950</v>
      </c>
      <c r="AO7" s="38">
        <f t="shared" si="3"/>
        <v>490.26249999999999</v>
      </c>
      <c r="AP7" s="38">
        <f t="shared" si="4"/>
        <v>1257.0833333333333</v>
      </c>
      <c r="AQ7" s="39"/>
      <c r="AR7" s="39"/>
      <c r="AS7" s="40">
        <f t="shared" si="5"/>
        <v>1206.8</v>
      </c>
      <c r="AT7" s="38">
        <f t="shared" si="6"/>
        <v>19989.145833333332</v>
      </c>
    </row>
    <row r="8" spans="1:48" ht="12.75" customHeight="1">
      <c r="A8" s="20">
        <f t="shared" si="7"/>
        <v>6</v>
      </c>
      <c r="B8" s="28" t="s">
        <v>134</v>
      </c>
      <c r="C8" s="20" t="s">
        <v>135</v>
      </c>
      <c r="D8" s="20" t="s">
        <v>50</v>
      </c>
      <c r="E8" s="23" t="s">
        <v>51</v>
      </c>
      <c r="F8" s="23" t="s">
        <v>136</v>
      </c>
      <c r="G8" s="24" t="s">
        <v>53</v>
      </c>
      <c r="H8" s="30" t="s">
        <v>54</v>
      </c>
      <c r="I8" s="23"/>
      <c r="J8" s="27">
        <v>46071</v>
      </c>
      <c r="K8" s="26">
        <f t="shared" ca="1" si="0"/>
        <v>0.50136986301369868</v>
      </c>
      <c r="L8" s="27">
        <v>35508</v>
      </c>
      <c r="M8" s="28">
        <f t="shared" ca="1" si="1"/>
        <v>29</v>
      </c>
      <c r="N8" s="24" t="s">
        <v>106</v>
      </c>
      <c r="O8" s="20"/>
      <c r="P8" s="53" t="s">
        <v>56</v>
      </c>
      <c r="Q8" s="20"/>
      <c r="R8" s="24"/>
      <c r="S8" s="20" t="s">
        <v>57</v>
      </c>
      <c r="T8" s="20" t="s">
        <v>137</v>
      </c>
      <c r="U8" s="47">
        <v>8438689264</v>
      </c>
      <c r="V8" s="34" t="s">
        <v>138</v>
      </c>
      <c r="W8" s="34"/>
      <c r="X8" s="33">
        <v>5611364303</v>
      </c>
      <c r="Y8" s="34" t="s">
        <v>139</v>
      </c>
      <c r="Z8" s="34"/>
      <c r="AA8" s="33" t="s">
        <v>140</v>
      </c>
      <c r="AB8" s="33" t="s">
        <v>141</v>
      </c>
      <c r="AC8" s="33" t="s">
        <v>142</v>
      </c>
      <c r="AD8" s="33" t="s">
        <v>136</v>
      </c>
      <c r="AE8" s="20" t="s">
        <v>143</v>
      </c>
      <c r="AF8" s="20" t="s">
        <v>143</v>
      </c>
      <c r="AG8" s="37">
        <v>7060</v>
      </c>
      <c r="AH8" s="37">
        <v>8025</v>
      </c>
      <c r="AI8" s="38"/>
      <c r="AJ8" s="38"/>
      <c r="AK8" s="38"/>
      <c r="AL8" s="38">
        <v>15085</v>
      </c>
      <c r="AM8" s="38">
        <v>15000</v>
      </c>
      <c r="AN8" s="38">
        <f t="shared" si="2"/>
        <v>1950</v>
      </c>
      <c r="AO8" s="38">
        <f t="shared" si="3"/>
        <v>490.26249999999999</v>
      </c>
      <c r="AP8" s="38">
        <f t="shared" si="4"/>
        <v>1257.0833333333333</v>
      </c>
      <c r="AQ8" s="38"/>
      <c r="AR8" s="39"/>
      <c r="AS8" s="40">
        <f t="shared" si="5"/>
        <v>1206.8</v>
      </c>
      <c r="AT8" s="38">
        <f t="shared" si="6"/>
        <v>19989.145833333332</v>
      </c>
    </row>
    <row r="9" spans="1:48" ht="12.75" customHeight="1">
      <c r="A9" s="20">
        <f t="shared" si="7"/>
        <v>7</v>
      </c>
      <c r="B9" s="28" t="s">
        <v>144</v>
      </c>
      <c r="C9" s="20" t="s">
        <v>145</v>
      </c>
      <c r="D9" s="20" t="s">
        <v>50</v>
      </c>
      <c r="E9" s="23" t="s">
        <v>51</v>
      </c>
      <c r="F9" s="23" t="s">
        <v>105</v>
      </c>
      <c r="G9" s="24" t="s">
        <v>53</v>
      </c>
      <c r="H9" s="30" t="s">
        <v>54</v>
      </c>
      <c r="I9" s="23"/>
      <c r="J9" s="27">
        <v>46071</v>
      </c>
      <c r="K9" s="26">
        <f t="shared" ca="1" si="0"/>
        <v>0.50136986301369868</v>
      </c>
      <c r="L9" s="27">
        <v>33823</v>
      </c>
      <c r="M9" s="28">
        <f t="shared" ca="1" si="1"/>
        <v>34</v>
      </c>
      <c r="N9" s="24"/>
      <c r="O9" s="20"/>
      <c r="P9" s="53" t="s">
        <v>56</v>
      </c>
      <c r="Q9" s="20"/>
      <c r="R9" s="24" t="s">
        <v>146</v>
      </c>
      <c r="S9" s="20" t="s">
        <v>94</v>
      </c>
      <c r="T9" s="20" t="s">
        <v>147</v>
      </c>
      <c r="U9" s="47">
        <v>9095732300</v>
      </c>
      <c r="V9" s="34" t="s">
        <v>148</v>
      </c>
      <c r="W9" s="34"/>
      <c r="X9" s="33">
        <v>5611281667</v>
      </c>
      <c r="Y9" s="34" t="s">
        <v>149</v>
      </c>
      <c r="Z9" s="34"/>
      <c r="AA9" s="33" t="s">
        <v>150</v>
      </c>
      <c r="AB9" s="33" t="s">
        <v>151</v>
      </c>
      <c r="AC9" s="33" t="s">
        <v>152</v>
      </c>
      <c r="AD9" s="33" t="s">
        <v>153</v>
      </c>
      <c r="AE9" s="20" t="s">
        <v>154</v>
      </c>
      <c r="AF9" s="20" t="s">
        <v>154</v>
      </c>
      <c r="AG9" s="37">
        <v>7060</v>
      </c>
      <c r="AH9" s="37">
        <v>8025</v>
      </c>
      <c r="AI9" s="38"/>
      <c r="AJ9" s="38"/>
      <c r="AK9" s="38"/>
      <c r="AL9" s="38">
        <v>15085</v>
      </c>
      <c r="AM9" s="38">
        <v>15000</v>
      </c>
      <c r="AN9" s="38">
        <f t="shared" si="2"/>
        <v>1950</v>
      </c>
      <c r="AO9" s="38">
        <f t="shared" si="3"/>
        <v>490.26249999999999</v>
      </c>
      <c r="AP9" s="38">
        <f t="shared" si="4"/>
        <v>1257.0833333333333</v>
      </c>
      <c r="AQ9" s="38"/>
      <c r="AR9" s="39"/>
      <c r="AS9" s="40">
        <f t="shared" si="5"/>
        <v>1206.8</v>
      </c>
      <c r="AT9" s="38">
        <f t="shared" si="6"/>
        <v>19989.145833333332</v>
      </c>
    </row>
    <row r="10" spans="1:48" ht="12.75" customHeight="1">
      <c r="A10" s="20">
        <f t="shared" si="7"/>
        <v>8</v>
      </c>
      <c r="B10" s="28" t="s">
        <v>155</v>
      </c>
      <c r="C10" s="20" t="s">
        <v>156</v>
      </c>
      <c r="D10" s="20" t="s">
        <v>50</v>
      </c>
      <c r="E10" s="23" t="s">
        <v>51</v>
      </c>
      <c r="F10" s="23" t="s">
        <v>83</v>
      </c>
      <c r="G10" s="24" t="s">
        <v>53</v>
      </c>
      <c r="H10" s="30" t="s">
        <v>54</v>
      </c>
      <c r="I10" s="23"/>
      <c r="J10" s="27">
        <v>46071</v>
      </c>
      <c r="K10" s="26">
        <f t="shared" ca="1" si="0"/>
        <v>0.50136986301369868</v>
      </c>
      <c r="L10" s="27">
        <v>35753</v>
      </c>
      <c r="M10" s="28">
        <f t="shared" ca="1" si="1"/>
        <v>28</v>
      </c>
      <c r="N10" s="24" t="s">
        <v>106</v>
      </c>
      <c r="O10" s="20"/>
      <c r="P10" s="53" t="s">
        <v>56</v>
      </c>
      <c r="Q10" s="20"/>
      <c r="R10" s="24"/>
      <c r="S10" s="20" t="s">
        <v>94</v>
      </c>
      <c r="T10" s="20" t="s">
        <v>157</v>
      </c>
      <c r="U10" s="47">
        <v>8248087395</v>
      </c>
      <c r="V10" s="34" t="s">
        <v>158</v>
      </c>
      <c r="W10" s="34"/>
      <c r="X10" s="33">
        <v>5610900530</v>
      </c>
      <c r="Y10" s="34" t="s">
        <v>159</v>
      </c>
      <c r="Z10" s="34"/>
      <c r="AA10" s="33" t="s">
        <v>160</v>
      </c>
      <c r="AB10" s="33" t="s">
        <v>161</v>
      </c>
      <c r="AC10" s="33" t="s">
        <v>162</v>
      </c>
      <c r="AD10" s="33" t="s">
        <v>78</v>
      </c>
      <c r="AE10" s="20" t="s">
        <v>163</v>
      </c>
      <c r="AF10" s="20" t="s">
        <v>164</v>
      </c>
      <c r="AG10" s="37">
        <v>7060</v>
      </c>
      <c r="AH10" s="37">
        <v>8025</v>
      </c>
      <c r="AI10" s="38"/>
      <c r="AJ10" s="38"/>
      <c r="AK10" s="38"/>
      <c r="AL10" s="38">
        <v>15085</v>
      </c>
      <c r="AM10" s="38">
        <v>15000</v>
      </c>
      <c r="AN10" s="38">
        <f t="shared" si="2"/>
        <v>1950</v>
      </c>
      <c r="AO10" s="38">
        <f t="shared" si="3"/>
        <v>490.26249999999999</v>
      </c>
      <c r="AP10" s="38">
        <f t="shared" si="4"/>
        <v>1257.0833333333333</v>
      </c>
      <c r="AQ10" s="38"/>
      <c r="AR10" s="39"/>
      <c r="AS10" s="40">
        <f t="shared" si="5"/>
        <v>1206.8</v>
      </c>
      <c r="AT10" s="38">
        <f t="shared" si="6"/>
        <v>19989.145833333332</v>
      </c>
    </row>
    <row r="11" spans="1:48" ht="12.75" customHeight="1">
      <c r="A11" s="20">
        <f t="shared" si="7"/>
        <v>9</v>
      </c>
      <c r="B11" s="28" t="s">
        <v>165</v>
      </c>
      <c r="C11" s="20" t="s">
        <v>166</v>
      </c>
      <c r="D11" s="20" t="s">
        <v>50</v>
      </c>
      <c r="E11" s="23" t="s">
        <v>51</v>
      </c>
      <c r="F11" s="23" t="s">
        <v>167</v>
      </c>
      <c r="G11" s="24" t="s">
        <v>53</v>
      </c>
      <c r="H11" s="30" t="s">
        <v>54</v>
      </c>
      <c r="I11" s="23"/>
      <c r="J11" s="27">
        <v>46071</v>
      </c>
      <c r="K11" s="26">
        <f t="shared" ca="1" si="0"/>
        <v>0.50136986301369868</v>
      </c>
      <c r="L11" s="27">
        <v>29007</v>
      </c>
      <c r="M11" s="28">
        <f t="shared" ca="1" si="1"/>
        <v>47</v>
      </c>
      <c r="N11" s="24" t="s">
        <v>119</v>
      </c>
      <c r="O11" s="20"/>
      <c r="P11" s="53" t="s">
        <v>56</v>
      </c>
      <c r="Q11" s="24"/>
      <c r="R11" s="24" t="s">
        <v>168</v>
      </c>
      <c r="S11" s="20" t="s">
        <v>94</v>
      </c>
      <c r="T11" s="20" t="s">
        <v>169</v>
      </c>
      <c r="U11" s="47">
        <v>9942813416</v>
      </c>
      <c r="V11" s="34" t="s">
        <v>170</v>
      </c>
      <c r="W11" s="34"/>
      <c r="X11" s="33">
        <v>5610945247</v>
      </c>
      <c r="Y11" s="34" t="s">
        <v>171</v>
      </c>
      <c r="Z11" s="34"/>
      <c r="AA11" s="33" t="s">
        <v>172</v>
      </c>
      <c r="AB11" s="33" t="s">
        <v>173</v>
      </c>
      <c r="AC11" s="33" t="s">
        <v>174</v>
      </c>
      <c r="AD11" s="33" t="s">
        <v>113</v>
      </c>
      <c r="AE11" s="20" t="s">
        <v>175</v>
      </c>
      <c r="AF11" s="20" t="s">
        <v>176</v>
      </c>
      <c r="AG11" s="37">
        <v>7060</v>
      </c>
      <c r="AH11" s="37">
        <v>8025</v>
      </c>
      <c r="AI11" s="38"/>
      <c r="AJ11" s="38"/>
      <c r="AK11" s="38"/>
      <c r="AL11" s="38">
        <v>15085</v>
      </c>
      <c r="AM11" s="38">
        <v>15000</v>
      </c>
      <c r="AN11" s="38">
        <f t="shared" si="2"/>
        <v>1950</v>
      </c>
      <c r="AO11" s="38">
        <f t="shared" si="3"/>
        <v>490.26249999999999</v>
      </c>
      <c r="AP11" s="38">
        <f t="shared" si="4"/>
        <v>1257.0833333333333</v>
      </c>
      <c r="AQ11" s="38"/>
      <c r="AR11" s="39"/>
      <c r="AS11" s="40">
        <f t="shared" si="5"/>
        <v>1206.8</v>
      </c>
      <c r="AT11" s="38">
        <f t="shared" si="6"/>
        <v>19989.145833333332</v>
      </c>
    </row>
    <row r="12" spans="1:48" ht="12.75" customHeight="1">
      <c r="A12" s="20">
        <f t="shared" si="7"/>
        <v>10</v>
      </c>
      <c r="B12" s="28" t="s">
        <v>177</v>
      </c>
      <c r="C12" s="20" t="s">
        <v>178</v>
      </c>
      <c r="D12" s="20" t="s">
        <v>50</v>
      </c>
      <c r="E12" s="23" t="s">
        <v>51</v>
      </c>
      <c r="F12" s="23" t="s">
        <v>69</v>
      </c>
      <c r="G12" s="24" t="s">
        <v>53</v>
      </c>
      <c r="H12" s="30" t="s">
        <v>54</v>
      </c>
      <c r="I12" s="23"/>
      <c r="J12" s="27">
        <v>46092</v>
      </c>
      <c r="K12" s="26">
        <f t="shared" ca="1" si="0"/>
        <v>0.44383561643835617</v>
      </c>
      <c r="L12" s="27">
        <v>34416</v>
      </c>
      <c r="M12" s="28">
        <f t="shared" ca="1" si="1"/>
        <v>32</v>
      </c>
      <c r="N12" s="24" t="s">
        <v>106</v>
      </c>
      <c r="O12" s="20"/>
      <c r="P12" s="53" t="s">
        <v>56</v>
      </c>
      <c r="Q12" s="24" t="s">
        <v>179</v>
      </c>
      <c r="R12" s="24" t="s">
        <v>180</v>
      </c>
      <c r="S12" s="20" t="s">
        <v>57</v>
      </c>
      <c r="T12" s="20" t="s">
        <v>181</v>
      </c>
      <c r="U12" s="47">
        <v>9360726906</v>
      </c>
      <c r="V12" s="34" t="s">
        <v>182</v>
      </c>
      <c r="W12" s="34"/>
      <c r="X12" s="33">
        <v>5606123921</v>
      </c>
      <c r="Y12" s="34" t="s">
        <v>183</v>
      </c>
      <c r="Z12" s="34"/>
      <c r="AA12" s="33" t="s">
        <v>184</v>
      </c>
      <c r="AB12" s="33" t="s">
        <v>124</v>
      </c>
      <c r="AC12" s="33" t="s">
        <v>100</v>
      </c>
      <c r="AD12" s="33" t="s">
        <v>125</v>
      </c>
      <c r="AE12" s="20" t="s">
        <v>185</v>
      </c>
      <c r="AF12" s="20" t="s">
        <v>185</v>
      </c>
      <c r="AG12" s="54">
        <v>7060</v>
      </c>
      <c r="AH12" s="37">
        <v>8025</v>
      </c>
      <c r="AI12" s="38"/>
      <c r="AJ12" s="38"/>
      <c r="AK12" s="38"/>
      <c r="AL12" s="38">
        <v>15085</v>
      </c>
      <c r="AM12" s="38">
        <v>15000</v>
      </c>
      <c r="AN12" s="38">
        <v>1950</v>
      </c>
      <c r="AO12" s="38">
        <v>488.83249999999998</v>
      </c>
      <c r="AP12" s="38">
        <v>1253.4166666666699</v>
      </c>
      <c r="AQ12" s="38"/>
      <c r="AR12" s="39"/>
      <c r="AS12" s="40">
        <f t="shared" si="5"/>
        <v>1206.8</v>
      </c>
      <c r="AT12" s="38">
        <f t="shared" si="6"/>
        <v>19984.049166666671</v>
      </c>
      <c r="AV12" s="41"/>
    </row>
    <row r="13" spans="1:48" ht="12.75" customHeight="1">
      <c r="A13" s="20">
        <f t="shared" si="7"/>
        <v>11</v>
      </c>
      <c r="B13" s="28" t="s">
        <v>186</v>
      </c>
      <c r="C13" s="20" t="s">
        <v>187</v>
      </c>
      <c r="D13" s="20" t="s">
        <v>50</v>
      </c>
      <c r="E13" s="23" t="s">
        <v>51</v>
      </c>
      <c r="F13" s="23" t="s">
        <v>105</v>
      </c>
      <c r="G13" s="24" t="s">
        <v>53</v>
      </c>
      <c r="H13" s="30" t="s">
        <v>54</v>
      </c>
      <c r="I13" s="23"/>
      <c r="J13" s="27">
        <v>46097</v>
      </c>
      <c r="K13" s="26">
        <f t="shared" ca="1" si="0"/>
        <v>0.43013698630136987</v>
      </c>
      <c r="L13" s="27">
        <v>37678</v>
      </c>
      <c r="M13" s="28">
        <f t="shared" ca="1" si="1"/>
        <v>23</v>
      </c>
      <c r="N13" s="24" t="s">
        <v>106</v>
      </c>
      <c r="O13" s="20"/>
      <c r="P13" s="53" t="s">
        <v>56</v>
      </c>
      <c r="Q13" s="24" t="s">
        <v>188</v>
      </c>
      <c r="R13" s="24" t="s">
        <v>189</v>
      </c>
      <c r="S13" s="20" t="s">
        <v>86</v>
      </c>
      <c r="T13" s="20"/>
      <c r="U13" s="47">
        <v>9629432693</v>
      </c>
      <c r="V13" s="34" t="s">
        <v>190</v>
      </c>
      <c r="W13" s="34"/>
      <c r="X13" s="33">
        <v>5611364305</v>
      </c>
      <c r="Y13" s="34" t="s">
        <v>191</v>
      </c>
      <c r="Z13" s="34"/>
      <c r="AA13" s="33" t="s">
        <v>192</v>
      </c>
      <c r="AB13" s="33" t="s">
        <v>99</v>
      </c>
      <c r="AC13" s="33" t="s">
        <v>100</v>
      </c>
      <c r="AD13" s="33" t="s">
        <v>101</v>
      </c>
      <c r="AE13" s="20" t="s">
        <v>193</v>
      </c>
      <c r="AF13" s="20" t="s">
        <v>193</v>
      </c>
      <c r="AG13" s="54">
        <v>7060</v>
      </c>
      <c r="AH13" s="37">
        <v>8025</v>
      </c>
      <c r="AI13" s="38"/>
      <c r="AJ13" s="38"/>
      <c r="AK13" s="38"/>
      <c r="AL13" s="38">
        <v>15085</v>
      </c>
      <c r="AM13" s="38">
        <v>15000</v>
      </c>
      <c r="AN13" s="38">
        <v>1950</v>
      </c>
      <c r="AO13" s="38">
        <v>488.83249999999998</v>
      </c>
      <c r="AP13" s="38">
        <v>1253.4166666666699</v>
      </c>
      <c r="AQ13" s="38"/>
      <c r="AR13" s="39"/>
      <c r="AS13" s="40">
        <f t="shared" si="5"/>
        <v>1206.8</v>
      </c>
      <c r="AT13" s="38">
        <f t="shared" si="6"/>
        <v>19984.049166666671</v>
      </c>
      <c r="AV13" s="41"/>
    </row>
    <row r="14" spans="1:48" ht="12.75" customHeight="1">
      <c r="A14" s="20">
        <f t="shared" si="7"/>
        <v>12</v>
      </c>
      <c r="B14" s="28" t="s">
        <v>194</v>
      </c>
      <c r="C14" s="20" t="s">
        <v>195</v>
      </c>
      <c r="D14" s="20" t="s">
        <v>50</v>
      </c>
      <c r="E14" s="23" t="s">
        <v>51</v>
      </c>
      <c r="F14" s="23" t="s">
        <v>196</v>
      </c>
      <c r="G14" s="24" t="s">
        <v>53</v>
      </c>
      <c r="H14" s="30" t="s">
        <v>54</v>
      </c>
      <c r="I14" s="23"/>
      <c r="J14" s="27">
        <v>46097</v>
      </c>
      <c r="K14" s="26">
        <f t="shared" ca="1" si="0"/>
        <v>0.43013698630136987</v>
      </c>
      <c r="L14" s="27">
        <v>34470</v>
      </c>
      <c r="M14" s="28">
        <f t="shared" ca="1" si="1"/>
        <v>32</v>
      </c>
      <c r="N14" s="24" t="s">
        <v>106</v>
      </c>
      <c r="O14" s="20"/>
      <c r="P14" s="53" t="s">
        <v>56</v>
      </c>
      <c r="Q14" s="24" t="s">
        <v>197</v>
      </c>
      <c r="R14" s="24" t="s">
        <v>198</v>
      </c>
      <c r="S14" s="20" t="s">
        <v>57</v>
      </c>
      <c r="T14" s="20" t="s">
        <v>199</v>
      </c>
      <c r="U14" s="47">
        <v>9489680178</v>
      </c>
      <c r="V14" s="34" t="s">
        <v>200</v>
      </c>
      <c r="W14" s="34"/>
      <c r="X14" s="33">
        <v>5611450926</v>
      </c>
      <c r="Y14" s="34" t="s">
        <v>201</v>
      </c>
      <c r="Z14" s="34"/>
      <c r="AA14" s="33" t="s">
        <v>202</v>
      </c>
      <c r="AB14" s="33" t="s">
        <v>99</v>
      </c>
      <c r="AC14" s="33" t="s">
        <v>100</v>
      </c>
      <c r="AD14" s="33" t="s">
        <v>101</v>
      </c>
      <c r="AE14" s="20" t="s">
        <v>203</v>
      </c>
      <c r="AF14" s="20" t="s">
        <v>203</v>
      </c>
      <c r="AG14" s="54">
        <v>7060</v>
      </c>
      <c r="AH14" s="37">
        <v>8025</v>
      </c>
      <c r="AI14" s="38"/>
      <c r="AJ14" s="38"/>
      <c r="AK14" s="38"/>
      <c r="AL14" s="38">
        <v>15085</v>
      </c>
      <c r="AM14" s="38">
        <v>15000</v>
      </c>
      <c r="AN14" s="38">
        <v>1950</v>
      </c>
      <c r="AO14" s="38">
        <v>488.83249999999998</v>
      </c>
      <c r="AP14" s="38">
        <v>1253.4166666666699</v>
      </c>
      <c r="AQ14" s="38"/>
      <c r="AR14" s="39"/>
      <c r="AS14" s="40">
        <f t="shared" si="5"/>
        <v>1206.8</v>
      </c>
      <c r="AT14" s="38">
        <f t="shared" si="6"/>
        <v>19984.049166666671</v>
      </c>
      <c r="AV14" s="41"/>
    </row>
    <row r="15" spans="1:48" ht="12.75" customHeight="1">
      <c r="A15" s="20">
        <f t="shared" si="7"/>
        <v>13</v>
      </c>
      <c r="B15" s="28" t="s">
        <v>204</v>
      </c>
      <c r="C15" s="20" t="s">
        <v>205</v>
      </c>
      <c r="D15" s="20" t="s">
        <v>50</v>
      </c>
      <c r="E15" s="23" t="s">
        <v>51</v>
      </c>
      <c r="F15" s="23" t="s">
        <v>206</v>
      </c>
      <c r="G15" s="24" t="s">
        <v>53</v>
      </c>
      <c r="H15" s="30" t="s">
        <v>54</v>
      </c>
      <c r="I15" s="23"/>
      <c r="J15" s="27">
        <v>46099</v>
      </c>
      <c r="K15" s="26">
        <f t="shared" ca="1" si="0"/>
        <v>0.42465753424657532</v>
      </c>
      <c r="L15" s="27">
        <v>27215</v>
      </c>
      <c r="M15" s="28">
        <f t="shared" ca="1" si="1"/>
        <v>52</v>
      </c>
      <c r="N15" s="24" t="s">
        <v>207</v>
      </c>
      <c r="O15" s="20"/>
      <c r="P15" s="53" t="s">
        <v>56</v>
      </c>
      <c r="Q15" s="24" t="s">
        <v>208</v>
      </c>
      <c r="R15" s="24" t="s">
        <v>209</v>
      </c>
      <c r="S15" s="20" t="s">
        <v>57</v>
      </c>
      <c r="T15" s="20" t="s">
        <v>210</v>
      </c>
      <c r="U15" s="47">
        <v>8122414491</v>
      </c>
      <c r="V15" s="34" t="s">
        <v>211</v>
      </c>
      <c r="W15" s="34"/>
      <c r="X15" s="33">
        <v>5610886837</v>
      </c>
      <c r="Y15" s="34" t="s">
        <v>212</v>
      </c>
      <c r="Z15" s="34"/>
      <c r="AA15" s="33" t="s">
        <v>213</v>
      </c>
      <c r="AB15" s="33" t="s">
        <v>214</v>
      </c>
      <c r="AC15" s="33" t="s">
        <v>215</v>
      </c>
      <c r="AD15" s="33" t="s">
        <v>216</v>
      </c>
      <c r="AE15" s="20" t="s">
        <v>217</v>
      </c>
      <c r="AF15" s="20" t="s">
        <v>217</v>
      </c>
      <c r="AG15" s="54">
        <v>7060</v>
      </c>
      <c r="AH15" s="37">
        <v>8025</v>
      </c>
      <c r="AI15" s="38"/>
      <c r="AJ15" s="38"/>
      <c r="AK15" s="38"/>
      <c r="AL15" s="38">
        <v>15085</v>
      </c>
      <c r="AM15" s="38">
        <v>15000</v>
      </c>
      <c r="AN15" s="38">
        <v>1950</v>
      </c>
      <c r="AO15" s="38">
        <v>488.83249999999998</v>
      </c>
      <c r="AP15" s="38">
        <v>1253.4166666666699</v>
      </c>
      <c r="AQ15" s="38"/>
      <c r="AR15" s="39"/>
      <c r="AS15" s="40">
        <f t="shared" si="5"/>
        <v>1206.8</v>
      </c>
      <c r="AT15" s="38">
        <f t="shared" si="6"/>
        <v>19984.049166666671</v>
      </c>
      <c r="AV15" s="41"/>
    </row>
    <row r="16" spans="1:48" ht="12.75" customHeight="1">
      <c r="A16" s="20">
        <f t="shared" si="7"/>
        <v>14</v>
      </c>
      <c r="B16" s="28" t="s">
        <v>218</v>
      </c>
      <c r="C16" s="20" t="s">
        <v>219</v>
      </c>
      <c r="D16" s="20" t="s">
        <v>50</v>
      </c>
      <c r="E16" s="23" t="s">
        <v>51</v>
      </c>
      <c r="F16" s="23" t="s">
        <v>206</v>
      </c>
      <c r="G16" s="24" t="s">
        <v>53</v>
      </c>
      <c r="H16" s="30" t="s">
        <v>54</v>
      </c>
      <c r="I16" s="23"/>
      <c r="J16" s="27">
        <v>46157</v>
      </c>
      <c r="K16" s="26">
        <f t="shared" ca="1" si="0"/>
        <v>0.26575342465753427</v>
      </c>
      <c r="L16" s="27">
        <v>38308</v>
      </c>
      <c r="M16" s="28">
        <f t="shared" ca="1" si="1"/>
        <v>21</v>
      </c>
      <c r="N16" s="24" t="s">
        <v>220</v>
      </c>
      <c r="O16" s="20"/>
      <c r="P16" s="53" t="s">
        <v>56</v>
      </c>
      <c r="Q16" s="24" t="s">
        <v>221</v>
      </c>
      <c r="R16" s="24" t="s">
        <v>222</v>
      </c>
      <c r="S16" s="20" t="s">
        <v>57</v>
      </c>
      <c r="T16" s="20" t="s">
        <v>223</v>
      </c>
      <c r="U16" s="34">
        <v>6383663552</v>
      </c>
      <c r="V16" s="34" t="s">
        <v>224</v>
      </c>
      <c r="W16" s="34"/>
      <c r="X16" s="33" t="s">
        <v>225</v>
      </c>
      <c r="Y16" s="34" t="s">
        <v>226</v>
      </c>
      <c r="Z16" s="34" t="s">
        <v>227</v>
      </c>
      <c r="AA16" s="33" t="s">
        <v>228</v>
      </c>
      <c r="AB16" s="33" t="s">
        <v>229</v>
      </c>
      <c r="AC16" s="33" t="s">
        <v>162</v>
      </c>
      <c r="AD16" s="33" t="s">
        <v>230</v>
      </c>
      <c r="AE16" s="20" t="s">
        <v>231</v>
      </c>
      <c r="AF16" s="20" t="s">
        <v>231</v>
      </c>
      <c r="AG16" s="54">
        <v>7060</v>
      </c>
      <c r="AH16" s="37">
        <v>8025</v>
      </c>
      <c r="AI16" s="38"/>
      <c r="AJ16" s="38"/>
      <c r="AK16" s="38"/>
      <c r="AL16" s="38">
        <v>15085</v>
      </c>
      <c r="AM16" s="38">
        <v>15000</v>
      </c>
      <c r="AN16" s="38">
        <v>1950</v>
      </c>
      <c r="AO16" s="38">
        <v>488.83249999999998</v>
      </c>
      <c r="AP16" s="38">
        <v>1253.4166666666699</v>
      </c>
      <c r="AQ16" s="38"/>
      <c r="AR16" s="39"/>
      <c r="AS16" s="40">
        <f t="shared" si="5"/>
        <v>1206.8</v>
      </c>
      <c r="AT16" s="38">
        <f t="shared" si="6"/>
        <v>19984.049166666671</v>
      </c>
      <c r="AV16" s="41"/>
    </row>
    <row r="17" spans="1:48" ht="12.75" customHeight="1">
      <c r="A17" s="20">
        <f t="shared" si="7"/>
        <v>15</v>
      </c>
      <c r="B17" s="28" t="s">
        <v>232</v>
      </c>
      <c r="C17" s="20" t="s">
        <v>233</v>
      </c>
      <c r="D17" s="20" t="s">
        <v>50</v>
      </c>
      <c r="E17" s="23" t="s">
        <v>51</v>
      </c>
      <c r="F17" s="23" t="s">
        <v>83</v>
      </c>
      <c r="G17" s="24" t="s">
        <v>53</v>
      </c>
      <c r="H17" s="30" t="s">
        <v>54</v>
      </c>
      <c r="I17" s="23"/>
      <c r="J17" s="27">
        <v>46160</v>
      </c>
      <c r="K17" s="26">
        <f t="shared" ca="1" si="0"/>
        <v>0.25753424657534246</v>
      </c>
      <c r="L17" s="27">
        <v>39144</v>
      </c>
      <c r="M17" s="28">
        <f t="shared" ca="1" si="1"/>
        <v>19</v>
      </c>
      <c r="N17" s="24" t="s">
        <v>119</v>
      </c>
      <c r="O17" s="20"/>
      <c r="P17" s="53" t="s">
        <v>56</v>
      </c>
      <c r="Q17" s="24" t="s">
        <v>234</v>
      </c>
      <c r="R17" s="24"/>
      <c r="S17" s="20" t="s">
        <v>57</v>
      </c>
      <c r="T17" s="20" t="s">
        <v>235</v>
      </c>
      <c r="U17" s="34">
        <v>6371918966</v>
      </c>
      <c r="V17" s="34" t="s">
        <v>236</v>
      </c>
      <c r="W17" s="34"/>
      <c r="X17" s="33">
        <v>5611011734</v>
      </c>
      <c r="Y17" s="34" t="s">
        <v>237</v>
      </c>
      <c r="Z17" s="34"/>
      <c r="AA17" s="33" t="s">
        <v>238</v>
      </c>
      <c r="AB17" s="33" t="s">
        <v>239</v>
      </c>
      <c r="AC17" s="33" t="s">
        <v>240</v>
      </c>
      <c r="AD17" s="33"/>
      <c r="AE17" s="20" t="s">
        <v>241</v>
      </c>
      <c r="AF17" s="20" t="s">
        <v>242</v>
      </c>
      <c r="AG17" s="54">
        <v>7060</v>
      </c>
      <c r="AH17" s="37">
        <v>8025</v>
      </c>
      <c r="AI17" s="38"/>
      <c r="AJ17" s="38"/>
      <c r="AK17" s="38"/>
      <c r="AL17" s="38">
        <v>15085</v>
      </c>
      <c r="AM17" s="38">
        <v>15000</v>
      </c>
      <c r="AN17" s="38">
        <v>1950</v>
      </c>
      <c r="AO17" s="38">
        <v>488.83249999999998</v>
      </c>
      <c r="AP17" s="38">
        <v>1253.4166666666699</v>
      </c>
      <c r="AQ17" s="38"/>
      <c r="AR17" s="39"/>
      <c r="AS17" s="40">
        <f t="shared" si="5"/>
        <v>1206.8</v>
      </c>
      <c r="AT17" s="38">
        <f t="shared" si="6"/>
        <v>19984.049166666671</v>
      </c>
      <c r="AV17" s="41"/>
    </row>
    <row r="18" spans="1:48" ht="12.75" customHeight="1">
      <c r="A18" s="20">
        <f t="shared" si="7"/>
        <v>16</v>
      </c>
      <c r="B18" s="28" t="s">
        <v>243</v>
      </c>
      <c r="C18" s="20" t="s">
        <v>244</v>
      </c>
      <c r="D18" s="20" t="s">
        <v>82</v>
      </c>
      <c r="E18" s="23" t="s">
        <v>51</v>
      </c>
      <c r="F18" s="23" t="s">
        <v>83</v>
      </c>
      <c r="G18" s="24" t="s">
        <v>245</v>
      </c>
      <c r="H18" s="30" t="s">
        <v>246</v>
      </c>
      <c r="I18" s="23"/>
      <c r="J18" s="27">
        <v>46143</v>
      </c>
      <c r="K18" s="26">
        <f t="shared" ca="1" si="0"/>
        <v>0.30410958904109592</v>
      </c>
      <c r="L18" s="27">
        <v>36171</v>
      </c>
      <c r="M18" s="28">
        <f t="shared" ca="1" si="1"/>
        <v>27</v>
      </c>
      <c r="N18" s="24"/>
      <c r="O18" s="20"/>
      <c r="P18" s="53" t="s">
        <v>56</v>
      </c>
      <c r="Q18" s="24" t="s">
        <v>247</v>
      </c>
      <c r="R18" s="24"/>
      <c r="S18" s="20" t="s">
        <v>57</v>
      </c>
      <c r="T18" s="20" t="s">
        <v>233</v>
      </c>
      <c r="U18" s="34">
        <v>9668276965</v>
      </c>
      <c r="V18" s="34" t="s">
        <v>248</v>
      </c>
      <c r="W18" s="34"/>
      <c r="X18" s="33">
        <v>5610854323</v>
      </c>
      <c r="Y18" s="34" t="s">
        <v>249</v>
      </c>
      <c r="Z18" s="34"/>
      <c r="AA18" s="33" t="s">
        <v>250</v>
      </c>
      <c r="AB18" s="33" t="s">
        <v>63</v>
      </c>
      <c r="AC18" s="33" t="s">
        <v>64</v>
      </c>
      <c r="AD18" s="33" t="s">
        <v>65</v>
      </c>
      <c r="AE18" s="20" t="s">
        <v>241</v>
      </c>
      <c r="AF18" s="20" t="s">
        <v>242</v>
      </c>
      <c r="AG18" s="54">
        <v>7060</v>
      </c>
      <c r="AH18" s="37">
        <v>8025</v>
      </c>
      <c r="AI18" s="38"/>
      <c r="AJ18" s="38"/>
      <c r="AK18" s="38"/>
      <c r="AL18" s="38">
        <v>15085</v>
      </c>
      <c r="AM18" s="38">
        <v>15000</v>
      </c>
      <c r="AN18" s="38">
        <v>1950</v>
      </c>
      <c r="AO18" s="38">
        <v>488.83249999999998</v>
      </c>
      <c r="AP18" s="38">
        <v>1253.4166666666699</v>
      </c>
      <c r="AQ18" s="38"/>
      <c r="AR18" s="39"/>
      <c r="AS18" s="40">
        <f t="shared" si="5"/>
        <v>1206.8</v>
      </c>
      <c r="AT18" s="38">
        <f t="shared" si="6"/>
        <v>19984.049166666671</v>
      </c>
      <c r="AV18" s="41"/>
    </row>
    <row r="19" spans="1:48" ht="12.75" customHeight="1">
      <c r="A19" s="20">
        <f t="shared" si="7"/>
        <v>17</v>
      </c>
      <c r="B19" s="28" t="s">
        <v>251</v>
      </c>
      <c r="C19" s="20" t="s">
        <v>252</v>
      </c>
      <c r="D19" s="20" t="s">
        <v>50</v>
      </c>
      <c r="E19" s="23" t="s">
        <v>51</v>
      </c>
      <c r="F19" s="23" t="s">
        <v>105</v>
      </c>
      <c r="G19" s="24" t="s">
        <v>53</v>
      </c>
      <c r="H19" s="30" t="s">
        <v>54</v>
      </c>
      <c r="I19" s="23"/>
      <c r="J19" s="27">
        <v>46188</v>
      </c>
      <c r="K19" s="26">
        <f t="shared" ca="1" si="0"/>
        <v>0.18082191780821918</v>
      </c>
      <c r="L19" s="27">
        <v>38546</v>
      </c>
      <c r="M19" s="28">
        <f t="shared" ca="1" si="1"/>
        <v>21</v>
      </c>
      <c r="N19" s="20" t="s">
        <v>253</v>
      </c>
      <c r="O19" s="20"/>
      <c r="P19" s="53" t="s">
        <v>56</v>
      </c>
      <c r="Q19" s="20" t="s">
        <v>254</v>
      </c>
      <c r="R19" s="24" t="s">
        <v>255</v>
      </c>
      <c r="S19" s="20" t="s">
        <v>256</v>
      </c>
      <c r="T19" s="20"/>
      <c r="U19" s="34">
        <v>9790414514</v>
      </c>
      <c r="V19" s="30" t="s">
        <v>257</v>
      </c>
      <c r="W19" s="30"/>
      <c r="X19" s="30">
        <v>5610286921</v>
      </c>
      <c r="Y19" s="30" t="s">
        <v>258</v>
      </c>
      <c r="Z19" s="30"/>
      <c r="AA19" s="30" t="s">
        <v>259</v>
      </c>
      <c r="AB19" s="30" t="s">
        <v>260</v>
      </c>
      <c r="AC19" s="30" t="s">
        <v>261</v>
      </c>
      <c r="AD19" s="30" t="s">
        <v>262</v>
      </c>
      <c r="AE19" s="20" t="s">
        <v>263</v>
      </c>
      <c r="AF19" s="20" t="s">
        <v>263</v>
      </c>
      <c r="AG19" s="54">
        <v>7060</v>
      </c>
      <c r="AH19" s="37">
        <v>8025</v>
      </c>
      <c r="AI19" s="38"/>
      <c r="AJ19" s="38"/>
      <c r="AK19" s="38"/>
      <c r="AL19" s="38">
        <v>15085</v>
      </c>
      <c r="AM19" s="38">
        <v>15000</v>
      </c>
      <c r="AN19" s="38">
        <v>1950</v>
      </c>
      <c r="AO19" s="38">
        <v>488.83249999999998</v>
      </c>
      <c r="AP19" s="38">
        <v>1253.4166666666699</v>
      </c>
      <c r="AQ19" s="38"/>
      <c r="AR19" s="39"/>
      <c r="AS19" s="40">
        <f t="shared" si="5"/>
        <v>1206.8</v>
      </c>
      <c r="AT19" s="38">
        <f t="shared" si="6"/>
        <v>19984.049166666671</v>
      </c>
      <c r="AV19" s="41"/>
    </row>
    <row r="20" spans="1:48" ht="12.75" customHeight="1">
      <c r="A20" s="20">
        <f t="shared" si="7"/>
        <v>18</v>
      </c>
      <c r="B20" s="28" t="s">
        <v>264</v>
      </c>
      <c r="C20" s="20" t="s">
        <v>265</v>
      </c>
      <c r="D20" s="20" t="s">
        <v>50</v>
      </c>
      <c r="E20" s="23" t="s">
        <v>51</v>
      </c>
      <c r="F20" s="23" t="s">
        <v>69</v>
      </c>
      <c r="G20" s="24" t="s">
        <v>53</v>
      </c>
      <c r="H20" s="30" t="s">
        <v>54</v>
      </c>
      <c r="I20" s="23"/>
      <c r="J20" s="27">
        <v>46192</v>
      </c>
      <c r="K20" s="26">
        <f t="shared" ca="1" si="0"/>
        <v>0.16986301369863013</v>
      </c>
      <c r="L20" s="27">
        <v>29416</v>
      </c>
      <c r="M20" s="28">
        <f t="shared" ca="1" si="1"/>
        <v>46</v>
      </c>
      <c r="N20" s="24" t="s">
        <v>119</v>
      </c>
      <c r="O20" s="20"/>
      <c r="P20" s="53" t="s">
        <v>56</v>
      </c>
      <c r="Q20" s="24"/>
      <c r="R20" s="24"/>
      <c r="S20" s="20" t="s">
        <v>57</v>
      </c>
      <c r="T20" s="20" t="s">
        <v>266</v>
      </c>
      <c r="U20" s="34">
        <v>8675968187</v>
      </c>
      <c r="V20" s="34" t="s">
        <v>267</v>
      </c>
      <c r="W20" s="34"/>
      <c r="X20" s="33">
        <v>5610958693</v>
      </c>
      <c r="Y20" s="34" t="s">
        <v>268</v>
      </c>
      <c r="Z20" s="34"/>
      <c r="AA20" s="33" t="s">
        <v>269</v>
      </c>
      <c r="AB20" s="33" t="s">
        <v>270</v>
      </c>
      <c r="AC20" s="33" t="s">
        <v>100</v>
      </c>
      <c r="AD20" s="33" t="s">
        <v>271</v>
      </c>
      <c r="AE20" s="20" t="s">
        <v>272</v>
      </c>
      <c r="AF20" s="20" t="s">
        <v>272</v>
      </c>
      <c r="AG20" s="54">
        <v>7060</v>
      </c>
      <c r="AH20" s="37">
        <v>8025</v>
      </c>
      <c r="AI20" s="38"/>
      <c r="AJ20" s="38"/>
      <c r="AK20" s="38"/>
      <c r="AL20" s="38">
        <v>15085</v>
      </c>
      <c r="AM20" s="38">
        <v>15000</v>
      </c>
      <c r="AN20" s="38">
        <f t="shared" ref="AN20:AN28" si="8">AM20*13%</f>
        <v>1950</v>
      </c>
      <c r="AO20" s="38">
        <f t="shared" ref="AO20:AO28" si="9">AL20*3.25%</f>
        <v>490.26249999999999</v>
      </c>
      <c r="AP20" s="38">
        <f t="shared" ref="AP20:AP28" si="10">AL20/12</f>
        <v>1257.0833333333333</v>
      </c>
      <c r="AQ20" s="38"/>
      <c r="AR20" s="39"/>
      <c r="AS20" s="40">
        <f t="shared" si="5"/>
        <v>1206.8</v>
      </c>
      <c r="AT20" s="38">
        <f t="shared" si="6"/>
        <v>19989.145833333332</v>
      </c>
      <c r="AV20" s="41"/>
    </row>
    <row r="21" spans="1:48" ht="12.75" customHeight="1">
      <c r="A21" s="20">
        <f t="shared" si="7"/>
        <v>19</v>
      </c>
      <c r="B21" s="28" t="s">
        <v>273</v>
      </c>
      <c r="C21" s="20" t="s">
        <v>274</v>
      </c>
      <c r="D21" s="20" t="s">
        <v>50</v>
      </c>
      <c r="E21" s="23" t="s">
        <v>51</v>
      </c>
      <c r="F21" s="23" t="s">
        <v>69</v>
      </c>
      <c r="G21" s="24" t="s">
        <v>53</v>
      </c>
      <c r="H21" s="30" t="s">
        <v>54</v>
      </c>
      <c r="I21" s="23"/>
      <c r="J21" s="27">
        <v>46192</v>
      </c>
      <c r="K21" s="26">
        <f t="shared" ca="1" si="0"/>
        <v>0.16986301369863013</v>
      </c>
      <c r="L21" s="27">
        <v>29957</v>
      </c>
      <c r="M21" s="28">
        <f t="shared" ca="1" si="1"/>
        <v>44</v>
      </c>
      <c r="N21" s="24" t="s">
        <v>511</v>
      </c>
      <c r="O21" s="20"/>
      <c r="P21" s="53" t="s">
        <v>56</v>
      </c>
      <c r="Q21" s="24"/>
      <c r="R21" s="24" t="s">
        <v>275</v>
      </c>
      <c r="S21" s="20" t="s">
        <v>57</v>
      </c>
      <c r="T21" s="20" t="s">
        <v>276</v>
      </c>
      <c r="U21" s="34">
        <v>7708255358</v>
      </c>
      <c r="V21" s="34" t="s">
        <v>277</v>
      </c>
      <c r="W21" s="34"/>
      <c r="X21" s="33">
        <v>5611366551</v>
      </c>
      <c r="Y21" s="34" t="s">
        <v>278</v>
      </c>
      <c r="Z21" s="34"/>
      <c r="AA21" s="33" t="s">
        <v>279</v>
      </c>
      <c r="AB21" s="33" t="s">
        <v>280</v>
      </c>
      <c r="AC21" s="33" t="s">
        <v>281</v>
      </c>
      <c r="AD21" s="33" t="s">
        <v>282</v>
      </c>
      <c r="AE21" s="20" t="s">
        <v>283</v>
      </c>
      <c r="AF21" s="20" t="s">
        <v>283</v>
      </c>
      <c r="AG21" s="54">
        <v>7060</v>
      </c>
      <c r="AH21" s="37">
        <v>8025</v>
      </c>
      <c r="AI21" s="38"/>
      <c r="AJ21" s="38"/>
      <c r="AK21" s="38"/>
      <c r="AL21" s="38">
        <v>15085</v>
      </c>
      <c r="AM21" s="38">
        <v>15000</v>
      </c>
      <c r="AN21" s="38">
        <f t="shared" si="8"/>
        <v>1950</v>
      </c>
      <c r="AO21" s="38">
        <f t="shared" si="9"/>
        <v>490.26249999999999</v>
      </c>
      <c r="AP21" s="38">
        <f t="shared" si="10"/>
        <v>1257.0833333333333</v>
      </c>
      <c r="AQ21" s="38"/>
      <c r="AR21" s="39"/>
      <c r="AS21" s="40">
        <f t="shared" si="5"/>
        <v>1206.8</v>
      </c>
      <c r="AT21" s="38">
        <f t="shared" si="6"/>
        <v>19989.145833333332</v>
      </c>
      <c r="AV21" s="41"/>
    </row>
    <row r="22" spans="1:48">
      <c r="A22" s="20">
        <f>A23+1</f>
        <v>21</v>
      </c>
      <c r="B22" s="28" t="s">
        <v>284</v>
      </c>
      <c r="C22" s="20" t="s">
        <v>287</v>
      </c>
      <c r="D22" s="20" t="s">
        <v>50</v>
      </c>
      <c r="E22" s="23" t="s">
        <v>51</v>
      </c>
      <c r="F22" s="23" t="s">
        <v>83</v>
      </c>
      <c r="G22" s="24" t="s">
        <v>53</v>
      </c>
      <c r="H22" s="30" t="s">
        <v>54</v>
      </c>
      <c r="I22" s="23"/>
      <c r="J22" s="27">
        <v>46192</v>
      </c>
      <c r="K22" s="26">
        <f ca="1">(TODAY()-J22)/365</f>
        <v>0.16986301369863013</v>
      </c>
      <c r="L22" s="27">
        <v>35796</v>
      </c>
      <c r="M22" s="28">
        <f ca="1">DATEDIF(L22,TODAY(),"y")</f>
        <v>28</v>
      </c>
      <c r="N22" s="23"/>
      <c r="O22" s="20"/>
      <c r="P22" s="20" t="s">
        <v>56</v>
      </c>
      <c r="Q22" s="20"/>
      <c r="R22" s="24"/>
      <c r="S22" s="20" t="s">
        <v>57</v>
      </c>
      <c r="T22" s="20" t="s">
        <v>295</v>
      </c>
      <c r="U22" s="47">
        <v>8895705317</v>
      </c>
      <c r="V22" s="34" t="s">
        <v>296</v>
      </c>
      <c r="W22" s="34"/>
      <c r="X22" s="34">
        <v>5611720223</v>
      </c>
      <c r="Y22" s="34" t="s">
        <v>297</v>
      </c>
      <c r="Z22" s="34"/>
      <c r="AA22" s="34" t="s">
        <v>298</v>
      </c>
      <c r="AB22" s="30" t="s">
        <v>299</v>
      </c>
      <c r="AC22" s="30" t="s">
        <v>300</v>
      </c>
      <c r="AD22" s="30" t="s">
        <v>301</v>
      </c>
      <c r="AE22" s="20" t="s">
        <v>241</v>
      </c>
      <c r="AF22" s="20" t="s">
        <v>302</v>
      </c>
      <c r="AG22" s="54">
        <v>7060</v>
      </c>
      <c r="AH22" s="37">
        <v>8025</v>
      </c>
      <c r="AI22" s="38"/>
      <c r="AJ22" s="38"/>
      <c r="AK22" s="38"/>
      <c r="AL22" s="38">
        <v>15085</v>
      </c>
      <c r="AM22" s="38">
        <v>15000</v>
      </c>
      <c r="AN22" s="38">
        <f>AM22*13%</f>
        <v>1950</v>
      </c>
      <c r="AO22" s="38">
        <f>AL22*3.25%</f>
        <v>490.26249999999999</v>
      </c>
      <c r="AP22" s="38">
        <f>AL22/12</f>
        <v>1257.0833333333333</v>
      </c>
      <c r="AQ22" s="38"/>
      <c r="AR22" s="39"/>
      <c r="AS22" s="40">
        <f>AL22*8%</f>
        <v>1206.8</v>
      </c>
      <c r="AT22" s="38">
        <f>AL22+AN22+AO22+AP22+AR22+AS22</f>
        <v>19989.145833333332</v>
      </c>
      <c r="AU22" s="56"/>
      <c r="AV22" s="56"/>
    </row>
    <row r="23" spans="1:48">
      <c r="A23" s="20">
        <f>A21+1</f>
        <v>20</v>
      </c>
      <c r="B23" s="28" t="s">
        <v>294</v>
      </c>
      <c r="C23" s="20" t="s">
        <v>285</v>
      </c>
      <c r="D23" s="20" t="s">
        <v>82</v>
      </c>
      <c r="E23" s="23" t="s">
        <v>51</v>
      </c>
      <c r="F23" s="23" t="s">
        <v>83</v>
      </c>
      <c r="G23" s="24" t="s">
        <v>53</v>
      </c>
      <c r="H23" s="30" t="s">
        <v>54</v>
      </c>
      <c r="I23" s="23"/>
      <c r="J23" s="27">
        <v>46192</v>
      </c>
      <c r="K23" s="26">
        <f t="shared" ca="1" si="0"/>
        <v>0.16986301369863013</v>
      </c>
      <c r="L23" s="27">
        <v>39076</v>
      </c>
      <c r="M23" s="28">
        <f t="shared" ca="1" si="1"/>
        <v>19</v>
      </c>
      <c r="N23" s="23"/>
      <c r="O23" s="20"/>
      <c r="P23" s="20" t="s">
        <v>56</v>
      </c>
      <c r="Q23" s="20" t="s">
        <v>286</v>
      </c>
      <c r="R23" s="24"/>
      <c r="S23" s="20" t="s">
        <v>57</v>
      </c>
      <c r="T23" s="20" t="s">
        <v>287</v>
      </c>
      <c r="U23" s="47">
        <v>9827530109</v>
      </c>
      <c r="V23" s="34" t="s">
        <v>288</v>
      </c>
      <c r="W23" s="34"/>
      <c r="X23" s="34">
        <v>5611720180</v>
      </c>
      <c r="Y23" s="34" t="s">
        <v>289</v>
      </c>
      <c r="Z23" s="34"/>
      <c r="AA23" s="34" t="s">
        <v>290</v>
      </c>
      <c r="AB23" s="30" t="s">
        <v>291</v>
      </c>
      <c r="AC23" s="30" t="s">
        <v>100</v>
      </c>
      <c r="AD23" s="30" t="s">
        <v>292</v>
      </c>
      <c r="AE23" s="20" t="s">
        <v>241</v>
      </c>
      <c r="AF23" s="20" t="s">
        <v>293</v>
      </c>
      <c r="AG23" s="54">
        <v>7060</v>
      </c>
      <c r="AH23" s="37">
        <v>8025</v>
      </c>
      <c r="AI23" s="38"/>
      <c r="AJ23" s="38"/>
      <c r="AK23" s="38"/>
      <c r="AL23" s="38">
        <v>15085</v>
      </c>
      <c r="AM23" s="38">
        <v>15000</v>
      </c>
      <c r="AN23" s="38">
        <f t="shared" si="8"/>
        <v>1950</v>
      </c>
      <c r="AO23" s="38">
        <f t="shared" si="9"/>
        <v>490.26249999999999</v>
      </c>
      <c r="AP23" s="38">
        <f t="shared" si="10"/>
        <v>1257.0833333333333</v>
      </c>
      <c r="AQ23" s="38"/>
      <c r="AR23" s="39"/>
      <c r="AS23" s="40">
        <f t="shared" si="5"/>
        <v>1206.8</v>
      </c>
      <c r="AT23" s="38">
        <f t="shared" si="6"/>
        <v>19989.145833333332</v>
      </c>
      <c r="AU23" s="56"/>
      <c r="AV23" s="56"/>
    </row>
    <row r="24" spans="1:48">
      <c r="A24" s="20">
        <f>A22+1</f>
        <v>22</v>
      </c>
      <c r="B24" s="28" t="s">
        <v>312</v>
      </c>
      <c r="C24" s="20" t="s">
        <v>313</v>
      </c>
      <c r="D24" s="20" t="s">
        <v>82</v>
      </c>
      <c r="E24" s="23" t="s">
        <v>51</v>
      </c>
      <c r="F24" s="23" t="s">
        <v>83</v>
      </c>
      <c r="G24" s="24" t="s">
        <v>53</v>
      </c>
      <c r="H24" s="30" t="s">
        <v>54</v>
      </c>
      <c r="I24" s="23"/>
      <c r="J24" s="27">
        <v>46193</v>
      </c>
      <c r="K24" s="26">
        <f t="shared" ca="1" si="0"/>
        <v>0.16712328767123288</v>
      </c>
      <c r="L24" s="27">
        <v>37701</v>
      </c>
      <c r="M24" s="28">
        <f t="shared" ca="1" si="1"/>
        <v>23</v>
      </c>
      <c r="N24" s="23"/>
      <c r="O24" s="20"/>
      <c r="P24" s="20" t="s">
        <v>56</v>
      </c>
      <c r="Q24" s="20"/>
      <c r="R24" s="24"/>
      <c r="S24" s="20" t="s">
        <v>57</v>
      </c>
      <c r="T24" s="20" t="s">
        <v>314</v>
      </c>
      <c r="U24" s="47">
        <v>7735424206</v>
      </c>
      <c r="V24" s="34" t="s">
        <v>315</v>
      </c>
      <c r="W24" s="34"/>
      <c r="X24" s="34">
        <v>5611719797</v>
      </c>
      <c r="Y24" s="34" t="s">
        <v>316</v>
      </c>
      <c r="Z24" s="34"/>
      <c r="AA24" s="80"/>
      <c r="AB24" s="22"/>
      <c r="AC24" s="22"/>
      <c r="AD24" s="22"/>
      <c r="AE24" s="20" t="s">
        <v>241</v>
      </c>
      <c r="AF24" s="20" t="s">
        <v>317</v>
      </c>
      <c r="AG24" s="54">
        <v>7060</v>
      </c>
      <c r="AH24" s="37">
        <v>8025</v>
      </c>
      <c r="AI24" s="38"/>
      <c r="AJ24" s="38"/>
      <c r="AK24" s="38"/>
      <c r="AL24" s="38">
        <v>15085</v>
      </c>
      <c r="AM24" s="38">
        <v>15000</v>
      </c>
      <c r="AN24" s="38">
        <f t="shared" si="8"/>
        <v>1950</v>
      </c>
      <c r="AO24" s="38">
        <f t="shared" si="9"/>
        <v>490.26249999999999</v>
      </c>
      <c r="AP24" s="38">
        <f t="shared" si="10"/>
        <v>1257.0833333333333</v>
      </c>
      <c r="AQ24" s="38"/>
      <c r="AR24" s="39"/>
      <c r="AS24" s="40">
        <f t="shared" si="5"/>
        <v>1206.8</v>
      </c>
      <c r="AT24" s="38">
        <f t="shared" si="6"/>
        <v>19989.145833333332</v>
      </c>
      <c r="AU24" s="56"/>
      <c r="AV24" s="56"/>
    </row>
    <row r="25" spans="1:48">
      <c r="A25" s="20">
        <f t="shared" ref="A25:A28" si="11">A24+1</f>
        <v>23</v>
      </c>
      <c r="B25" s="28" t="s">
        <v>318</v>
      </c>
      <c r="C25" s="20" t="s">
        <v>314</v>
      </c>
      <c r="D25" s="20" t="s">
        <v>50</v>
      </c>
      <c r="E25" s="23" t="s">
        <v>51</v>
      </c>
      <c r="F25" s="23" t="s">
        <v>83</v>
      </c>
      <c r="G25" s="24" t="s">
        <v>53</v>
      </c>
      <c r="H25" s="30" t="s">
        <v>54</v>
      </c>
      <c r="I25" s="23"/>
      <c r="J25" s="27">
        <v>46193</v>
      </c>
      <c r="K25" s="26">
        <f t="shared" ca="1" si="0"/>
        <v>0.16712328767123288</v>
      </c>
      <c r="L25" s="27">
        <v>39182</v>
      </c>
      <c r="M25" s="28">
        <f t="shared" ca="1" si="1"/>
        <v>19</v>
      </c>
      <c r="N25" s="23"/>
      <c r="O25" s="20"/>
      <c r="P25" s="20" t="s">
        <v>56</v>
      </c>
      <c r="Q25" s="20" t="s">
        <v>319</v>
      </c>
      <c r="R25" s="24"/>
      <c r="S25" s="20" t="s">
        <v>57</v>
      </c>
      <c r="T25" s="20" t="s">
        <v>320</v>
      </c>
      <c r="U25" s="47">
        <v>7735424206</v>
      </c>
      <c r="V25" s="34" t="s">
        <v>321</v>
      </c>
      <c r="W25" s="34"/>
      <c r="X25" s="34">
        <v>5611720083</v>
      </c>
      <c r="Y25" s="34" t="s">
        <v>322</v>
      </c>
      <c r="Z25" s="34"/>
      <c r="AA25" s="80" t="s">
        <v>1776</v>
      </c>
      <c r="AB25" s="30" t="s">
        <v>299</v>
      </c>
      <c r="AC25" s="30" t="s">
        <v>300</v>
      </c>
      <c r="AD25" s="30" t="s">
        <v>301</v>
      </c>
      <c r="AE25" s="20" t="s">
        <v>241</v>
      </c>
      <c r="AF25" s="20" t="s">
        <v>323</v>
      </c>
      <c r="AG25" s="54">
        <v>7060</v>
      </c>
      <c r="AH25" s="37">
        <v>8025</v>
      </c>
      <c r="AI25" s="38"/>
      <c r="AJ25" s="38"/>
      <c r="AK25" s="38"/>
      <c r="AL25" s="38">
        <v>15085</v>
      </c>
      <c r="AM25" s="38">
        <v>15000</v>
      </c>
      <c r="AN25" s="38">
        <f t="shared" si="8"/>
        <v>1950</v>
      </c>
      <c r="AO25" s="38">
        <f t="shared" si="9"/>
        <v>490.26249999999999</v>
      </c>
      <c r="AP25" s="38">
        <f t="shared" si="10"/>
        <v>1257.0833333333333</v>
      </c>
      <c r="AQ25" s="38"/>
      <c r="AR25" s="39"/>
      <c r="AS25" s="40">
        <f t="shared" si="5"/>
        <v>1206.8</v>
      </c>
      <c r="AT25" s="38">
        <f t="shared" si="6"/>
        <v>19989.145833333332</v>
      </c>
      <c r="AU25" s="56"/>
      <c r="AV25" s="56"/>
    </row>
    <row r="26" spans="1:48">
      <c r="A26" s="20">
        <f t="shared" si="11"/>
        <v>24</v>
      </c>
      <c r="B26" s="28" t="s">
        <v>324</v>
      </c>
      <c r="C26" s="20" t="s">
        <v>325</v>
      </c>
      <c r="D26" s="20" t="s">
        <v>50</v>
      </c>
      <c r="E26" s="23" t="s">
        <v>51</v>
      </c>
      <c r="F26" s="23" t="s">
        <v>196</v>
      </c>
      <c r="G26" s="24" t="s">
        <v>53</v>
      </c>
      <c r="H26" s="30" t="s">
        <v>54</v>
      </c>
      <c r="I26" s="23"/>
      <c r="J26" s="27">
        <v>46195</v>
      </c>
      <c r="K26" s="26">
        <f t="shared" ca="1" si="0"/>
        <v>0.16164383561643836</v>
      </c>
      <c r="L26" s="27">
        <v>39557</v>
      </c>
      <c r="M26" s="28">
        <f t="shared" ca="1" si="1"/>
        <v>18</v>
      </c>
      <c r="N26" s="23"/>
      <c r="O26" s="20"/>
      <c r="P26" s="20" t="s">
        <v>56</v>
      </c>
      <c r="Q26" s="20" t="s">
        <v>326</v>
      </c>
      <c r="R26" s="24" t="s">
        <v>327</v>
      </c>
      <c r="S26" s="20" t="s">
        <v>256</v>
      </c>
      <c r="T26" s="20"/>
      <c r="U26" s="47">
        <v>9042757252</v>
      </c>
      <c r="V26" s="34" t="s">
        <v>328</v>
      </c>
      <c r="W26" s="34"/>
      <c r="X26" s="34">
        <v>5611719990</v>
      </c>
      <c r="Y26" s="34" t="s">
        <v>329</v>
      </c>
      <c r="Z26" s="34"/>
      <c r="AA26" s="80" t="s">
        <v>330</v>
      </c>
      <c r="AB26" s="30" t="s">
        <v>111</v>
      </c>
      <c r="AC26" s="30" t="s">
        <v>112</v>
      </c>
      <c r="AD26" s="30" t="s">
        <v>113</v>
      </c>
      <c r="AE26" s="20" t="s">
        <v>331</v>
      </c>
      <c r="AF26" s="20" t="s">
        <v>331</v>
      </c>
      <c r="AG26" s="54">
        <v>7060</v>
      </c>
      <c r="AH26" s="37">
        <v>8025</v>
      </c>
      <c r="AI26" s="38"/>
      <c r="AJ26" s="38"/>
      <c r="AK26" s="38"/>
      <c r="AL26" s="38">
        <v>15085</v>
      </c>
      <c r="AM26" s="38">
        <v>15000</v>
      </c>
      <c r="AN26" s="38">
        <f t="shared" si="8"/>
        <v>1950</v>
      </c>
      <c r="AO26" s="38">
        <f t="shared" si="9"/>
        <v>490.26249999999999</v>
      </c>
      <c r="AP26" s="38">
        <f t="shared" si="10"/>
        <v>1257.0833333333333</v>
      </c>
      <c r="AQ26" s="38"/>
      <c r="AR26" s="39"/>
      <c r="AS26" s="40">
        <f t="shared" si="5"/>
        <v>1206.8</v>
      </c>
      <c r="AT26" s="38">
        <f t="shared" si="6"/>
        <v>19989.145833333332</v>
      </c>
      <c r="AU26" s="56"/>
      <c r="AV26" s="56"/>
    </row>
    <row r="27" spans="1:48" s="99" customFormat="1" ht="12.95" customHeight="1">
      <c r="A27" s="20">
        <f t="shared" si="11"/>
        <v>25</v>
      </c>
      <c r="B27" s="81" t="s">
        <v>1777</v>
      </c>
      <c r="C27" s="82" t="s">
        <v>128</v>
      </c>
      <c r="D27" s="83" t="s">
        <v>50</v>
      </c>
      <c r="E27" s="84" t="s">
        <v>51</v>
      </c>
      <c r="F27" s="81" t="s">
        <v>105</v>
      </c>
      <c r="G27" s="83" t="s">
        <v>118</v>
      </c>
      <c r="H27" s="85" t="s">
        <v>54</v>
      </c>
      <c r="I27" s="81"/>
      <c r="J27" s="86">
        <v>46206</v>
      </c>
      <c r="K27" s="87">
        <f t="shared" ca="1" si="0"/>
        <v>0.13150684931506848</v>
      </c>
      <c r="L27" s="88">
        <v>32299</v>
      </c>
      <c r="M27" s="89">
        <f t="shared" ca="1" si="1"/>
        <v>38</v>
      </c>
      <c r="N27" s="90" t="s">
        <v>119</v>
      </c>
      <c r="O27" s="91"/>
      <c r="P27" s="92" t="s">
        <v>56</v>
      </c>
      <c r="Q27" s="90"/>
      <c r="R27" s="90"/>
      <c r="S27" s="90" t="s">
        <v>57</v>
      </c>
      <c r="T27" s="90" t="s">
        <v>129</v>
      </c>
      <c r="U27" s="94">
        <v>9043337896</v>
      </c>
      <c r="V27" s="94" t="s">
        <v>130</v>
      </c>
      <c r="W27" s="81"/>
      <c r="X27" s="93">
        <v>5608860509</v>
      </c>
      <c r="Y27" s="83" t="s">
        <v>131</v>
      </c>
      <c r="Z27" s="81"/>
      <c r="AA27" s="90" t="s">
        <v>132</v>
      </c>
      <c r="AB27" s="90" t="s">
        <v>99</v>
      </c>
      <c r="AC27" s="90" t="s">
        <v>100</v>
      </c>
      <c r="AD27" s="90" t="s">
        <v>101</v>
      </c>
      <c r="AE27" s="90" t="s">
        <v>133</v>
      </c>
      <c r="AF27" s="90" t="s">
        <v>133</v>
      </c>
      <c r="AG27" s="54">
        <v>7060</v>
      </c>
      <c r="AH27" s="37">
        <v>8025</v>
      </c>
      <c r="AI27" s="96"/>
      <c r="AJ27" s="96"/>
      <c r="AK27" s="96"/>
      <c r="AL27" s="38">
        <v>15085</v>
      </c>
      <c r="AM27" s="97">
        <v>15000</v>
      </c>
      <c r="AN27" s="97">
        <f t="shared" si="8"/>
        <v>1950</v>
      </c>
      <c r="AO27" s="97">
        <f t="shared" si="9"/>
        <v>490.26249999999999</v>
      </c>
      <c r="AP27" s="97">
        <f t="shared" si="10"/>
        <v>1257.0833333333333</v>
      </c>
      <c r="AQ27" s="96"/>
      <c r="AR27" s="96"/>
      <c r="AS27" s="40">
        <f t="shared" si="5"/>
        <v>1206.8</v>
      </c>
      <c r="AT27" s="38">
        <f t="shared" si="6"/>
        <v>19989.145833333332</v>
      </c>
    </row>
    <row r="28" spans="1:48" ht="12.75" customHeight="1">
      <c r="A28" s="20">
        <f t="shared" si="11"/>
        <v>26</v>
      </c>
      <c r="B28" s="23" t="s">
        <v>1778</v>
      </c>
      <c r="C28" s="20" t="s">
        <v>1779</v>
      </c>
      <c r="D28" s="20" t="s">
        <v>50</v>
      </c>
      <c r="E28" s="23" t="s">
        <v>51</v>
      </c>
      <c r="F28" s="23" t="s">
        <v>136</v>
      </c>
      <c r="G28" s="24" t="s">
        <v>53</v>
      </c>
      <c r="H28" s="24" t="s">
        <v>54</v>
      </c>
      <c r="I28" s="23"/>
      <c r="J28" s="25">
        <v>46223</v>
      </c>
      <c r="K28" s="87">
        <f t="shared" ca="1" si="0"/>
        <v>8.4931506849315067E-2</v>
      </c>
      <c r="L28" s="27">
        <v>30461</v>
      </c>
      <c r="M28" s="23">
        <f t="shared" ca="1" si="1"/>
        <v>43</v>
      </c>
      <c r="N28" s="24" t="s">
        <v>511</v>
      </c>
      <c r="O28" s="20"/>
      <c r="P28" s="92" t="s">
        <v>56</v>
      </c>
      <c r="Q28" s="24" t="s">
        <v>1780</v>
      </c>
      <c r="R28" s="24" t="s">
        <v>1781</v>
      </c>
      <c r="S28" s="24" t="s">
        <v>1782</v>
      </c>
      <c r="T28" s="24" t="s">
        <v>1783</v>
      </c>
      <c r="U28" s="23">
        <v>7871487593</v>
      </c>
      <c r="V28" s="100" t="s">
        <v>1784</v>
      </c>
      <c r="W28" s="23"/>
      <c r="X28" s="100" t="s">
        <v>1785</v>
      </c>
      <c r="Y28" s="100" t="s">
        <v>1786</v>
      </c>
      <c r="Z28" s="23"/>
      <c r="AA28" s="101" t="s">
        <v>1787</v>
      </c>
      <c r="AB28" s="24" t="s">
        <v>1788</v>
      </c>
      <c r="AC28" s="24" t="s">
        <v>100</v>
      </c>
      <c r="AD28" s="24" t="s">
        <v>136</v>
      </c>
      <c r="AE28" s="24" t="s">
        <v>1789</v>
      </c>
      <c r="AF28" s="24" t="s">
        <v>1789</v>
      </c>
      <c r="AG28" s="54">
        <v>7060</v>
      </c>
      <c r="AH28" s="37">
        <v>8025</v>
      </c>
      <c r="AI28" s="39"/>
      <c r="AJ28" s="39"/>
      <c r="AK28" s="39"/>
      <c r="AL28" s="38">
        <v>15085</v>
      </c>
      <c r="AM28" s="97">
        <v>15000</v>
      </c>
      <c r="AN28" s="97">
        <f t="shared" si="8"/>
        <v>1950</v>
      </c>
      <c r="AO28" s="97">
        <f t="shared" si="9"/>
        <v>490.26249999999999</v>
      </c>
      <c r="AP28" s="97">
        <f t="shared" si="10"/>
        <v>1257.0833333333333</v>
      </c>
      <c r="AQ28" s="96"/>
      <c r="AR28" s="39"/>
      <c r="AS28" s="40">
        <f t="shared" si="5"/>
        <v>1206.8</v>
      </c>
      <c r="AT28" s="38">
        <f t="shared" si="6"/>
        <v>19989.145833333332</v>
      </c>
    </row>
    <row r="29" spans="1:48" ht="12.75" customHeight="1">
      <c r="X29" s="2"/>
    </row>
    <row r="30" spans="1:48" ht="12.75" customHeight="1">
      <c r="X30" s="2"/>
    </row>
    <row r="31" spans="1:48" ht="12.75" customHeight="1">
      <c r="X31" s="2"/>
    </row>
  </sheetData>
  <mergeCells count="1">
    <mergeCell ref="AG1:AT1"/>
  </mergeCells>
  <conditionalFormatting sqref="B16:B18">
    <cfRule type="duplicateValues" dxfId="996" priority="41"/>
  </conditionalFormatting>
  <conditionalFormatting sqref="B16:B18">
    <cfRule type="duplicateValues" dxfId="995" priority="42"/>
    <cfRule type="duplicateValues" dxfId="994" priority="43"/>
    <cfRule type="duplicateValues" dxfId="993" priority="44"/>
  </conditionalFormatting>
  <conditionalFormatting sqref="AA16:AA18">
    <cfRule type="duplicateValues" dxfId="992" priority="45"/>
  </conditionalFormatting>
  <conditionalFormatting sqref="X16:X18">
    <cfRule type="duplicateValues" dxfId="991" priority="46"/>
    <cfRule type="duplicateValues" dxfId="990" priority="47"/>
    <cfRule type="duplicateValues" dxfId="989" priority="48"/>
  </conditionalFormatting>
  <conditionalFormatting sqref="Y16:Y18">
    <cfRule type="duplicateValues" dxfId="988" priority="49"/>
  </conditionalFormatting>
  <conditionalFormatting sqref="X16:X18">
    <cfRule type="duplicateValues" dxfId="987" priority="50"/>
  </conditionalFormatting>
  <conditionalFormatting sqref="Y16:Y18">
    <cfRule type="duplicateValues" dxfId="986" priority="51"/>
    <cfRule type="duplicateValues" dxfId="985" priority="52"/>
  </conditionalFormatting>
  <conditionalFormatting sqref="V16:V18">
    <cfRule type="duplicateValues" dxfId="984" priority="53"/>
    <cfRule type="duplicateValues" dxfId="983" priority="54"/>
    <cfRule type="duplicateValues" dxfId="982" priority="55"/>
  </conditionalFormatting>
  <conditionalFormatting sqref="V16:V18">
    <cfRule type="duplicateValues" dxfId="981" priority="56"/>
  </conditionalFormatting>
  <conditionalFormatting sqref="AA17">
    <cfRule type="duplicateValues" dxfId="980" priority="57"/>
    <cfRule type="duplicateValues" dxfId="979" priority="58"/>
  </conditionalFormatting>
  <conditionalFormatting sqref="AA17">
    <cfRule type="duplicateValues" dxfId="978" priority="59"/>
  </conditionalFormatting>
  <conditionalFormatting sqref="AA18">
    <cfRule type="duplicateValues" dxfId="977" priority="60"/>
  </conditionalFormatting>
  <conditionalFormatting sqref="Y18">
    <cfRule type="duplicateValues" dxfId="976" priority="61"/>
  </conditionalFormatting>
  <conditionalFormatting sqref="Y18">
    <cfRule type="duplicateValues" dxfId="975" priority="62"/>
    <cfRule type="duplicateValues" dxfId="974" priority="63"/>
  </conditionalFormatting>
  <conditionalFormatting sqref="Y17">
    <cfRule type="duplicateValues" dxfId="973" priority="64"/>
  </conditionalFormatting>
  <conditionalFormatting sqref="Y17">
    <cfRule type="duplicateValues" dxfId="972" priority="65"/>
    <cfRule type="duplicateValues" dxfId="971" priority="66"/>
  </conditionalFormatting>
  <conditionalFormatting sqref="V18">
    <cfRule type="duplicateValues" dxfId="970" priority="67"/>
  </conditionalFormatting>
  <conditionalFormatting sqref="X18">
    <cfRule type="duplicateValues" dxfId="969" priority="68"/>
  </conditionalFormatting>
  <conditionalFormatting sqref="V17">
    <cfRule type="duplicateValues" dxfId="968" priority="69"/>
  </conditionalFormatting>
  <conditionalFormatting sqref="X17">
    <cfRule type="duplicateValues" dxfId="967" priority="70"/>
  </conditionalFormatting>
  <conditionalFormatting sqref="V17">
    <cfRule type="duplicateValues" dxfId="966" priority="71"/>
    <cfRule type="duplicateValues" dxfId="965" priority="72"/>
  </conditionalFormatting>
  <conditionalFormatting sqref="AA14">
    <cfRule type="duplicateValues" dxfId="964" priority="73"/>
  </conditionalFormatting>
  <conditionalFormatting sqref="AA13">
    <cfRule type="duplicateValues" dxfId="963" priority="74"/>
  </conditionalFormatting>
  <conditionalFormatting sqref="X14">
    <cfRule type="duplicateValues" dxfId="962" priority="75"/>
    <cfRule type="duplicateValues" dxfId="961" priority="76"/>
  </conditionalFormatting>
  <conditionalFormatting sqref="X14">
    <cfRule type="duplicateValues" dxfId="960" priority="77"/>
    <cfRule type="duplicateValues" dxfId="959" priority="78"/>
    <cfRule type="duplicateValues" dxfId="958" priority="79"/>
  </conditionalFormatting>
  <conditionalFormatting sqref="X14">
    <cfRule type="duplicateValues" dxfId="957" priority="80"/>
  </conditionalFormatting>
  <conditionalFormatting sqref="Y14">
    <cfRule type="duplicateValues" dxfId="956" priority="81"/>
  </conditionalFormatting>
  <conditionalFormatting sqref="Y14">
    <cfRule type="duplicateValues" dxfId="955" priority="82"/>
    <cfRule type="duplicateValues" dxfId="954" priority="83"/>
  </conditionalFormatting>
  <conditionalFormatting sqref="X13">
    <cfRule type="duplicateValues" dxfId="953" priority="84"/>
    <cfRule type="duplicateValues" dxfId="952" priority="85"/>
    <cfRule type="duplicateValues" dxfId="951" priority="86"/>
  </conditionalFormatting>
  <conditionalFormatting sqref="X13">
    <cfRule type="duplicateValues" dxfId="950" priority="87"/>
  </conditionalFormatting>
  <conditionalFormatting sqref="Y13">
    <cfRule type="duplicateValues" dxfId="949" priority="88"/>
  </conditionalFormatting>
  <conditionalFormatting sqref="Y13">
    <cfRule type="duplicateValues" dxfId="948" priority="89"/>
    <cfRule type="duplicateValues" dxfId="947" priority="90"/>
  </conditionalFormatting>
  <conditionalFormatting sqref="V14">
    <cfRule type="duplicateValues" dxfId="946" priority="91"/>
    <cfRule type="duplicateValues" dxfId="945" priority="92"/>
    <cfRule type="duplicateValues" dxfId="944" priority="93"/>
  </conditionalFormatting>
  <conditionalFormatting sqref="V14">
    <cfRule type="duplicateValues" dxfId="943" priority="94"/>
  </conditionalFormatting>
  <conditionalFormatting sqref="V13">
    <cfRule type="duplicateValues" dxfId="942" priority="95"/>
    <cfRule type="duplicateValues" dxfId="941" priority="96"/>
    <cfRule type="duplicateValues" dxfId="940" priority="97"/>
  </conditionalFormatting>
  <conditionalFormatting sqref="V13">
    <cfRule type="duplicateValues" dxfId="939" priority="98"/>
  </conditionalFormatting>
  <conditionalFormatting sqref="U15:U21">
    <cfRule type="containsText" dxfId="938" priority="99" operator="containsText" text="left">
      <formula>NOT(ISERROR(SEARCH("left",U15)))</formula>
    </cfRule>
  </conditionalFormatting>
  <conditionalFormatting sqref="B12">
    <cfRule type="duplicateValues" dxfId="937" priority="100"/>
  </conditionalFormatting>
  <conditionalFormatting sqref="B8">
    <cfRule type="duplicateValues" dxfId="936" priority="101"/>
  </conditionalFormatting>
  <conditionalFormatting sqref="AA3">
    <cfRule type="duplicateValues" dxfId="935" priority="102"/>
  </conditionalFormatting>
  <conditionalFormatting sqref="Y3">
    <cfRule type="duplicateValues" dxfId="934" priority="103"/>
    <cfRule type="duplicateValues" dxfId="933" priority="104"/>
  </conditionalFormatting>
  <conditionalFormatting sqref="Y3">
    <cfRule type="duplicateValues" dxfId="932" priority="105"/>
  </conditionalFormatting>
  <conditionalFormatting sqref="X3">
    <cfRule type="duplicateValues" dxfId="931" priority="106"/>
    <cfRule type="duplicateValues" dxfId="930" priority="107"/>
    <cfRule type="duplicateValues" dxfId="929" priority="108"/>
  </conditionalFormatting>
  <conditionalFormatting sqref="X3">
    <cfRule type="duplicateValues" dxfId="928" priority="109"/>
    <cfRule type="duplicateValues" dxfId="927" priority="110"/>
  </conditionalFormatting>
  <conditionalFormatting sqref="X3">
    <cfRule type="duplicateValues" dxfId="926" priority="111"/>
  </conditionalFormatting>
  <conditionalFormatting sqref="V3">
    <cfRule type="duplicateValues" dxfId="925" priority="112"/>
    <cfRule type="duplicateValues" dxfId="924" priority="113"/>
    <cfRule type="duplicateValues" dxfId="923" priority="114"/>
  </conditionalFormatting>
  <conditionalFormatting sqref="V3">
    <cfRule type="duplicateValues" dxfId="922" priority="115"/>
  </conditionalFormatting>
  <conditionalFormatting sqref="V6">
    <cfRule type="duplicateValues" dxfId="921" priority="116"/>
  </conditionalFormatting>
  <conditionalFormatting sqref="B27:B1048576 B1:B2 B7:B18">
    <cfRule type="duplicateValues" dxfId="920" priority="121"/>
    <cfRule type="duplicateValues" dxfId="919" priority="122"/>
    <cfRule type="duplicateValues" dxfId="918" priority="123"/>
  </conditionalFormatting>
  <conditionalFormatting sqref="V2:AA2">
    <cfRule type="duplicateValues" dxfId="917" priority="124"/>
  </conditionalFormatting>
  <conditionalFormatting sqref="U2">
    <cfRule type="duplicateValues" dxfId="916" priority="125"/>
  </conditionalFormatting>
  <conditionalFormatting sqref="U27:U1048576 U1 U7:U24">
    <cfRule type="duplicateValues" dxfId="915" priority="126"/>
  </conditionalFormatting>
  <conditionalFormatting sqref="V6">
    <cfRule type="duplicateValues" dxfId="914" priority="127"/>
    <cfRule type="duplicateValues" dxfId="913" priority="128"/>
    <cfRule type="duplicateValues" dxfId="912" priority="129"/>
  </conditionalFormatting>
  <conditionalFormatting sqref="X6">
    <cfRule type="duplicateValues" dxfId="911" priority="130"/>
  </conditionalFormatting>
  <conditionalFormatting sqref="X6">
    <cfRule type="duplicateValues" dxfId="910" priority="131"/>
    <cfRule type="duplicateValues" dxfId="909" priority="132"/>
  </conditionalFormatting>
  <conditionalFormatting sqref="X6">
    <cfRule type="duplicateValues" dxfId="908" priority="133"/>
    <cfRule type="duplicateValues" dxfId="907" priority="134"/>
    <cfRule type="duplicateValues" dxfId="906" priority="135"/>
  </conditionalFormatting>
  <conditionalFormatting sqref="Y6">
    <cfRule type="duplicateValues" dxfId="905" priority="136"/>
  </conditionalFormatting>
  <conditionalFormatting sqref="Y6">
    <cfRule type="duplicateValues" dxfId="904" priority="137"/>
    <cfRule type="duplicateValues" dxfId="903" priority="138"/>
  </conditionalFormatting>
  <conditionalFormatting sqref="AA6">
    <cfRule type="duplicateValues" dxfId="902" priority="139"/>
  </conditionalFormatting>
  <conditionalFormatting sqref="V32:AA1048576 V1:AA1 X28:X31 V7:AA18 V27:W31 Y27:AA31 X3:Y6">
    <cfRule type="duplicateValues" dxfId="901" priority="140"/>
  </conditionalFormatting>
  <conditionalFormatting sqref="V3:V6">
    <cfRule type="duplicateValues" dxfId="900" priority="141"/>
  </conditionalFormatting>
  <conditionalFormatting sqref="X3:X6">
    <cfRule type="duplicateValues" dxfId="899" priority="142"/>
  </conditionalFormatting>
  <conditionalFormatting sqref="Y3:Y6">
    <cfRule type="duplicateValues" dxfId="898" priority="143"/>
  </conditionalFormatting>
  <conditionalFormatting sqref="AA3:AA6">
    <cfRule type="duplicateValues" dxfId="897" priority="144"/>
  </conditionalFormatting>
  <conditionalFormatting sqref="B9:B11">
    <cfRule type="duplicateValues" dxfId="896" priority="145"/>
  </conditionalFormatting>
  <conditionalFormatting sqref="B8:B11">
    <cfRule type="duplicateValues" dxfId="895" priority="146"/>
    <cfRule type="duplicateValues" dxfId="894" priority="147"/>
    <cfRule type="duplicateValues" dxfId="893" priority="148"/>
  </conditionalFormatting>
  <conditionalFormatting sqref="B8:B11">
    <cfRule type="duplicateValues" dxfId="892" priority="149"/>
  </conditionalFormatting>
  <conditionalFormatting sqref="V15">
    <cfRule type="duplicateValues" dxfId="891" priority="150"/>
  </conditionalFormatting>
  <conditionalFormatting sqref="V15">
    <cfRule type="duplicateValues" dxfId="890" priority="151"/>
    <cfRule type="duplicateValues" dxfId="889" priority="152"/>
    <cfRule type="duplicateValues" dxfId="888" priority="153"/>
  </conditionalFormatting>
  <conditionalFormatting sqref="Y15">
    <cfRule type="duplicateValues" dxfId="887" priority="154"/>
    <cfRule type="duplicateValues" dxfId="886" priority="155"/>
  </conditionalFormatting>
  <conditionalFormatting sqref="X15">
    <cfRule type="duplicateValues" dxfId="885" priority="156"/>
  </conditionalFormatting>
  <conditionalFormatting sqref="Y15">
    <cfRule type="duplicateValues" dxfId="884" priority="157"/>
  </conditionalFormatting>
  <conditionalFormatting sqref="X15">
    <cfRule type="duplicateValues" dxfId="883" priority="158"/>
    <cfRule type="duplicateValues" dxfId="882" priority="159"/>
    <cfRule type="duplicateValues" dxfId="881" priority="160"/>
  </conditionalFormatting>
  <conditionalFormatting sqref="AA15">
    <cfRule type="duplicateValues" dxfId="880" priority="161"/>
  </conditionalFormatting>
  <conditionalFormatting sqref="B12:B15">
    <cfRule type="duplicateValues" dxfId="879" priority="162"/>
    <cfRule type="duplicateValues" dxfId="878" priority="163"/>
    <cfRule type="duplicateValues" dxfId="877" priority="164"/>
  </conditionalFormatting>
  <conditionalFormatting sqref="B13:B15">
    <cfRule type="duplicateValues" dxfId="876" priority="165"/>
  </conditionalFormatting>
  <conditionalFormatting sqref="B12:B15">
    <cfRule type="duplicateValues" dxfId="875" priority="166"/>
  </conditionalFormatting>
  <conditionalFormatting sqref="V17 X17">
    <cfRule type="duplicateValues" dxfId="874" priority="167"/>
  </conditionalFormatting>
  <conditionalFormatting sqref="V17 X17">
    <cfRule type="duplicateValues" dxfId="873" priority="168"/>
    <cfRule type="duplicateValues" dxfId="872" priority="169"/>
    <cfRule type="duplicateValues" dxfId="871" priority="170"/>
  </conditionalFormatting>
  <conditionalFormatting sqref="V18 X18">
    <cfRule type="duplicateValues" dxfId="870" priority="171"/>
  </conditionalFormatting>
  <conditionalFormatting sqref="V18 X18">
    <cfRule type="duplicateValues" dxfId="869" priority="172"/>
    <cfRule type="duplicateValues" dxfId="868" priority="173"/>
    <cfRule type="duplicateValues" dxfId="867" priority="174"/>
  </conditionalFormatting>
  <conditionalFormatting sqref="B19">
    <cfRule type="duplicateValues" dxfId="866" priority="175"/>
  </conditionalFormatting>
  <conditionalFormatting sqref="B19">
    <cfRule type="duplicateValues" dxfId="865" priority="176"/>
    <cfRule type="duplicateValues" dxfId="864" priority="177"/>
    <cfRule type="duplicateValues" dxfId="863" priority="178"/>
  </conditionalFormatting>
  <conditionalFormatting sqref="B21:B26">
    <cfRule type="duplicateValues" dxfId="862" priority="179"/>
  </conditionalFormatting>
  <conditionalFormatting sqref="B20:B26">
    <cfRule type="duplicateValues" dxfId="861" priority="181"/>
  </conditionalFormatting>
  <conditionalFormatting sqref="X27 X22:AA22 V24:AA26 X23:Z23 V22:W23 V20:AA21">
    <cfRule type="duplicateValues" dxfId="860" priority="182"/>
  </conditionalFormatting>
  <conditionalFormatting sqref="U20:U24">
    <cfRule type="duplicateValues" dxfId="859" priority="183"/>
  </conditionalFormatting>
  <conditionalFormatting sqref="B20:B26">
    <cfRule type="duplicateValues" dxfId="858" priority="184"/>
    <cfRule type="duplicateValues" dxfId="857" priority="185"/>
    <cfRule type="duplicateValues" dxfId="856" priority="186"/>
  </conditionalFormatting>
  <conditionalFormatting sqref="U25">
    <cfRule type="duplicateValues" dxfId="855" priority="187"/>
  </conditionalFormatting>
  <conditionalFormatting sqref="U26">
    <cfRule type="duplicateValues" dxfId="854" priority="188"/>
  </conditionalFormatting>
  <conditionalFormatting sqref="AA23">
    <cfRule type="duplicateValues" dxfId="853" priority="189"/>
  </conditionalFormatting>
  <conditionalFormatting sqref="B27">
    <cfRule type="duplicateValues" dxfId="852" priority="37"/>
    <cfRule type="duplicateValues" dxfId="851" priority="38"/>
    <cfRule type="duplicateValues" dxfId="850" priority="39"/>
  </conditionalFormatting>
  <conditionalFormatting sqref="U27">
    <cfRule type="duplicateValues" dxfId="849" priority="36"/>
  </conditionalFormatting>
  <conditionalFormatting sqref="V27:AA27">
    <cfRule type="duplicateValues" dxfId="848" priority="35"/>
  </conditionalFormatting>
  <conditionalFormatting sqref="B20:B21">
    <cfRule type="duplicateValues" dxfId="847" priority="34"/>
  </conditionalFormatting>
  <conditionalFormatting sqref="B20:B21">
    <cfRule type="duplicateValues" dxfId="846" priority="31"/>
    <cfRule type="duplicateValues" dxfId="845" priority="32"/>
    <cfRule type="duplicateValues" dxfId="844" priority="33"/>
  </conditionalFormatting>
  <conditionalFormatting sqref="AA20:AA21">
    <cfRule type="duplicateValues" dxfId="843" priority="30"/>
  </conditionalFormatting>
  <conditionalFormatting sqref="X20:X21">
    <cfRule type="duplicateValues" dxfId="842" priority="27"/>
    <cfRule type="duplicateValues" dxfId="841" priority="28"/>
    <cfRule type="duplicateValues" dxfId="840" priority="29"/>
  </conditionalFormatting>
  <conditionalFormatting sqref="Y20:Y21">
    <cfRule type="duplicateValues" dxfId="839" priority="26"/>
  </conditionalFormatting>
  <conditionalFormatting sqref="X20:X21">
    <cfRule type="duplicateValues" dxfId="838" priority="25"/>
  </conditionalFormatting>
  <conditionalFormatting sqref="Y20:Y21">
    <cfRule type="duplicateValues" dxfId="837" priority="23"/>
    <cfRule type="duplicateValues" dxfId="836" priority="24"/>
  </conditionalFormatting>
  <conditionalFormatting sqref="V20:V21">
    <cfRule type="duplicateValues" dxfId="835" priority="20"/>
    <cfRule type="duplicateValues" dxfId="834" priority="21"/>
    <cfRule type="duplicateValues" dxfId="833" priority="22"/>
  </conditionalFormatting>
  <conditionalFormatting sqref="V20:V21">
    <cfRule type="duplicateValues" dxfId="832" priority="19"/>
  </conditionalFormatting>
  <conditionalFormatting sqref="V20:AA21">
    <cfRule type="duplicateValues" dxfId="831" priority="9"/>
  </conditionalFormatting>
  <conditionalFormatting sqref="X20:X21 V20:V21">
    <cfRule type="duplicateValues" dxfId="830" priority="8"/>
  </conditionalFormatting>
  <conditionalFormatting sqref="X20:X21 V20:V21">
    <cfRule type="duplicateValues" dxfId="829" priority="5"/>
    <cfRule type="duplicateValues" dxfId="828" priority="6"/>
    <cfRule type="duplicateValues" dxfId="827" priority="7"/>
  </conditionalFormatting>
  <conditionalFormatting sqref="U16">
    <cfRule type="duplicateValues" dxfId="826" priority="3"/>
  </conditionalFormatting>
  <conditionalFormatting sqref="U17:U21">
    <cfRule type="duplicateValues" dxfId="825" priority="1"/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4"/>
  <sheetViews>
    <sheetView workbookViewId="0">
      <pane xSplit="4" ySplit="1" topLeftCell="X2" activePane="bottomRight" state="frozen"/>
      <selection pane="topRight" activeCell="W1" sqref="W1"/>
      <selection pane="bottomLeft" activeCell="A9" sqref="A9"/>
      <selection pane="bottomRight" activeCell="C29" sqref="C29"/>
    </sheetView>
  </sheetViews>
  <sheetFormatPr defaultColWidth="9.140625" defaultRowHeight="12"/>
  <cols>
    <col min="1" max="1" width="9.140625" style="56"/>
    <col min="2" max="2" width="9.140625" style="57"/>
    <col min="3" max="3" width="29.140625" style="56" customWidth="1"/>
    <col min="4" max="4" width="9.140625" style="56"/>
    <col min="5" max="5" width="15.7109375" style="56" customWidth="1"/>
    <col min="6" max="6" width="19.28515625" style="56" customWidth="1"/>
    <col min="7" max="7" width="12.28515625" style="56" customWidth="1"/>
    <col min="8" max="9" width="14.28515625" style="56" customWidth="1"/>
    <col min="10" max="10" width="10.7109375" style="56" customWidth="1"/>
    <col min="11" max="11" width="9.140625" style="58"/>
    <col min="12" max="12" width="13.85546875" style="56" customWidth="1"/>
    <col min="13" max="13" width="9.140625" style="56"/>
    <col min="14" max="14" width="11" style="59" customWidth="1"/>
    <col min="15" max="16" width="9.140625" style="56"/>
    <col min="17" max="17" width="13.42578125" style="56" customWidth="1"/>
    <col min="18" max="18" width="11.7109375" style="56" customWidth="1"/>
    <col min="19" max="19" width="11.85546875" style="56" customWidth="1"/>
    <col min="20" max="20" width="23" style="56" customWidth="1"/>
    <col min="21" max="21" width="11" style="56" customWidth="1"/>
    <col min="22" max="22" width="13.5703125" style="56" customWidth="1"/>
    <col min="23" max="23" width="29.42578125" style="56" customWidth="1"/>
    <col min="24" max="24" width="11" style="56" customWidth="1"/>
    <col min="25" max="25" width="13.140625" style="60" customWidth="1"/>
    <col min="26" max="26" width="12.42578125" style="57" customWidth="1"/>
    <col min="27" max="27" width="17.28515625" style="57" customWidth="1"/>
    <col min="28" max="28" width="12.85546875" style="60" customWidth="1"/>
    <col min="29" max="29" width="52.85546875" style="57" customWidth="1"/>
    <col min="30" max="30" width="20.28515625" style="61" customWidth="1"/>
    <col min="31" max="31" width="102.7109375" style="56" customWidth="1"/>
    <col min="32" max="32" width="120.140625" style="56" customWidth="1"/>
    <col min="33" max="35" width="9.140625" style="56"/>
    <col min="36" max="36" width="9.140625" style="59"/>
    <col min="37" max="16384" width="9.140625" style="56"/>
  </cols>
  <sheetData>
    <row r="1" spans="1:48" s="1" customFormat="1" ht="18" customHeight="1">
      <c r="A1" s="7" t="s">
        <v>332</v>
      </c>
      <c r="B1" s="8"/>
      <c r="C1" s="9"/>
      <c r="D1" s="9"/>
      <c r="E1" s="8"/>
      <c r="F1" s="8"/>
      <c r="G1" s="10"/>
      <c r="H1" s="10"/>
      <c r="I1" s="8"/>
      <c r="J1" s="12"/>
      <c r="K1" s="12"/>
      <c r="L1" s="12"/>
      <c r="M1" s="8"/>
      <c r="N1" s="10"/>
      <c r="O1" s="9"/>
      <c r="P1" s="8"/>
      <c r="Q1" s="10"/>
      <c r="R1" s="10"/>
      <c r="S1" s="10"/>
      <c r="T1" s="10"/>
      <c r="U1" s="62"/>
      <c r="V1" s="8"/>
      <c r="W1" s="8"/>
      <c r="X1" s="8"/>
      <c r="Y1" s="8"/>
      <c r="Z1" s="8"/>
      <c r="AA1" s="10"/>
      <c r="AB1" s="8"/>
      <c r="AC1" s="10"/>
      <c r="AD1" s="10"/>
      <c r="AE1" s="10"/>
      <c r="AF1" s="13"/>
      <c r="AG1" s="119" t="s">
        <v>1</v>
      </c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</row>
    <row r="2" spans="1:48" s="2" customFormat="1" ht="48">
      <c r="A2" s="14" t="s">
        <v>2</v>
      </c>
      <c r="B2" s="14" t="s">
        <v>3</v>
      </c>
      <c r="C2" s="14" t="s">
        <v>4</v>
      </c>
      <c r="D2" s="14" t="s">
        <v>5</v>
      </c>
      <c r="E2" s="14" t="s">
        <v>6</v>
      </c>
      <c r="F2" s="14" t="s">
        <v>7</v>
      </c>
      <c r="G2" s="14" t="s">
        <v>8</v>
      </c>
      <c r="H2" s="14" t="s">
        <v>9</v>
      </c>
      <c r="I2" s="14" t="s">
        <v>10</v>
      </c>
      <c r="J2" s="16" t="s">
        <v>11</v>
      </c>
      <c r="K2" s="16" t="s">
        <v>12</v>
      </c>
      <c r="L2" s="17" t="s">
        <v>13</v>
      </c>
      <c r="M2" s="14" t="s">
        <v>14</v>
      </c>
      <c r="N2" s="14" t="s">
        <v>15</v>
      </c>
      <c r="O2" s="14" t="s">
        <v>16</v>
      </c>
      <c r="P2" s="19" t="s">
        <v>17</v>
      </c>
      <c r="Q2" s="14" t="s">
        <v>18</v>
      </c>
      <c r="R2" s="14" t="s">
        <v>19</v>
      </c>
      <c r="S2" s="14" t="s">
        <v>20</v>
      </c>
      <c r="T2" s="14" t="s">
        <v>21</v>
      </c>
      <c r="U2" s="14" t="s">
        <v>22</v>
      </c>
      <c r="V2" s="14" t="s">
        <v>23</v>
      </c>
      <c r="W2" s="14" t="s">
        <v>24</v>
      </c>
      <c r="X2" s="14" t="s">
        <v>25</v>
      </c>
      <c r="Y2" s="14" t="s">
        <v>26</v>
      </c>
      <c r="Z2" s="14" t="s">
        <v>27</v>
      </c>
      <c r="AA2" s="14" t="s">
        <v>28</v>
      </c>
      <c r="AB2" s="14" t="s">
        <v>29</v>
      </c>
      <c r="AC2" s="14" t="s">
        <v>30</v>
      </c>
      <c r="AD2" s="14" t="s">
        <v>31</v>
      </c>
      <c r="AE2" s="19" t="s">
        <v>32</v>
      </c>
      <c r="AF2" s="19" t="s">
        <v>33</v>
      </c>
      <c r="AG2" s="19" t="s">
        <v>34</v>
      </c>
      <c r="AH2" s="19" t="s">
        <v>35</v>
      </c>
      <c r="AI2" s="19" t="s">
        <v>36</v>
      </c>
      <c r="AJ2" s="19" t="s">
        <v>37</v>
      </c>
      <c r="AK2" s="19" t="s">
        <v>38</v>
      </c>
      <c r="AL2" s="19" t="s">
        <v>39</v>
      </c>
      <c r="AM2" s="19" t="s">
        <v>40</v>
      </c>
      <c r="AN2" s="19" t="s">
        <v>41</v>
      </c>
      <c r="AO2" s="19" t="s">
        <v>42</v>
      </c>
      <c r="AP2" s="19" t="s">
        <v>43</v>
      </c>
      <c r="AQ2" s="19" t="s">
        <v>44</v>
      </c>
      <c r="AR2" s="19" t="s">
        <v>45</v>
      </c>
      <c r="AS2" s="19" t="s">
        <v>46</v>
      </c>
      <c r="AT2" s="19" t="s">
        <v>47</v>
      </c>
    </row>
    <row r="3" spans="1:48" s="1" customFormat="1" ht="12.75" customHeight="1">
      <c r="A3" s="20">
        <v>1</v>
      </c>
      <c r="B3" s="28" t="s">
        <v>134</v>
      </c>
      <c r="C3" s="20" t="s">
        <v>135</v>
      </c>
      <c r="D3" s="20" t="s">
        <v>50</v>
      </c>
      <c r="E3" s="23" t="s">
        <v>51</v>
      </c>
      <c r="F3" s="23" t="s">
        <v>136</v>
      </c>
      <c r="G3" s="24" t="s">
        <v>53</v>
      </c>
      <c r="H3" s="30" t="s">
        <v>54</v>
      </c>
      <c r="I3" s="23"/>
      <c r="J3" s="27">
        <v>46071</v>
      </c>
      <c r="K3" s="26">
        <f t="shared" ref="K3:K24" ca="1" si="0">(TODAY()-J3)/365</f>
        <v>0.50136986301369868</v>
      </c>
      <c r="L3" s="27">
        <v>35508</v>
      </c>
      <c r="M3" s="28">
        <f t="shared" ref="M3:M24" ca="1" si="1">DATEDIF(L3,TODAY(),"y")</f>
        <v>29</v>
      </c>
      <c r="N3" s="20" t="s">
        <v>106</v>
      </c>
      <c r="O3" s="20"/>
      <c r="P3" s="53" t="s">
        <v>56</v>
      </c>
      <c r="Q3" s="20" t="s">
        <v>333</v>
      </c>
      <c r="R3" s="24" t="s">
        <v>334</v>
      </c>
      <c r="S3" s="20" t="s">
        <v>57</v>
      </c>
      <c r="T3" s="20" t="s">
        <v>137</v>
      </c>
      <c r="U3" s="30">
        <v>8438689264</v>
      </c>
      <c r="V3" s="30" t="s">
        <v>138</v>
      </c>
      <c r="W3" s="30"/>
      <c r="X3" s="30">
        <v>5611364303</v>
      </c>
      <c r="Y3" s="30" t="s">
        <v>139</v>
      </c>
      <c r="Z3" s="30"/>
      <c r="AA3" s="30" t="s">
        <v>140</v>
      </c>
      <c r="AB3" s="30" t="s">
        <v>141</v>
      </c>
      <c r="AC3" s="102" t="s">
        <v>142</v>
      </c>
      <c r="AD3" s="30" t="s">
        <v>136</v>
      </c>
      <c r="AE3" s="20" t="s">
        <v>143</v>
      </c>
      <c r="AF3" s="20" t="s">
        <v>143</v>
      </c>
      <c r="AG3" s="38">
        <v>7060</v>
      </c>
      <c r="AH3" s="38">
        <v>7981</v>
      </c>
      <c r="AI3" s="38"/>
      <c r="AJ3" s="38"/>
      <c r="AK3" s="38"/>
      <c r="AL3" s="38">
        <v>15041</v>
      </c>
      <c r="AM3" s="38">
        <v>15000</v>
      </c>
      <c r="AN3" s="38">
        <v>1950</v>
      </c>
      <c r="AO3" s="38">
        <v>488.83249999999998</v>
      </c>
      <c r="AP3" s="38">
        <v>1253.4166666666699</v>
      </c>
      <c r="AQ3" s="38"/>
      <c r="AR3" s="39"/>
      <c r="AS3" s="39">
        <v>1203.28</v>
      </c>
      <c r="AT3" s="38">
        <f t="shared" ref="AT3:AT24" si="2">AL3+AN3+AO3+AP3+AR3+AS3</f>
        <v>19936.529166666671</v>
      </c>
      <c r="AV3" s="41"/>
    </row>
    <row r="4" spans="1:48" s="1" customFormat="1" ht="12.75" customHeight="1">
      <c r="A4" s="20">
        <f t="shared" ref="A4:A24" si="3">A3+1</f>
        <v>2</v>
      </c>
      <c r="B4" s="28" t="s">
        <v>144</v>
      </c>
      <c r="C4" s="20" t="s">
        <v>145</v>
      </c>
      <c r="D4" s="20" t="s">
        <v>50</v>
      </c>
      <c r="E4" s="23" t="s">
        <v>51</v>
      </c>
      <c r="F4" s="23" t="s">
        <v>105</v>
      </c>
      <c r="G4" s="24" t="s">
        <v>53</v>
      </c>
      <c r="H4" s="30" t="s">
        <v>54</v>
      </c>
      <c r="I4" s="23"/>
      <c r="J4" s="27">
        <v>46071</v>
      </c>
      <c r="K4" s="26">
        <f t="shared" ca="1" si="0"/>
        <v>0.50136986301369868</v>
      </c>
      <c r="L4" s="27">
        <v>33823</v>
      </c>
      <c r="M4" s="28">
        <f t="shared" ca="1" si="1"/>
        <v>34</v>
      </c>
      <c r="N4" s="20"/>
      <c r="O4" s="20"/>
      <c r="P4" s="53" t="s">
        <v>56</v>
      </c>
      <c r="Q4" s="20" t="s">
        <v>335</v>
      </c>
      <c r="R4" s="24" t="s">
        <v>146</v>
      </c>
      <c r="S4" s="20" t="s">
        <v>94</v>
      </c>
      <c r="T4" s="20" t="s">
        <v>147</v>
      </c>
      <c r="U4" s="30">
        <v>9095732300</v>
      </c>
      <c r="V4" s="30" t="s">
        <v>148</v>
      </c>
      <c r="W4" s="30"/>
      <c r="X4" s="30">
        <v>5611281667</v>
      </c>
      <c r="Y4" s="30" t="s">
        <v>149</v>
      </c>
      <c r="Z4" s="30"/>
      <c r="AA4" s="30" t="s">
        <v>150</v>
      </c>
      <c r="AB4" s="30" t="s">
        <v>151</v>
      </c>
      <c r="AC4" s="102" t="s">
        <v>152</v>
      </c>
      <c r="AD4" s="30" t="s">
        <v>153</v>
      </c>
      <c r="AE4" s="20" t="s">
        <v>154</v>
      </c>
      <c r="AF4" s="20" t="s">
        <v>154</v>
      </c>
      <c r="AG4" s="38">
        <v>7060</v>
      </c>
      <c r="AH4" s="38">
        <v>7981</v>
      </c>
      <c r="AI4" s="38"/>
      <c r="AJ4" s="38"/>
      <c r="AK4" s="38"/>
      <c r="AL4" s="38">
        <v>15041</v>
      </c>
      <c r="AM4" s="38">
        <v>15000</v>
      </c>
      <c r="AN4" s="38">
        <v>1950</v>
      </c>
      <c r="AO4" s="38">
        <v>488.83249999999998</v>
      </c>
      <c r="AP4" s="38">
        <v>1253.4166666666699</v>
      </c>
      <c r="AQ4" s="38"/>
      <c r="AR4" s="39"/>
      <c r="AS4" s="39">
        <v>1203.28</v>
      </c>
      <c r="AT4" s="38">
        <f t="shared" si="2"/>
        <v>19936.529166666671</v>
      </c>
      <c r="AV4" s="41"/>
    </row>
    <row r="5" spans="1:48" s="1" customFormat="1" ht="12.75" customHeight="1">
      <c r="A5" s="20">
        <f t="shared" si="3"/>
        <v>3</v>
      </c>
      <c r="B5" s="28" t="s">
        <v>155</v>
      </c>
      <c r="C5" s="20" t="s">
        <v>156</v>
      </c>
      <c r="D5" s="20" t="s">
        <v>50</v>
      </c>
      <c r="E5" s="23" t="s">
        <v>51</v>
      </c>
      <c r="F5" s="23" t="s">
        <v>83</v>
      </c>
      <c r="G5" s="24" t="s">
        <v>53</v>
      </c>
      <c r="H5" s="30" t="s">
        <v>54</v>
      </c>
      <c r="I5" s="23"/>
      <c r="J5" s="27">
        <v>46071</v>
      </c>
      <c r="K5" s="26">
        <f t="shared" ca="1" si="0"/>
        <v>0.50136986301369868</v>
      </c>
      <c r="L5" s="27">
        <v>35753</v>
      </c>
      <c r="M5" s="28">
        <f t="shared" ca="1" si="1"/>
        <v>28</v>
      </c>
      <c r="N5" s="20" t="s">
        <v>106</v>
      </c>
      <c r="O5" s="20"/>
      <c r="P5" s="53" t="s">
        <v>56</v>
      </c>
      <c r="Q5" s="20" t="s">
        <v>336</v>
      </c>
      <c r="R5" s="24" t="s">
        <v>337</v>
      </c>
      <c r="S5" s="20" t="s">
        <v>94</v>
      </c>
      <c r="T5" s="20" t="s">
        <v>157</v>
      </c>
      <c r="U5" s="30">
        <v>8248087395</v>
      </c>
      <c r="V5" s="30" t="s">
        <v>158</v>
      </c>
      <c r="W5" s="30"/>
      <c r="X5" s="30">
        <v>5610900530</v>
      </c>
      <c r="Y5" s="30" t="s">
        <v>159</v>
      </c>
      <c r="Z5" s="30"/>
      <c r="AA5" s="30" t="s">
        <v>160</v>
      </c>
      <c r="AB5" s="30" t="s">
        <v>161</v>
      </c>
      <c r="AC5" s="102" t="s">
        <v>162</v>
      </c>
      <c r="AD5" s="30" t="s">
        <v>78</v>
      </c>
      <c r="AE5" s="20" t="s">
        <v>163</v>
      </c>
      <c r="AF5" s="20" t="s">
        <v>164</v>
      </c>
      <c r="AG5" s="38">
        <v>7060</v>
      </c>
      <c r="AH5" s="38">
        <v>7981</v>
      </c>
      <c r="AI5" s="38"/>
      <c r="AJ5" s="38"/>
      <c r="AK5" s="38"/>
      <c r="AL5" s="38">
        <v>15041</v>
      </c>
      <c r="AM5" s="38">
        <v>15000</v>
      </c>
      <c r="AN5" s="38">
        <v>1950</v>
      </c>
      <c r="AO5" s="38">
        <v>488.83249999999998</v>
      </c>
      <c r="AP5" s="38">
        <v>1253.4166666666699</v>
      </c>
      <c r="AQ5" s="38"/>
      <c r="AR5" s="39"/>
      <c r="AS5" s="39">
        <v>1203.28</v>
      </c>
      <c r="AT5" s="38">
        <f t="shared" si="2"/>
        <v>19936.529166666671</v>
      </c>
      <c r="AV5" s="41"/>
    </row>
    <row r="6" spans="1:48" s="1" customFormat="1" ht="12.75" customHeight="1">
      <c r="A6" s="20">
        <f t="shared" si="3"/>
        <v>4</v>
      </c>
      <c r="B6" s="28" t="s">
        <v>165</v>
      </c>
      <c r="C6" s="20" t="s">
        <v>166</v>
      </c>
      <c r="D6" s="20" t="s">
        <v>50</v>
      </c>
      <c r="E6" s="23" t="s">
        <v>51</v>
      </c>
      <c r="F6" s="23" t="s">
        <v>167</v>
      </c>
      <c r="G6" s="24" t="s">
        <v>53</v>
      </c>
      <c r="H6" s="30" t="s">
        <v>54</v>
      </c>
      <c r="I6" s="23"/>
      <c r="J6" s="27">
        <v>46071</v>
      </c>
      <c r="K6" s="26">
        <f t="shared" ca="1" si="0"/>
        <v>0.50136986301369868</v>
      </c>
      <c r="L6" s="27">
        <v>29007</v>
      </c>
      <c r="M6" s="28">
        <f t="shared" ca="1" si="1"/>
        <v>47</v>
      </c>
      <c r="N6" s="20" t="s">
        <v>119</v>
      </c>
      <c r="O6" s="20"/>
      <c r="P6" s="53" t="s">
        <v>56</v>
      </c>
      <c r="Q6" s="24" t="s">
        <v>338</v>
      </c>
      <c r="R6" s="24" t="s">
        <v>168</v>
      </c>
      <c r="S6" s="20" t="s">
        <v>94</v>
      </c>
      <c r="T6" s="20" t="s">
        <v>169</v>
      </c>
      <c r="U6" s="30">
        <v>9942813416</v>
      </c>
      <c r="V6" s="30" t="s">
        <v>170</v>
      </c>
      <c r="W6" s="30"/>
      <c r="X6" s="30">
        <v>5610945247</v>
      </c>
      <c r="Y6" s="30" t="s">
        <v>171</v>
      </c>
      <c r="Z6" s="30"/>
      <c r="AA6" s="30" t="s">
        <v>172</v>
      </c>
      <c r="AB6" s="30" t="s">
        <v>173</v>
      </c>
      <c r="AC6" s="102" t="s">
        <v>174</v>
      </c>
      <c r="AD6" s="30" t="s">
        <v>113</v>
      </c>
      <c r="AE6" s="20" t="s">
        <v>175</v>
      </c>
      <c r="AF6" s="20" t="s">
        <v>176</v>
      </c>
      <c r="AG6" s="38">
        <v>7060</v>
      </c>
      <c r="AH6" s="38">
        <v>7981</v>
      </c>
      <c r="AI6" s="38"/>
      <c r="AJ6" s="38"/>
      <c r="AK6" s="38"/>
      <c r="AL6" s="38">
        <v>15041</v>
      </c>
      <c r="AM6" s="38">
        <v>15000</v>
      </c>
      <c r="AN6" s="38">
        <v>1950</v>
      </c>
      <c r="AO6" s="38">
        <v>488.83249999999998</v>
      </c>
      <c r="AP6" s="38">
        <v>1253.4166666666699</v>
      </c>
      <c r="AQ6" s="38"/>
      <c r="AR6" s="39"/>
      <c r="AS6" s="39">
        <v>1203.28</v>
      </c>
      <c r="AT6" s="38">
        <f t="shared" si="2"/>
        <v>19936.529166666671</v>
      </c>
      <c r="AV6" s="41"/>
    </row>
    <row r="7" spans="1:48" s="1" customFormat="1" ht="12.75" customHeight="1">
      <c r="A7" s="20">
        <f t="shared" si="3"/>
        <v>5</v>
      </c>
      <c r="B7" s="28" t="s">
        <v>177</v>
      </c>
      <c r="C7" s="20" t="s">
        <v>178</v>
      </c>
      <c r="D7" s="20" t="s">
        <v>50</v>
      </c>
      <c r="E7" s="23" t="s">
        <v>51</v>
      </c>
      <c r="F7" s="23" t="s">
        <v>69</v>
      </c>
      <c r="G7" s="24" t="s">
        <v>53</v>
      </c>
      <c r="H7" s="30" t="s">
        <v>54</v>
      </c>
      <c r="I7" s="23"/>
      <c r="J7" s="27">
        <v>46092</v>
      </c>
      <c r="K7" s="26">
        <f t="shared" ca="1" si="0"/>
        <v>0.44383561643835617</v>
      </c>
      <c r="L7" s="27">
        <v>34416</v>
      </c>
      <c r="M7" s="28">
        <f t="shared" ca="1" si="1"/>
        <v>32</v>
      </c>
      <c r="N7" s="20" t="s">
        <v>106</v>
      </c>
      <c r="O7" s="20"/>
      <c r="P7" s="53" t="s">
        <v>56</v>
      </c>
      <c r="Q7" s="24" t="s">
        <v>179</v>
      </c>
      <c r="R7" s="24" t="s">
        <v>180</v>
      </c>
      <c r="S7" s="20" t="s">
        <v>57</v>
      </c>
      <c r="T7" s="20" t="s">
        <v>181</v>
      </c>
      <c r="U7" s="30">
        <v>9360726906</v>
      </c>
      <c r="V7" s="30" t="s">
        <v>182</v>
      </c>
      <c r="W7" s="30"/>
      <c r="X7" s="30">
        <v>5606123921</v>
      </c>
      <c r="Y7" s="30" t="s">
        <v>183</v>
      </c>
      <c r="Z7" s="30"/>
      <c r="AA7" s="30" t="s">
        <v>184</v>
      </c>
      <c r="AB7" s="30" t="s">
        <v>124</v>
      </c>
      <c r="AC7" s="102" t="s">
        <v>100</v>
      </c>
      <c r="AD7" s="30" t="s">
        <v>125</v>
      </c>
      <c r="AE7" s="20" t="s">
        <v>185</v>
      </c>
      <c r="AF7" s="20" t="s">
        <v>185</v>
      </c>
      <c r="AG7" s="38">
        <v>7060</v>
      </c>
      <c r="AH7" s="38">
        <v>7981</v>
      </c>
      <c r="AI7" s="38"/>
      <c r="AJ7" s="38"/>
      <c r="AK7" s="38"/>
      <c r="AL7" s="38">
        <v>15041</v>
      </c>
      <c r="AM7" s="38">
        <v>15000</v>
      </c>
      <c r="AN7" s="38">
        <v>1950</v>
      </c>
      <c r="AO7" s="38">
        <v>488.83249999999998</v>
      </c>
      <c r="AP7" s="38">
        <v>1253.4166666666699</v>
      </c>
      <c r="AQ7" s="38"/>
      <c r="AR7" s="39"/>
      <c r="AS7" s="39">
        <v>1203.28</v>
      </c>
      <c r="AT7" s="38">
        <f t="shared" si="2"/>
        <v>19936.529166666671</v>
      </c>
      <c r="AV7" s="41"/>
    </row>
    <row r="8" spans="1:48" s="1" customFormat="1" ht="12.75" customHeight="1">
      <c r="A8" s="20">
        <f t="shared" si="3"/>
        <v>6</v>
      </c>
      <c r="B8" s="28" t="s">
        <v>186</v>
      </c>
      <c r="C8" s="20" t="s">
        <v>187</v>
      </c>
      <c r="D8" s="20" t="s">
        <v>50</v>
      </c>
      <c r="E8" s="23" t="s">
        <v>51</v>
      </c>
      <c r="F8" s="23" t="s">
        <v>105</v>
      </c>
      <c r="G8" s="24" t="s">
        <v>53</v>
      </c>
      <c r="H8" s="30" t="s">
        <v>54</v>
      </c>
      <c r="I8" s="23"/>
      <c r="J8" s="27">
        <v>46097</v>
      </c>
      <c r="K8" s="26">
        <f t="shared" ca="1" si="0"/>
        <v>0.43013698630136987</v>
      </c>
      <c r="L8" s="27">
        <v>37678</v>
      </c>
      <c r="M8" s="28">
        <f t="shared" ca="1" si="1"/>
        <v>23</v>
      </c>
      <c r="N8" s="20" t="s">
        <v>106</v>
      </c>
      <c r="O8" s="20"/>
      <c r="P8" s="53" t="s">
        <v>56</v>
      </c>
      <c r="Q8" s="24" t="s">
        <v>188</v>
      </c>
      <c r="R8" s="24" t="s">
        <v>189</v>
      </c>
      <c r="S8" s="20" t="s">
        <v>86</v>
      </c>
      <c r="T8" s="20"/>
      <c r="U8" s="30">
        <v>9629432693</v>
      </c>
      <c r="V8" s="34" t="s">
        <v>190</v>
      </c>
      <c r="W8" s="30"/>
      <c r="X8" s="34">
        <v>5611364305</v>
      </c>
      <c r="Y8" s="34" t="s">
        <v>191</v>
      </c>
      <c r="Z8" s="30"/>
      <c r="AA8" s="34" t="s">
        <v>192</v>
      </c>
      <c r="AB8" s="30" t="s">
        <v>99</v>
      </c>
      <c r="AC8" s="102" t="s">
        <v>100</v>
      </c>
      <c r="AD8" s="30" t="s">
        <v>101</v>
      </c>
      <c r="AE8" s="20" t="s">
        <v>193</v>
      </c>
      <c r="AF8" s="20" t="s">
        <v>193</v>
      </c>
      <c r="AG8" s="38">
        <v>7060</v>
      </c>
      <c r="AH8" s="38">
        <v>7981</v>
      </c>
      <c r="AI8" s="38"/>
      <c r="AJ8" s="38"/>
      <c r="AK8" s="38"/>
      <c r="AL8" s="38">
        <v>15041</v>
      </c>
      <c r="AM8" s="38">
        <v>15000</v>
      </c>
      <c r="AN8" s="38">
        <v>1950</v>
      </c>
      <c r="AO8" s="38">
        <v>488.83249999999998</v>
      </c>
      <c r="AP8" s="38">
        <v>1253.4166666666699</v>
      </c>
      <c r="AQ8" s="38"/>
      <c r="AR8" s="39"/>
      <c r="AS8" s="39">
        <v>1203.28</v>
      </c>
      <c r="AT8" s="38">
        <f t="shared" si="2"/>
        <v>19936.529166666671</v>
      </c>
      <c r="AV8" s="41"/>
    </row>
    <row r="9" spans="1:48" s="1" customFormat="1" ht="12.75" customHeight="1">
      <c r="A9" s="20">
        <f t="shared" si="3"/>
        <v>7</v>
      </c>
      <c r="B9" s="28" t="s">
        <v>194</v>
      </c>
      <c r="C9" s="20" t="s">
        <v>195</v>
      </c>
      <c r="D9" s="20" t="s">
        <v>50</v>
      </c>
      <c r="E9" s="23" t="s">
        <v>51</v>
      </c>
      <c r="F9" s="23" t="s">
        <v>196</v>
      </c>
      <c r="G9" s="24" t="s">
        <v>53</v>
      </c>
      <c r="H9" s="30" t="s">
        <v>54</v>
      </c>
      <c r="I9" s="23"/>
      <c r="J9" s="27">
        <v>46097</v>
      </c>
      <c r="K9" s="26">
        <f t="shared" ca="1" si="0"/>
        <v>0.43013698630136987</v>
      </c>
      <c r="L9" s="27">
        <v>34470</v>
      </c>
      <c r="M9" s="28">
        <f t="shared" ca="1" si="1"/>
        <v>32</v>
      </c>
      <c r="N9" s="20" t="s">
        <v>106</v>
      </c>
      <c r="O9" s="20"/>
      <c r="P9" s="53" t="s">
        <v>56</v>
      </c>
      <c r="Q9" s="24" t="s">
        <v>197</v>
      </c>
      <c r="R9" s="24" t="s">
        <v>198</v>
      </c>
      <c r="S9" s="20" t="s">
        <v>57</v>
      </c>
      <c r="T9" s="20" t="s">
        <v>199</v>
      </c>
      <c r="U9" s="30">
        <v>9489680178</v>
      </c>
      <c r="V9" s="34" t="s">
        <v>200</v>
      </c>
      <c r="W9" s="30"/>
      <c r="X9" s="34">
        <v>5611450926</v>
      </c>
      <c r="Y9" s="34" t="s">
        <v>201</v>
      </c>
      <c r="Z9" s="30"/>
      <c r="AA9" s="34" t="s">
        <v>202</v>
      </c>
      <c r="AB9" s="30" t="s">
        <v>99</v>
      </c>
      <c r="AC9" s="102" t="s">
        <v>100</v>
      </c>
      <c r="AD9" s="30" t="s">
        <v>101</v>
      </c>
      <c r="AE9" s="20" t="s">
        <v>203</v>
      </c>
      <c r="AF9" s="20" t="s">
        <v>203</v>
      </c>
      <c r="AG9" s="38">
        <v>7060</v>
      </c>
      <c r="AH9" s="38">
        <v>7981</v>
      </c>
      <c r="AI9" s="38"/>
      <c r="AJ9" s="38"/>
      <c r="AK9" s="38"/>
      <c r="AL9" s="38">
        <v>15041</v>
      </c>
      <c r="AM9" s="38">
        <v>15000</v>
      </c>
      <c r="AN9" s="38">
        <v>1950</v>
      </c>
      <c r="AO9" s="38">
        <v>488.83249999999998</v>
      </c>
      <c r="AP9" s="38">
        <v>1253.4166666666699</v>
      </c>
      <c r="AQ9" s="38"/>
      <c r="AR9" s="39"/>
      <c r="AS9" s="39">
        <v>1203.28</v>
      </c>
      <c r="AT9" s="38">
        <f t="shared" si="2"/>
        <v>19936.529166666671</v>
      </c>
      <c r="AV9" s="41"/>
    </row>
    <row r="10" spans="1:48" s="1" customFormat="1" ht="12.75" customHeight="1">
      <c r="A10" s="20">
        <f t="shared" si="3"/>
        <v>8</v>
      </c>
      <c r="B10" s="28" t="s">
        <v>339</v>
      </c>
      <c r="C10" s="20" t="s">
        <v>340</v>
      </c>
      <c r="D10" s="20" t="s">
        <v>50</v>
      </c>
      <c r="E10" s="23" t="s">
        <v>51</v>
      </c>
      <c r="F10" s="23" t="s">
        <v>69</v>
      </c>
      <c r="G10" s="24" t="s">
        <v>53</v>
      </c>
      <c r="H10" s="30" t="s">
        <v>54</v>
      </c>
      <c r="I10" s="23"/>
      <c r="J10" s="27">
        <v>46097</v>
      </c>
      <c r="K10" s="26">
        <f t="shared" ca="1" si="0"/>
        <v>0.43013698630136987</v>
      </c>
      <c r="L10" s="27">
        <v>33586</v>
      </c>
      <c r="M10" s="28">
        <f t="shared" ca="1" si="1"/>
        <v>34</v>
      </c>
      <c r="N10" s="20" t="s">
        <v>341</v>
      </c>
      <c r="O10" s="20"/>
      <c r="P10" s="53" t="s">
        <v>56</v>
      </c>
      <c r="Q10" s="24" t="s">
        <v>342</v>
      </c>
      <c r="R10" s="24" t="s">
        <v>343</v>
      </c>
      <c r="S10" s="20" t="s">
        <v>57</v>
      </c>
      <c r="T10" s="20" t="s">
        <v>344</v>
      </c>
      <c r="U10" s="30">
        <v>9791801412</v>
      </c>
      <c r="V10" s="30" t="s">
        <v>345</v>
      </c>
      <c r="W10" s="30"/>
      <c r="X10" s="30">
        <v>5609171391</v>
      </c>
      <c r="Y10" s="30" t="s">
        <v>346</v>
      </c>
      <c r="Z10" s="30"/>
      <c r="AA10" s="30" t="s">
        <v>347</v>
      </c>
      <c r="AB10" s="30" t="s">
        <v>111</v>
      </c>
      <c r="AC10" s="102" t="s">
        <v>112</v>
      </c>
      <c r="AD10" s="30" t="s">
        <v>113</v>
      </c>
      <c r="AE10" s="20" t="s">
        <v>348</v>
      </c>
      <c r="AF10" s="20" t="s">
        <v>348</v>
      </c>
      <c r="AG10" s="38">
        <v>7060</v>
      </c>
      <c r="AH10" s="38">
        <v>7981</v>
      </c>
      <c r="AI10" s="38"/>
      <c r="AJ10" s="38"/>
      <c r="AK10" s="38"/>
      <c r="AL10" s="38">
        <v>15041</v>
      </c>
      <c r="AM10" s="38">
        <v>15000</v>
      </c>
      <c r="AN10" s="38">
        <v>1950</v>
      </c>
      <c r="AO10" s="38">
        <v>488.83249999999998</v>
      </c>
      <c r="AP10" s="38">
        <v>1253.4166666666699</v>
      </c>
      <c r="AQ10" s="38"/>
      <c r="AR10" s="39"/>
      <c r="AS10" s="39">
        <v>1203.28</v>
      </c>
      <c r="AT10" s="38">
        <f t="shared" si="2"/>
        <v>19936.529166666671</v>
      </c>
      <c r="AV10" s="41"/>
    </row>
    <row r="11" spans="1:48" s="1" customFormat="1" ht="12.75" customHeight="1">
      <c r="A11" s="20">
        <f t="shared" si="3"/>
        <v>9</v>
      </c>
      <c r="B11" s="28" t="s">
        <v>204</v>
      </c>
      <c r="C11" s="20" t="s">
        <v>205</v>
      </c>
      <c r="D11" s="20" t="s">
        <v>50</v>
      </c>
      <c r="E11" s="23" t="s">
        <v>51</v>
      </c>
      <c r="F11" s="23" t="s">
        <v>206</v>
      </c>
      <c r="G11" s="24" t="s">
        <v>53</v>
      </c>
      <c r="H11" s="30" t="s">
        <v>54</v>
      </c>
      <c r="I11" s="23"/>
      <c r="J11" s="27">
        <v>46099</v>
      </c>
      <c r="K11" s="26">
        <f t="shared" ca="1" si="0"/>
        <v>0.42465753424657532</v>
      </c>
      <c r="L11" s="27">
        <v>27215</v>
      </c>
      <c r="M11" s="28">
        <f t="shared" ca="1" si="1"/>
        <v>52</v>
      </c>
      <c r="N11" s="20" t="s">
        <v>207</v>
      </c>
      <c r="O11" s="20"/>
      <c r="P11" s="53" t="s">
        <v>56</v>
      </c>
      <c r="Q11" s="24" t="s">
        <v>208</v>
      </c>
      <c r="R11" s="24" t="s">
        <v>209</v>
      </c>
      <c r="S11" s="20" t="s">
        <v>57</v>
      </c>
      <c r="T11" s="20" t="s">
        <v>210</v>
      </c>
      <c r="U11" s="34">
        <v>8122414491</v>
      </c>
      <c r="V11" s="34" t="s">
        <v>211</v>
      </c>
      <c r="W11" s="30"/>
      <c r="X11" s="34">
        <v>5610886837</v>
      </c>
      <c r="Y11" s="34" t="s">
        <v>212</v>
      </c>
      <c r="Z11" s="30"/>
      <c r="AA11" s="34" t="s">
        <v>213</v>
      </c>
      <c r="AB11" s="30" t="s">
        <v>214</v>
      </c>
      <c r="AC11" s="102" t="s">
        <v>215</v>
      </c>
      <c r="AD11" s="30" t="s">
        <v>216</v>
      </c>
      <c r="AE11" s="20" t="s">
        <v>217</v>
      </c>
      <c r="AF11" s="20" t="s">
        <v>217</v>
      </c>
      <c r="AG11" s="38">
        <v>7060</v>
      </c>
      <c r="AH11" s="38">
        <v>7981</v>
      </c>
      <c r="AI11" s="38"/>
      <c r="AJ11" s="38"/>
      <c r="AK11" s="38"/>
      <c r="AL11" s="38">
        <v>15041</v>
      </c>
      <c r="AM11" s="38">
        <v>15000</v>
      </c>
      <c r="AN11" s="38">
        <v>1950</v>
      </c>
      <c r="AO11" s="38">
        <v>488.83249999999998</v>
      </c>
      <c r="AP11" s="38">
        <v>1253.4166666666699</v>
      </c>
      <c r="AQ11" s="38"/>
      <c r="AR11" s="39"/>
      <c r="AS11" s="39">
        <v>1203.28</v>
      </c>
      <c r="AT11" s="38">
        <f t="shared" si="2"/>
        <v>19936.529166666671</v>
      </c>
      <c r="AV11" s="41"/>
    </row>
    <row r="12" spans="1:48" s="1" customFormat="1" ht="12.75" customHeight="1">
      <c r="A12" s="20">
        <f t="shared" si="3"/>
        <v>10</v>
      </c>
      <c r="B12" s="28" t="s">
        <v>218</v>
      </c>
      <c r="C12" s="20" t="s">
        <v>219</v>
      </c>
      <c r="D12" s="20" t="s">
        <v>50</v>
      </c>
      <c r="E12" s="23" t="s">
        <v>51</v>
      </c>
      <c r="F12" s="23" t="s">
        <v>206</v>
      </c>
      <c r="G12" s="24" t="s">
        <v>53</v>
      </c>
      <c r="H12" s="30" t="s">
        <v>54</v>
      </c>
      <c r="I12" s="23"/>
      <c r="J12" s="27">
        <v>46157</v>
      </c>
      <c r="K12" s="26">
        <f t="shared" ca="1" si="0"/>
        <v>0.26575342465753427</v>
      </c>
      <c r="L12" s="27">
        <v>38308</v>
      </c>
      <c r="M12" s="28">
        <f t="shared" ca="1" si="1"/>
        <v>21</v>
      </c>
      <c r="N12" s="24" t="s">
        <v>220</v>
      </c>
      <c r="O12" s="20"/>
      <c r="P12" s="53" t="s">
        <v>56</v>
      </c>
      <c r="Q12" s="24" t="s">
        <v>221</v>
      </c>
      <c r="R12" s="24" t="s">
        <v>222</v>
      </c>
      <c r="S12" s="20" t="s">
        <v>57</v>
      </c>
      <c r="T12" s="20" t="s">
        <v>223</v>
      </c>
      <c r="U12" s="33">
        <v>6383663552</v>
      </c>
      <c r="V12" s="34" t="s">
        <v>224</v>
      </c>
      <c r="W12" s="34"/>
      <c r="X12" s="33" t="s">
        <v>225</v>
      </c>
      <c r="Y12" s="34" t="s">
        <v>226</v>
      </c>
      <c r="Z12" s="34" t="s">
        <v>227</v>
      </c>
      <c r="AA12" s="33" t="s">
        <v>228</v>
      </c>
      <c r="AB12" s="33" t="s">
        <v>229</v>
      </c>
      <c r="AC12" s="33" t="s">
        <v>162</v>
      </c>
      <c r="AD12" s="33" t="s">
        <v>230</v>
      </c>
      <c r="AE12" s="20" t="s">
        <v>231</v>
      </c>
      <c r="AF12" s="20" t="s">
        <v>231</v>
      </c>
      <c r="AG12" s="54">
        <v>7060</v>
      </c>
      <c r="AH12" s="37">
        <v>8025</v>
      </c>
      <c r="AI12" s="38"/>
      <c r="AJ12" s="38"/>
      <c r="AK12" s="38"/>
      <c r="AL12" s="38">
        <v>15085</v>
      </c>
      <c r="AM12" s="38">
        <v>15000</v>
      </c>
      <c r="AN12" s="38">
        <v>1950</v>
      </c>
      <c r="AO12" s="38">
        <v>488.83249999999998</v>
      </c>
      <c r="AP12" s="38">
        <v>1253.4166666666699</v>
      </c>
      <c r="AQ12" s="38"/>
      <c r="AR12" s="39"/>
      <c r="AS12" s="40">
        <v>1203.28</v>
      </c>
      <c r="AT12" s="38">
        <f t="shared" si="2"/>
        <v>19980.529166666671</v>
      </c>
      <c r="AV12" s="41"/>
    </row>
    <row r="13" spans="1:48" ht="12.75" customHeight="1">
      <c r="A13" s="20">
        <f t="shared" si="3"/>
        <v>11</v>
      </c>
      <c r="B13" s="28" t="s">
        <v>232</v>
      </c>
      <c r="C13" s="20" t="s">
        <v>233</v>
      </c>
      <c r="D13" s="20" t="s">
        <v>50</v>
      </c>
      <c r="E13" s="23" t="s">
        <v>51</v>
      </c>
      <c r="F13" s="23" t="s">
        <v>83</v>
      </c>
      <c r="G13" s="24" t="s">
        <v>53</v>
      </c>
      <c r="H13" s="30" t="s">
        <v>54</v>
      </c>
      <c r="I13" s="23"/>
      <c r="J13" s="27">
        <v>46160</v>
      </c>
      <c r="K13" s="26">
        <f t="shared" ca="1" si="0"/>
        <v>0.25753424657534246</v>
      </c>
      <c r="L13" s="27">
        <v>39144</v>
      </c>
      <c r="M13" s="28">
        <f t="shared" ca="1" si="1"/>
        <v>19</v>
      </c>
      <c r="N13" s="24" t="s">
        <v>119</v>
      </c>
      <c r="O13" s="20"/>
      <c r="P13" s="53" t="s">
        <v>56</v>
      </c>
      <c r="Q13" s="24" t="s">
        <v>234</v>
      </c>
      <c r="R13" s="24"/>
      <c r="S13" s="20" t="s">
        <v>57</v>
      </c>
      <c r="T13" s="20" t="s">
        <v>235</v>
      </c>
      <c r="U13" s="55">
        <v>6371918966</v>
      </c>
      <c r="V13" s="34" t="s">
        <v>236</v>
      </c>
      <c r="W13" s="34"/>
      <c r="X13" s="33">
        <v>5611011734</v>
      </c>
      <c r="Y13" s="34" t="s">
        <v>237</v>
      </c>
      <c r="Z13" s="34"/>
      <c r="AA13" s="33" t="s">
        <v>238</v>
      </c>
      <c r="AB13" s="33" t="s">
        <v>239</v>
      </c>
      <c r="AC13" s="33" t="s">
        <v>240</v>
      </c>
      <c r="AD13" s="33"/>
      <c r="AE13" s="20" t="s">
        <v>241</v>
      </c>
      <c r="AF13" s="20" t="s">
        <v>242</v>
      </c>
      <c r="AG13" s="54">
        <v>7060</v>
      </c>
      <c r="AH13" s="37">
        <v>8025</v>
      </c>
      <c r="AI13" s="38"/>
      <c r="AJ13" s="38"/>
      <c r="AK13" s="38"/>
      <c r="AL13" s="38">
        <v>15085</v>
      </c>
      <c r="AM13" s="38">
        <v>15000</v>
      </c>
      <c r="AN13" s="38">
        <v>1950</v>
      </c>
      <c r="AO13" s="38">
        <v>488.83249999999998</v>
      </c>
      <c r="AP13" s="38">
        <v>1253.4166666666699</v>
      </c>
      <c r="AQ13" s="38"/>
      <c r="AR13" s="39"/>
      <c r="AS13" s="40">
        <v>1203.28</v>
      </c>
      <c r="AT13" s="38">
        <f t="shared" si="2"/>
        <v>19980.529166666671</v>
      </c>
      <c r="AU13" s="1"/>
      <c r="AV13" s="41"/>
    </row>
    <row r="14" spans="1:48" ht="12.75" customHeight="1">
      <c r="A14" s="20">
        <f t="shared" si="3"/>
        <v>12</v>
      </c>
      <c r="B14" s="28" t="s">
        <v>243</v>
      </c>
      <c r="C14" s="20" t="s">
        <v>244</v>
      </c>
      <c r="D14" s="20" t="s">
        <v>82</v>
      </c>
      <c r="E14" s="23" t="s">
        <v>51</v>
      </c>
      <c r="F14" s="23" t="s">
        <v>83</v>
      </c>
      <c r="G14" s="24" t="s">
        <v>245</v>
      </c>
      <c r="H14" s="30" t="s">
        <v>246</v>
      </c>
      <c r="I14" s="23"/>
      <c r="J14" s="27">
        <v>46143</v>
      </c>
      <c r="K14" s="26">
        <f t="shared" ca="1" si="0"/>
        <v>0.30410958904109592</v>
      </c>
      <c r="L14" s="27">
        <v>36171</v>
      </c>
      <c r="M14" s="28">
        <f t="shared" ca="1" si="1"/>
        <v>27</v>
      </c>
      <c r="N14" s="24"/>
      <c r="O14" s="20"/>
      <c r="P14" s="53" t="s">
        <v>56</v>
      </c>
      <c r="Q14" s="24" t="s">
        <v>247</v>
      </c>
      <c r="R14" s="24"/>
      <c r="S14" s="20" t="s">
        <v>57</v>
      </c>
      <c r="T14" s="20" t="s">
        <v>233</v>
      </c>
      <c r="U14" s="55">
        <v>9668276965</v>
      </c>
      <c r="V14" s="34" t="s">
        <v>248</v>
      </c>
      <c r="W14" s="34"/>
      <c r="X14" s="33">
        <v>5610854323</v>
      </c>
      <c r="Y14" s="34" t="s">
        <v>249</v>
      </c>
      <c r="Z14" s="34"/>
      <c r="AA14" s="33" t="s">
        <v>250</v>
      </c>
      <c r="AB14" s="33" t="s">
        <v>63</v>
      </c>
      <c r="AC14" s="33" t="s">
        <v>64</v>
      </c>
      <c r="AD14" s="33" t="s">
        <v>65</v>
      </c>
      <c r="AE14" s="20" t="s">
        <v>241</v>
      </c>
      <c r="AF14" s="20" t="s">
        <v>242</v>
      </c>
      <c r="AG14" s="54">
        <v>7060</v>
      </c>
      <c r="AH14" s="37">
        <v>8025</v>
      </c>
      <c r="AI14" s="38"/>
      <c r="AJ14" s="38"/>
      <c r="AK14" s="38"/>
      <c r="AL14" s="38">
        <v>15085</v>
      </c>
      <c r="AM14" s="38">
        <v>15000</v>
      </c>
      <c r="AN14" s="38">
        <v>1950</v>
      </c>
      <c r="AO14" s="38">
        <v>488.83249999999998</v>
      </c>
      <c r="AP14" s="38">
        <v>1253.4166666666699</v>
      </c>
      <c r="AQ14" s="38"/>
      <c r="AR14" s="39"/>
      <c r="AS14" s="40">
        <v>1203.28</v>
      </c>
      <c r="AT14" s="38">
        <f t="shared" si="2"/>
        <v>19980.529166666671</v>
      </c>
      <c r="AU14" s="1"/>
      <c r="AV14" s="41"/>
    </row>
    <row r="15" spans="1:48" ht="12.75" customHeight="1">
      <c r="A15" s="20">
        <f t="shared" si="3"/>
        <v>13</v>
      </c>
      <c r="B15" s="28" t="s">
        <v>251</v>
      </c>
      <c r="C15" s="20" t="s">
        <v>252</v>
      </c>
      <c r="D15" s="20" t="s">
        <v>50</v>
      </c>
      <c r="E15" s="23" t="s">
        <v>51</v>
      </c>
      <c r="F15" s="23" t="s">
        <v>105</v>
      </c>
      <c r="G15" s="24" t="s">
        <v>53</v>
      </c>
      <c r="H15" s="30" t="s">
        <v>54</v>
      </c>
      <c r="I15" s="23"/>
      <c r="J15" s="27">
        <v>46071</v>
      </c>
      <c r="K15" s="26">
        <f t="shared" ca="1" si="0"/>
        <v>0.50136986301369868</v>
      </c>
      <c r="L15" s="27">
        <v>38546</v>
      </c>
      <c r="M15" s="28">
        <f t="shared" ca="1" si="1"/>
        <v>21</v>
      </c>
      <c r="N15" s="20" t="s">
        <v>253</v>
      </c>
      <c r="O15" s="20"/>
      <c r="P15" s="53" t="s">
        <v>56</v>
      </c>
      <c r="Q15" s="20" t="s">
        <v>254</v>
      </c>
      <c r="R15" s="24" t="s">
        <v>255</v>
      </c>
      <c r="S15" s="20" t="s">
        <v>256</v>
      </c>
      <c r="T15" s="20"/>
      <c r="U15" s="30">
        <v>9790414514</v>
      </c>
      <c r="V15" s="30" t="s">
        <v>257</v>
      </c>
      <c r="W15" s="30"/>
      <c r="X15" s="30">
        <v>5610286921</v>
      </c>
      <c r="Y15" s="30" t="s">
        <v>258</v>
      </c>
      <c r="Z15" s="30"/>
      <c r="AA15" s="30" t="s">
        <v>259</v>
      </c>
      <c r="AB15" s="30" t="s">
        <v>260</v>
      </c>
      <c r="AC15" s="102" t="s">
        <v>261</v>
      </c>
      <c r="AD15" s="30" t="s">
        <v>262</v>
      </c>
      <c r="AE15" s="20" t="s">
        <v>263</v>
      </c>
      <c r="AF15" s="20" t="s">
        <v>263</v>
      </c>
      <c r="AG15" s="38">
        <v>7060</v>
      </c>
      <c r="AH15" s="38">
        <v>7981</v>
      </c>
      <c r="AI15" s="38"/>
      <c r="AJ15" s="38"/>
      <c r="AK15" s="38"/>
      <c r="AL15" s="38">
        <v>15041</v>
      </c>
      <c r="AM15" s="38">
        <v>15000</v>
      </c>
      <c r="AN15" s="38">
        <v>1950</v>
      </c>
      <c r="AO15" s="38">
        <v>488.83249999999998</v>
      </c>
      <c r="AP15" s="38">
        <v>1253.4166666666699</v>
      </c>
      <c r="AQ15" s="38"/>
      <c r="AR15" s="39"/>
      <c r="AS15" s="39">
        <v>1203.28</v>
      </c>
      <c r="AT15" s="38">
        <f t="shared" si="2"/>
        <v>19936.529166666671</v>
      </c>
      <c r="AU15" s="1"/>
      <c r="AV15" s="41"/>
    </row>
    <row r="16" spans="1:48" ht="12.75">
      <c r="A16" s="20">
        <f t="shared" si="3"/>
        <v>14</v>
      </c>
      <c r="B16" s="28" t="s">
        <v>264</v>
      </c>
      <c r="C16" s="20" t="s">
        <v>265</v>
      </c>
      <c r="D16" s="20" t="s">
        <v>50</v>
      </c>
      <c r="E16" s="23" t="s">
        <v>51</v>
      </c>
      <c r="F16" s="23" t="s">
        <v>69</v>
      </c>
      <c r="G16" s="24" t="s">
        <v>53</v>
      </c>
      <c r="H16" s="30" t="s">
        <v>54</v>
      </c>
      <c r="I16" s="23"/>
      <c r="J16" s="27">
        <v>46071</v>
      </c>
      <c r="K16" s="26">
        <f t="shared" ca="1" si="0"/>
        <v>0.50136986301369868</v>
      </c>
      <c r="L16" s="27">
        <v>29416</v>
      </c>
      <c r="M16" s="28">
        <f t="shared" ca="1" si="1"/>
        <v>46</v>
      </c>
      <c r="N16" s="23" t="s">
        <v>119</v>
      </c>
      <c r="O16" s="20"/>
      <c r="P16" s="20" t="s">
        <v>56</v>
      </c>
      <c r="Q16" s="20"/>
      <c r="R16" s="24"/>
      <c r="S16" s="20" t="s">
        <v>57</v>
      </c>
      <c r="T16" s="20" t="s">
        <v>266</v>
      </c>
      <c r="U16" s="34">
        <v>8675968187</v>
      </c>
      <c r="V16" s="34" t="s">
        <v>267</v>
      </c>
      <c r="W16" s="34"/>
      <c r="X16" s="34">
        <v>5610958693</v>
      </c>
      <c r="Y16" s="34" t="s">
        <v>268</v>
      </c>
      <c r="Z16" s="34"/>
      <c r="AA16" s="34" t="s">
        <v>269</v>
      </c>
      <c r="AB16" s="30" t="s">
        <v>270</v>
      </c>
      <c r="AC16" s="102" t="s">
        <v>100</v>
      </c>
      <c r="AD16" s="30" t="s">
        <v>271</v>
      </c>
      <c r="AE16" s="20" t="s">
        <v>272</v>
      </c>
      <c r="AF16" s="20" t="s">
        <v>272</v>
      </c>
      <c r="AG16" s="37">
        <v>7060</v>
      </c>
      <c r="AH16" s="38">
        <v>7981</v>
      </c>
      <c r="AI16" s="38"/>
      <c r="AJ16" s="38"/>
      <c r="AK16" s="38"/>
      <c r="AL16" s="38">
        <v>15041</v>
      </c>
      <c r="AM16" s="38">
        <v>15000</v>
      </c>
      <c r="AN16" s="38">
        <f t="shared" ref="AN16:AN24" si="4">AM16*13%</f>
        <v>1950</v>
      </c>
      <c r="AO16" s="38">
        <f t="shared" ref="AO16:AO24" si="5">AL16*3.25%</f>
        <v>488.83250000000004</v>
      </c>
      <c r="AP16" s="38">
        <f t="shared" ref="AP16:AP24" si="6">AL16/12</f>
        <v>1253.4166666666667</v>
      </c>
      <c r="AQ16" s="38"/>
      <c r="AR16" s="39"/>
      <c r="AS16" s="40">
        <f t="shared" ref="AS16:AS24" si="7">AL16*8%</f>
        <v>1203.28</v>
      </c>
      <c r="AT16" s="38">
        <f t="shared" si="2"/>
        <v>19936.529166666667</v>
      </c>
    </row>
    <row r="17" spans="1:48" ht="12.75">
      <c r="A17" s="20">
        <f t="shared" si="3"/>
        <v>15</v>
      </c>
      <c r="B17" s="28" t="s">
        <v>273</v>
      </c>
      <c r="C17" s="20" t="s">
        <v>274</v>
      </c>
      <c r="D17" s="20" t="s">
        <v>50</v>
      </c>
      <c r="E17" s="23" t="s">
        <v>51</v>
      </c>
      <c r="F17" s="23" t="s">
        <v>69</v>
      </c>
      <c r="G17" s="24" t="s">
        <v>53</v>
      </c>
      <c r="H17" s="30" t="s">
        <v>54</v>
      </c>
      <c r="I17" s="23"/>
      <c r="J17" s="27">
        <v>46071</v>
      </c>
      <c r="K17" s="26">
        <f t="shared" ca="1" si="0"/>
        <v>0.50136986301369868</v>
      </c>
      <c r="L17" s="27">
        <v>29957</v>
      </c>
      <c r="M17" s="28">
        <f t="shared" ca="1" si="1"/>
        <v>44</v>
      </c>
      <c r="N17" s="23"/>
      <c r="O17" s="20"/>
      <c r="P17" s="20" t="s">
        <v>56</v>
      </c>
      <c r="Q17" s="20"/>
      <c r="R17" s="24" t="s">
        <v>275</v>
      </c>
      <c r="S17" s="20" t="s">
        <v>57</v>
      </c>
      <c r="T17" s="20" t="s">
        <v>276</v>
      </c>
      <c r="U17" s="34">
        <v>7708255358</v>
      </c>
      <c r="V17" s="34" t="s">
        <v>277</v>
      </c>
      <c r="W17" s="34"/>
      <c r="X17" s="34">
        <v>5611366551</v>
      </c>
      <c r="Y17" s="34" t="s">
        <v>278</v>
      </c>
      <c r="Z17" s="34"/>
      <c r="AA17" s="34" t="s">
        <v>279</v>
      </c>
      <c r="AB17" s="30" t="s">
        <v>280</v>
      </c>
      <c r="AC17" s="102" t="s">
        <v>281</v>
      </c>
      <c r="AD17" s="30" t="s">
        <v>282</v>
      </c>
      <c r="AE17" s="20" t="s">
        <v>283</v>
      </c>
      <c r="AF17" s="20" t="s">
        <v>283</v>
      </c>
      <c r="AG17" s="37">
        <v>7060</v>
      </c>
      <c r="AH17" s="38">
        <v>7981</v>
      </c>
      <c r="AI17" s="38"/>
      <c r="AJ17" s="38"/>
      <c r="AK17" s="38"/>
      <c r="AL17" s="38">
        <v>15041</v>
      </c>
      <c r="AM17" s="38">
        <v>15000</v>
      </c>
      <c r="AN17" s="38">
        <f t="shared" si="4"/>
        <v>1950</v>
      </c>
      <c r="AO17" s="38">
        <f t="shared" si="5"/>
        <v>488.83250000000004</v>
      </c>
      <c r="AP17" s="38">
        <f t="shared" si="6"/>
        <v>1253.4166666666667</v>
      </c>
      <c r="AQ17" s="38"/>
      <c r="AR17" s="39"/>
      <c r="AS17" s="40">
        <f t="shared" si="7"/>
        <v>1203.28</v>
      </c>
      <c r="AT17" s="38">
        <f t="shared" si="2"/>
        <v>19936.529166666667</v>
      </c>
    </row>
    <row r="18" spans="1:48" ht="12.75">
      <c r="A18" s="20">
        <f t="shared" si="3"/>
        <v>16</v>
      </c>
      <c r="B18" s="28" t="s">
        <v>284</v>
      </c>
      <c r="C18" s="20" t="s">
        <v>285</v>
      </c>
      <c r="D18" s="20" t="s">
        <v>82</v>
      </c>
      <c r="E18" s="23" t="s">
        <v>51</v>
      </c>
      <c r="F18" s="23" t="s">
        <v>83</v>
      </c>
      <c r="G18" s="24" t="s">
        <v>53</v>
      </c>
      <c r="H18" s="30" t="s">
        <v>54</v>
      </c>
      <c r="I18" s="23"/>
      <c r="J18" s="27">
        <v>46192</v>
      </c>
      <c r="K18" s="26">
        <f t="shared" ca="1" si="0"/>
        <v>0.16986301369863013</v>
      </c>
      <c r="L18" s="27">
        <v>39076</v>
      </c>
      <c r="M18" s="28">
        <f t="shared" ca="1" si="1"/>
        <v>19</v>
      </c>
      <c r="N18" s="23"/>
      <c r="O18" s="20"/>
      <c r="P18" s="20" t="s">
        <v>56</v>
      </c>
      <c r="Q18" s="20" t="s">
        <v>286</v>
      </c>
      <c r="R18" s="24"/>
      <c r="S18" s="20" t="s">
        <v>57</v>
      </c>
      <c r="T18" s="20" t="s">
        <v>287</v>
      </c>
      <c r="U18" s="34">
        <v>9827530109</v>
      </c>
      <c r="V18" s="34" t="s">
        <v>288</v>
      </c>
      <c r="W18" s="34"/>
      <c r="X18" s="34">
        <v>5611720180</v>
      </c>
      <c r="Y18" s="34" t="s">
        <v>289</v>
      </c>
      <c r="Z18" s="34"/>
      <c r="AA18" s="80" t="s">
        <v>290</v>
      </c>
      <c r="AB18" s="22" t="s">
        <v>291</v>
      </c>
      <c r="AC18" s="102" t="s">
        <v>100</v>
      </c>
      <c r="AD18" s="22" t="s">
        <v>292</v>
      </c>
      <c r="AE18" s="20" t="s">
        <v>241</v>
      </c>
      <c r="AF18" s="20" t="s">
        <v>293</v>
      </c>
      <c r="AG18" s="37">
        <v>7060</v>
      </c>
      <c r="AH18" s="38">
        <v>7981</v>
      </c>
      <c r="AI18" s="38"/>
      <c r="AJ18" s="38"/>
      <c r="AK18" s="38"/>
      <c r="AL18" s="38">
        <v>15041</v>
      </c>
      <c r="AM18" s="38">
        <v>15000</v>
      </c>
      <c r="AN18" s="38">
        <f t="shared" si="4"/>
        <v>1950</v>
      </c>
      <c r="AO18" s="38">
        <f t="shared" si="5"/>
        <v>488.83250000000004</v>
      </c>
      <c r="AP18" s="38">
        <f t="shared" si="6"/>
        <v>1253.4166666666667</v>
      </c>
      <c r="AQ18" s="38"/>
      <c r="AR18" s="39"/>
      <c r="AS18" s="40">
        <f t="shared" si="7"/>
        <v>1203.28</v>
      </c>
      <c r="AT18" s="38">
        <f t="shared" si="2"/>
        <v>19936.529166666667</v>
      </c>
    </row>
    <row r="19" spans="1:48" ht="12.75">
      <c r="A19" s="20">
        <f t="shared" si="3"/>
        <v>17</v>
      </c>
      <c r="B19" s="28" t="s">
        <v>294</v>
      </c>
      <c r="C19" s="20" t="s">
        <v>287</v>
      </c>
      <c r="D19" s="20" t="s">
        <v>50</v>
      </c>
      <c r="E19" s="23" t="s">
        <v>51</v>
      </c>
      <c r="F19" s="23" t="s">
        <v>83</v>
      </c>
      <c r="G19" s="24" t="s">
        <v>53</v>
      </c>
      <c r="H19" s="30" t="s">
        <v>54</v>
      </c>
      <c r="I19" s="23"/>
      <c r="J19" s="27">
        <v>46192</v>
      </c>
      <c r="K19" s="26">
        <f t="shared" ca="1" si="0"/>
        <v>0.16986301369863013</v>
      </c>
      <c r="L19" s="27">
        <v>35796</v>
      </c>
      <c r="M19" s="28">
        <f t="shared" ca="1" si="1"/>
        <v>28</v>
      </c>
      <c r="N19" s="23"/>
      <c r="O19" s="20"/>
      <c r="P19" s="20" t="s">
        <v>56</v>
      </c>
      <c r="Q19" s="20"/>
      <c r="R19" s="24"/>
      <c r="S19" s="20" t="s">
        <v>57</v>
      </c>
      <c r="T19" s="20" t="s">
        <v>295</v>
      </c>
      <c r="U19" s="34">
        <v>8895705317</v>
      </c>
      <c r="V19" s="34" t="s">
        <v>296</v>
      </c>
      <c r="W19" s="34"/>
      <c r="X19" s="34">
        <v>5611720223</v>
      </c>
      <c r="Y19" s="34" t="s">
        <v>297</v>
      </c>
      <c r="Z19" s="34"/>
      <c r="AA19" s="80" t="s">
        <v>298</v>
      </c>
      <c r="AB19" s="22" t="s">
        <v>299</v>
      </c>
      <c r="AC19" s="102" t="s">
        <v>300</v>
      </c>
      <c r="AD19" s="22" t="s">
        <v>301</v>
      </c>
      <c r="AE19" s="20" t="s">
        <v>241</v>
      </c>
      <c r="AF19" s="20" t="s">
        <v>302</v>
      </c>
      <c r="AG19" s="37">
        <v>7060</v>
      </c>
      <c r="AH19" s="38">
        <v>7981</v>
      </c>
      <c r="AI19" s="38"/>
      <c r="AJ19" s="38"/>
      <c r="AK19" s="38"/>
      <c r="AL19" s="38">
        <v>15041</v>
      </c>
      <c r="AM19" s="38">
        <v>15000</v>
      </c>
      <c r="AN19" s="38">
        <f t="shared" si="4"/>
        <v>1950</v>
      </c>
      <c r="AO19" s="38">
        <f t="shared" si="5"/>
        <v>488.83250000000004</v>
      </c>
      <c r="AP19" s="38">
        <f t="shared" si="6"/>
        <v>1253.4166666666667</v>
      </c>
      <c r="AQ19" s="38"/>
      <c r="AR19" s="39"/>
      <c r="AS19" s="40">
        <f t="shared" si="7"/>
        <v>1203.28</v>
      </c>
      <c r="AT19" s="38">
        <f t="shared" si="2"/>
        <v>19936.529166666667</v>
      </c>
    </row>
    <row r="20" spans="1:48" ht="12.75">
      <c r="A20" s="20">
        <f t="shared" si="3"/>
        <v>18</v>
      </c>
      <c r="B20" s="28" t="s">
        <v>312</v>
      </c>
      <c r="C20" s="20" t="s">
        <v>313</v>
      </c>
      <c r="D20" s="20" t="s">
        <v>82</v>
      </c>
      <c r="E20" s="23" t="s">
        <v>51</v>
      </c>
      <c r="F20" s="23" t="s">
        <v>83</v>
      </c>
      <c r="G20" s="24" t="s">
        <v>53</v>
      </c>
      <c r="H20" s="30" t="s">
        <v>54</v>
      </c>
      <c r="I20" s="23"/>
      <c r="J20" s="27">
        <v>46193</v>
      </c>
      <c r="K20" s="26">
        <f t="shared" ca="1" si="0"/>
        <v>0.16712328767123288</v>
      </c>
      <c r="L20" s="27">
        <v>37701</v>
      </c>
      <c r="M20" s="28">
        <f t="shared" ca="1" si="1"/>
        <v>23</v>
      </c>
      <c r="N20" s="23"/>
      <c r="O20" s="20"/>
      <c r="P20" s="20" t="s">
        <v>56</v>
      </c>
      <c r="Q20" s="20"/>
      <c r="R20" s="24"/>
      <c r="S20" s="20" t="s">
        <v>57</v>
      </c>
      <c r="T20" s="20" t="s">
        <v>314</v>
      </c>
      <c r="U20" s="34">
        <v>7735424206</v>
      </c>
      <c r="V20" s="34" t="s">
        <v>315</v>
      </c>
      <c r="W20" s="34"/>
      <c r="X20" s="34">
        <v>5611719797</v>
      </c>
      <c r="Y20" s="34" t="s">
        <v>316</v>
      </c>
      <c r="Z20" s="34"/>
      <c r="AA20" s="80" t="s">
        <v>1790</v>
      </c>
      <c r="AB20" s="22" t="s">
        <v>63</v>
      </c>
      <c r="AC20" s="102" t="s">
        <v>64</v>
      </c>
      <c r="AD20" s="22" t="s">
        <v>65</v>
      </c>
      <c r="AE20" s="20" t="s">
        <v>241</v>
      </c>
      <c r="AF20" s="20" t="s">
        <v>317</v>
      </c>
      <c r="AG20" s="37">
        <v>7060</v>
      </c>
      <c r="AH20" s="38">
        <v>7981</v>
      </c>
      <c r="AI20" s="38"/>
      <c r="AJ20" s="38"/>
      <c r="AK20" s="38"/>
      <c r="AL20" s="38">
        <v>15041</v>
      </c>
      <c r="AM20" s="38">
        <v>15000</v>
      </c>
      <c r="AN20" s="38">
        <f t="shared" si="4"/>
        <v>1950</v>
      </c>
      <c r="AO20" s="38">
        <f t="shared" si="5"/>
        <v>488.83250000000004</v>
      </c>
      <c r="AP20" s="38">
        <f t="shared" si="6"/>
        <v>1253.4166666666667</v>
      </c>
      <c r="AQ20" s="38"/>
      <c r="AR20" s="39"/>
      <c r="AS20" s="40">
        <f t="shared" si="7"/>
        <v>1203.28</v>
      </c>
      <c r="AT20" s="38">
        <f t="shared" si="2"/>
        <v>19936.529166666667</v>
      </c>
    </row>
    <row r="21" spans="1:48" ht="12.75">
      <c r="A21" s="20">
        <f t="shared" si="3"/>
        <v>19</v>
      </c>
      <c r="B21" s="28" t="s">
        <v>318</v>
      </c>
      <c r="C21" s="20" t="s">
        <v>314</v>
      </c>
      <c r="D21" s="20" t="s">
        <v>50</v>
      </c>
      <c r="E21" s="23" t="s">
        <v>51</v>
      </c>
      <c r="F21" s="23" t="s">
        <v>83</v>
      </c>
      <c r="G21" s="24" t="s">
        <v>53</v>
      </c>
      <c r="H21" s="30" t="s">
        <v>54</v>
      </c>
      <c r="I21" s="23"/>
      <c r="J21" s="27">
        <v>46193</v>
      </c>
      <c r="K21" s="26">
        <f t="shared" ca="1" si="0"/>
        <v>0.16712328767123288</v>
      </c>
      <c r="L21" s="27">
        <v>39182</v>
      </c>
      <c r="M21" s="28">
        <f t="shared" ca="1" si="1"/>
        <v>19</v>
      </c>
      <c r="N21" s="23"/>
      <c r="O21" s="20"/>
      <c r="P21" s="20" t="s">
        <v>56</v>
      </c>
      <c r="Q21" s="20" t="s">
        <v>319</v>
      </c>
      <c r="R21" s="24"/>
      <c r="S21" s="20" t="s">
        <v>57</v>
      </c>
      <c r="T21" s="20" t="s">
        <v>320</v>
      </c>
      <c r="U21" s="34">
        <v>7735424206</v>
      </c>
      <c r="V21" s="34" t="s">
        <v>321</v>
      </c>
      <c r="W21" s="34"/>
      <c r="X21" s="34">
        <v>5611720083</v>
      </c>
      <c r="Y21" s="34" t="s">
        <v>322</v>
      </c>
      <c r="Z21" s="34"/>
      <c r="AA21" s="80" t="s">
        <v>1776</v>
      </c>
      <c r="AB21" s="30" t="s">
        <v>299</v>
      </c>
      <c r="AC21" s="102" t="s">
        <v>300</v>
      </c>
      <c r="AD21" s="30" t="s">
        <v>301</v>
      </c>
      <c r="AE21" s="20" t="s">
        <v>241</v>
      </c>
      <c r="AF21" s="20" t="s">
        <v>323</v>
      </c>
      <c r="AG21" s="37">
        <v>7060</v>
      </c>
      <c r="AH21" s="38">
        <v>7981</v>
      </c>
      <c r="AI21" s="38"/>
      <c r="AJ21" s="38"/>
      <c r="AK21" s="38"/>
      <c r="AL21" s="38">
        <v>15041</v>
      </c>
      <c r="AM21" s="38">
        <v>15000</v>
      </c>
      <c r="AN21" s="38">
        <f t="shared" si="4"/>
        <v>1950</v>
      </c>
      <c r="AO21" s="38">
        <f t="shared" si="5"/>
        <v>488.83250000000004</v>
      </c>
      <c r="AP21" s="38">
        <f t="shared" si="6"/>
        <v>1253.4166666666667</v>
      </c>
      <c r="AQ21" s="38"/>
      <c r="AR21" s="39"/>
      <c r="AS21" s="40">
        <f t="shared" si="7"/>
        <v>1203.28</v>
      </c>
      <c r="AT21" s="38">
        <f t="shared" si="2"/>
        <v>19936.529166666667</v>
      </c>
    </row>
    <row r="22" spans="1:48" s="63" customFormat="1" ht="15">
      <c r="A22" s="20">
        <f t="shared" si="3"/>
        <v>20</v>
      </c>
      <c r="B22" s="28" t="s">
        <v>324</v>
      </c>
      <c r="C22" s="20" t="s">
        <v>325</v>
      </c>
      <c r="D22" s="20" t="s">
        <v>50</v>
      </c>
      <c r="E22" s="23" t="s">
        <v>51</v>
      </c>
      <c r="F22" s="23" t="s">
        <v>196</v>
      </c>
      <c r="G22" s="24" t="s">
        <v>53</v>
      </c>
      <c r="H22" s="30" t="s">
        <v>54</v>
      </c>
      <c r="I22" s="23"/>
      <c r="J22" s="27">
        <v>46195</v>
      </c>
      <c r="K22" s="26">
        <f t="shared" ca="1" si="0"/>
        <v>0.16164383561643836</v>
      </c>
      <c r="L22" s="27">
        <v>39557</v>
      </c>
      <c r="M22" s="28">
        <f t="shared" ca="1" si="1"/>
        <v>18</v>
      </c>
      <c r="N22" s="23"/>
      <c r="O22" s="20"/>
      <c r="P22" s="20" t="s">
        <v>56</v>
      </c>
      <c r="Q22" s="20" t="s">
        <v>326</v>
      </c>
      <c r="R22" s="24" t="s">
        <v>327</v>
      </c>
      <c r="S22" s="20" t="s">
        <v>256</v>
      </c>
      <c r="T22" s="20"/>
      <c r="U22" s="34">
        <v>9042757252</v>
      </c>
      <c r="V22" s="34" t="s">
        <v>328</v>
      </c>
      <c r="W22" s="34"/>
      <c r="X22" s="34">
        <v>5611719990</v>
      </c>
      <c r="Y22" s="34" t="s">
        <v>329</v>
      </c>
      <c r="Z22" s="34"/>
      <c r="AA22" s="34" t="s">
        <v>330</v>
      </c>
      <c r="AB22" s="30" t="s">
        <v>111</v>
      </c>
      <c r="AC22" s="102" t="s">
        <v>112</v>
      </c>
      <c r="AD22" s="30" t="s">
        <v>113</v>
      </c>
      <c r="AE22" s="20" t="s">
        <v>331</v>
      </c>
      <c r="AF22" s="20" t="s">
        <v>331</v>
      </c>
      <c r="AG22" s="37">
        <v>7060</v>
      </c>
      <c r="AH22" s="38">
        <v>7981</v>
      </c>
      <c r="AI22" s="38"/>
      <c r="AJ22" s="38"/>
      <c r="AK22" s="38"/>
      <c r="AL22" s="38">
        <v>15041</v>
      </c>
      <c r="AM22" s="38">
        <v>15000</v>
      </c>
      <c r="AN22" s="38">
        <f t="shared" si="4"/>
        <v>1950</v>
      </c>
      <c r="AO22" s="38">
        <f t="shared" si="5"/>
        <v>488.83250000000004</v>
      </c>
      <c r="AP22" s="38">
        <f t="shared" si="6"/>
        <v>1253.4166666666667</v>
      </c>
      <c r="AQ22" s="38"/>
      <c r="AR22" s="39"/>
      <c r="AS22" s="40">
        <f t="shared" si="7"/>
        <v>1203.28</v>
      </c>
      <c r="AT22" s="38">
        <f t="shared" si="2"/>
        <v>19936.529166666667</v>
      </c>
      <c r="AU22" s="56"/>
      <c r="AV22" s="56"/>
    </row>
    <row r="23" spans="1:48" s="99" customFormat="1" ht="12.95" customHeight="1">
      <c r="A23" s="20">
        <f t="shared" si="3"/>
        <v>21</v>
      </c>
      <c r="B23" s="81" t="s">
        <v>1777</v>
      </c>
      <c r="C23" s="82" t="s">
        <v>128</v>
      </c>
      <c r="D23" s="83" t="s">
        <v>50</v>
      </c>
      <c r="E23" s="84" t="s">
        <v>51</v>
      </c>
      <c r="F23" s="81" t="s">
        <v>105</v>
      </c>
      <c r="G23" s="83" t="s">
        <v>118</v>
      </c>
      <c r="H23" s="85" t="s">
        <v>54</v>
      </c>
      <c r="I23" s="81"/>
      <c r="J23" s="86">
        <v>46206</v>
      </c>
      <c r="K23" s="87">
        <f t="shared" ca="1" si="0"/>
        <v>0.13150684931506848</v>
      </c>
      <c r="L23" s="88">
        <v>32299</v>
      </c>
      <c r="M23" s="89">
        <f t="shared" ca="1" si="1"/>
        <v>38</v>
      </c>
      <c r="N23" s="90" t="s">
        <v>119</v>
      </c>
      <c r="O23" s="91"/>
      <c r="P23" s="92" t="s">
        <v>56</v>
      </c>
      <c r="Q23" s="90"/>
      <c r="R23" s="90"/>
      <c r="S23" s="90" t="s">
        <v>57</v>
      </c>
      <c r="T23" s="90" t="s">
        <v>129</v>
      </c>
      <c r="U23" s="93">
        <v>9043337896</v>
      </c>
      <c r="V23" s="94" t="s">
        <v>130</v>
      </c>
      <c r="W23" s="81"/>
      <c r="X23" s="93">
        <v>5608860509</v>
      </c>
      <c r="Y23" s="83" t="s">
        <v>131</v>
      </c>
      <c r="Z23" s="81"/>
      <c r="AA23" s="90" t="s">
        <v>132</v>
      </c>
      <c r="AB23" s="90" t="s">
        <v>99</v>
      </c>
      <c r="AC23" s="90" t="s">
        <v>100</v>
      </c>
      <c r="AD23" s="90" t="s">
        <v>101</v>
      </c>
      <c r="AE23" s="90" t="s">
        <v>133</v>
      </c>
      <c r="AF23" s="85" t="e">
        <f>VLOOKUP(B23,[2]Current!$B$2:$W$44,22,0)</f>
        <v>#N/A</v>
      </c>
      <c r="AG23" s="95">
        <v>7060</v>
      </c>
      <c r="AH23" s="95">
        <v>8025</v>
      </c>
      <c r="AI23" s="96"/>
      <c r="AJ23" s="96"/>
      <c r="AK23" s="96"/>
      <c r="AL23" s="97">
        <v>15085</v>
      </c>
      <c r="AM23" s="97">
        <v>15000</v>
      </c>
      <c r="AN23" s="97">
        <f t="shared" si="4"/>
        <v>1950</v>
      </c>
      <c r="AO23" s="97">
        <f t="shared" si="5"/>
        <v>490.26249999999999</v>
      </c>
      <c r="AP23" s="97">
        <f t="shared" si="6"/>
        <v>1257.0833333333333</v>
      </c>
      <c r="AQ23" s="96"/>
      <c r="AR23" s="96"/>
      <c r="AS23" s="98">
        <f t="shared" si="7"/>
        <v>1206.8</v>
      </c>
      <c r="AT23" s="97">
        <f t="shared" si="2"/>
        <v>19989.145833333332</v>
      </c>
    </row>
    <row r="24" spans="1:48" s="1" customFormat="1" ht="12.75" customHeight="1">
      <c r="A24" s="20">
        <f t="shared" si="3"/>
        <v>22</v>
      </c>
      <c r="B24" s="23" t="s">
        <v>1778</v>
      </c>
      <c r="C24" s="20" t="s">
        <v>1779</v>
      </c>
      <c r="D24" s="20" t="s">
        <v>50</v>
      </c>
      <c r="E24" s="23" t="s">
        <v>51</v>
      </c>
      <c r="F24" s="23" t="s">
        <v>136</v>
      </c>
      <c r="G24" s="24" t="s">
        <v>53</v>
      </c>
      <c r="H24" s="24" t="s">
        <v>54</v>
      </c>
      <c r="I24" s="23"/>
      <c r="J24" s="25">
        <v>46223</v>
      </c>
      <c r="K24" s="27">
        <f t="shared" ca="1" si="0"/>
        <v>8.4931506849315067E-2</v>
      </c>
      <c r="L24" s="27">
        <v>30461</v>
      </c>
      <c r="M24" s="23">
        <f t="shared" ca="1" si="1"/>
        <v>43</v>
      </c>
      <c r="N24" s="24" t="s">
        <v>511</v>
      </c>
      <c r="O24" s="20"/>
      <c r="P24" s="92" t="s">
        <v>56</v>
      </c>
      <c r="Q24" s="24" t="s">
        <v>1780</v>
      </c>
      <c r="R24" s="24" t="s">
        <v>1781</v>
      </c>
      <c r="S24" s="24" t="s">
        <v>1782</v>
      </c>
      <c r="T24" s="24" t="s">
        <v>1783</v>
      </c>
      <c r="U24" s="24">
        <v>7871487593</v>
      </c>
      <c r="V24" s="100" t="s">
        <v>1784</v>
      </c>
      <c r="W24" s="23"/>
      <c r="X24" s="100" t="s">
        <v>1785</v>
      </c>
      <c r="Y24" s="100" t="s">
        <v>1786</v>
      </c>
      <c r="Z24" s="23"/>
      <c r="AA24" s="101" t="s">
        <v>1787</v>
      </c>
      <c r="AB24" s="24" t="s">
        <v>1788</v>
      </c>
      <c r="AC24" s="24" t="s">
        <v>100</v>
      </c>
      <c r="AD24" s="24" t="s">
        <v>136</v>
      </c>
      <c r="AE24" s="24" t="s">
        <v>1789</v>
      </c>
      <c r="AF24" s="24" t="s">
        <v>1789</v>
      </c>
      <c r="AG24" s="95">
        <v>7060</v>
      </c>
      <c r="AH24" s="95">
        <v>8025</v>
      </c>
      <c r="AI24" s="39"/>
      <c r="AJ24" s="39"/>
      <c r="AK24" s="39"/>
      <c r="AL24" s="97">
        <v>15085</v>
      </c>
      <c r="AM24" s="97">
        <v>15000</v>
      </c>
      <c r="AN24" s="97">
        <f t="shared" si="4"/>
        <v>1950</v>
      </c>
      <c r="AO24" s="97">
        <f t="shared" si="5"/>
        <v>490.26249999999999</v>
      </c>
      <c r="AP24" s="97">
        <f t="shared" si="6"/>
        <v>1257.0833333333333</v>
      </c>
      <c r="AQ24" s="96"/>
      <c r="AR24" s="39"/>
      <c r="AS24" s="98">
        <f t="shared" si="7"/>
        <v>1206.8</v>
      </c>
      <c r="AT24" s="97">
        <f t="shared" si="2"/>
        <v>19989.145833333332</v>
      </c>
    </row>
  </sheetData>
  <mergeCells count="1">
    <mergeCell ref="AG1:AT1"/>
  </mergeCells>
  <conditionalFormatting sqref="Z12">
    <cfRule type="duplicateValues" dxfId="824" priority="18"/>
  </conditionalFormatting>
  <conditionalFormatting sqref="B12:B14">
    <cfRule type="duplicateValues" dxfId="823" priority="19"/>
  </conditionalFormatting>
  <conditionalFormatting sqref="AA12:AA14">
    <cfRule type="duplicateValues" dxfId="822" priority="20"/>
  </conditionalFormatting>
  <conditionalFormatting sqref="X12:X14">
    <cfRule type="duplicateValues" dxfId="821" priority="21"/>
    <cfRule type="duplicateValues" dxfId="820" priority="22"/>
    <cfRule type="duplicateValues" dxfId="819" priority="23"/>
  </conditionalFormatting>
  <conditionalFormatting sqref="Y12:Y14">
    <cfRule type="duplicateValues" dxfId="818" priority="24"/>
  </conditionalFormatting>
  <conditionalFormatting sqref="X12:X14">
    <cfRule type="duplicateValues" dxfId="817" priority="25"/>
  </conditionalFormatting>
  <conditionalFormatting sqref="Y12:Y14">
    <cfRule type="duplicateValues" dxfId="816" priority="26"/>
    <cfRule type="duplicateValues" dxfId="815" priority="27"/>
  </conditionalFormatting>
  <conditionalFormatting sqref="V12:V14">
    <cfRule type="duplicateValues" dxfId="814" priority="28"/>
    <cfRule type="duplicateValues" dxfId="813" priority="29"/>
    <cfRule type="duplicateValues" dxfId="812" priority="30"/>
  </conditionalFormatting>
  <conditionalFormatting sqref="V12:V14">
    <cfRule type="duplicateValues" dxfId="811" priority="31"/>
  </conditionalFormatting>
  <conditionalFormatting sqref="AA13">
    <cfRule type="duplicateValues" dxfId="810" priority="32"/>
    <cfRule type="duplicateValues" dxfId="809" priority="33"/>
  </conditionalFormatting>
  <conditionalFormatting sqref="AA13">
    <cfRule type="duplicateValues" dxfId="808" priority="34"/>
  </conditionalFormatting>
  <conditionalFormatting sqref="AA14">
    <cfRule type="duplicateValues" dxfId="807" priority="35"/>
  </conditionalFormatting>
  <conditionalFormatting sqref="Y14">
    <cfRule type="duplicateValues" dxfId="806" priority="36"/>
  </conditionalFormatting>
  <conditionalFormatting sqref="Y14">
    <cfRule type="duplicateValues" dxfId="805" priority="37"/>
    <cfRule type="duplicateValues" dxfId="804" priority="38"/>
  </conditionalFormatting>
  <conditionalFormatting sqref="Y13">
    <cfRule type="duplicateValues" dxfId="803" priority="39"/>
  </conditionalFormatting>
  <conditionalFormatting sqref="Y13">
    <cfRule type="duplicateValues" dxfId="802" priority="40"/>
    <cfRule type="duplicateValues" dxfId="801" priority="41"/>
  </conditionalFormatting>
  <conditionalFormatting sqref="V14 X14">
    <cfRule type="duplicateValues" dxfId="800" priority="42"/>
    <cfRule type="duplicateValues" dxfId="799" priority="43"/>
    <cfRule type="duplicateValues" dxfId="798" priority="44"/>
  </conditionalFormatting>
  <conditionalFormatting sqref="V14 X14">
    <cfRule type="duplicateValues" dxfId="797" priority="45"/>
  </conditionalFormatting>
  <conditionalFormatting sqref="V13 X13">
    <cfRule type="duplicateValues" dxfId="796" priority="46"/>
    <cfRule type="duplicateValues" dxfId="795" priority="47"/>
    <cfRule type="duplicateValues" dxfId="794" priority="48"/>
  </conditionalFormatting>
  <conditionalFormatting sqref="V13 X13">
    <cfRule type="duplicateValues" dxfId="793" priority="49"/>
  </conditionalFormatting>
  <conditionalFormatting sqref="V14">
    <cfRule type="duplicateValues" dxfId="792" priority="50"/>
  </conditionalFormatting>
  <conditionalFormatting sqref="X14">
    <cfRule type="duplicateValues" dxfId="791" priority="51"/>
  </conditionalFormatting>
  <conditionalFormatting sqref="V13">
    <cfRule type="duplicateValues" dxfId="790" priority="52"/>
  </conditionalFormatting>
  <conditionalFormatting sqref="X13">
    <cfRule type="duplicateValues" dxfId="789" priority="53"/>
  </conditionalFormatting>
  <conditionalFormatting sqref="V13">
    <cfRule type="duplicateValues" dxfId="788" priority="54"/>
    <cfRule type="duplicateValues" dxfId="787" priority="55"/>
  </conditionalFormatting>
  <conditionalFormatting sqref="V12:AA14">
    <cfRule type="duplicateValues" dxfId="786" priority="56"/>
  </conditionalFormatting>
  <conditionalFormatting sqref="U11:U12">
    <cfRule type="containsText" dxfId="785" priority="57" operator="containsText" text="left">
      <formula>NOT(ISERROR(SEARCH("left",U11)))</formula>
    </cfRule>
  </conditionalFormatting>
  <conditionalFormatting sqref="U12">
    <cfRule type="duplicateValues" dxfId="784" priority="58"/>
  </conditionalFormatting>
  <conditionalFormatting sqref="B12:B14">
    <cfRule type="duplicateValues" dxfId="783" priority="59"/>
    <cfRule type="duplicateValues" dxfId="782" priority="60"/>
    <cfRule type="duplicateValues" dxfId="781" priority="61"/>
  </conditionalFormatting>
  <conditionalFormatting sqref="AA9">
    <cfRule type="duplicateValues" dxfId="780" priority="62"/>
  </conditionalFormatting>
  <conditionalFormatting sqref="AA8">
    <cfRule type="duplicateValues" dxfId="779" priority="63"/>
  </conditionalFormatting>
  <conditionalFormatting sqref="X9">
    <cfRule type="duplicateValues" dxfId="778" priority="64"/>
    <cfRule type="duplicateValues" dxfId="777" priority="65"/>
  </conditionalFormatting>
  <conditionalFormatting sqref="X9">
    <cfRule type="duplicateValues" dxfId="776" priority="66"/>
    <cfRule type="duplicateValues" dxfId="775" priority="67"/>
    <cfRule type="duplicateValues" dxfId="774" priority="68"/>
  </conditionalFormatting>
  <conditionalFormatting sqref="X9">
    <cfRule type="duplicateValues" dxfId="773" priority="69"/>
  </conditionalFormatting>
  <conditionalFormatting sqref="Y9">
    <cfRule type="duplicateValues" dxfId="772" priority="70"/>
  </conditionalFormatting>
  <conditionalFormatting sqref="Y9">
    <cfRule type="duplicateValues" dxfId="771" priority="71"/>
    <cfRule type="duplicateValues" dxfId="770" priority="72"/>
  </conditionalFormatting>
  <conditionalFormatting sqref="X8">
    <cfRule type="duplicateValues" dxfId="769" priority="73"/>
    <cfRule type="duplicateValues" dxfId="768" priority="74"/>
    <cfRule type="duplicateValues" dxfId="767" priority="75"/>
  </conditionalFormatting>
  <conditionalFormatting sqref="X8">
    <cfRule type="duplicateValues" dxfId="766" priority="76"/>
  </conditionalFormatting>
  <conditionalFormatting sqref="Y8">
    <cfRule type="duplicateValues" dxfId="765" priority="77"/>
  </conditionalFormatting>
  <conditionalFormatting sqref="Y8">
    <cfRule type="duplicateValues" dxfId="764" priority="78"/>
    <cfRule type="duplicateValues" dxfId="763" priority="79"/>
  </conditionalFormatting>
  <conditionalFormatting sqref="V9">
    <cfRule type="duplicateValues" dxfId="762" priority="80"/>
    <cfRule type="duplicateValues" dxfId="761" priority="81"/>
    <cfRule type="duplicateValues" dxfId="760" priority="82"/>
  </conditionalFormatting>
  <conditionalFormatting sqref="V9">
    <cfRule type="duplicateValues" dxfId="759" priority="83"/>
  </conditionalFormatting>
  <conditionalFormatting sqref="V8">
    <cfRule type="duplicateValues" dxfId="758" priority="84"/>
    <cfRule type="duplicateValues" dxfId="757" priority="85"/>
    <cfRule type="duplicateValues" dxfId="756" priority="86"/>
  </conditionalFormatting>
  <conditionalFormatting sqref="V8">
    <cfRule type="duplicateValues" dxfId="755" priority="87"/>
  </conditionalFormatting>
  <conditionalFormatting sqref="B3">
    <cfRule type="duplicateValues" dxfId="754" priority="89"/>
  </conditionalFormatting>
  <conditionalFormatting sqref="B7">
    <cfRule type="duplicateValues" dxfId="753" priority="90"/>
  </conditionalFormatting>
  <conditionalFormatting sqref="V2:AA2">
    <cfRule type="duplicateValues" dxfId="752" priority="91"/>
  </conditionalFormatting>
  <conditionalFormatting sqref="U2">
    <cfRule type="duplicateValues" dxfId="751" priority="92"/>
  </conditionalFormatting>
  <conditionalFormatting sqref="V1:AA1">
    <cfRule type="duplicateValues" dxfId="750" priority="93"/>
  </conditionalFormatting>
  <conditionalFormatting sqref="U1">
    <cfRule type="duplicateValues" dxfId="749" priority="94"/>
  </conditionalFormatting>
  <conditionalFormatting sqref="B4:B6 B15">
    <cfRule type="duplicateValues" dxfId="748" priority="95"/>
  </conditionalFormatting>
  <conditionalFormatting sqref="B3:B6 B15">
    <cfRule type="duplicateValues" dxfId="747" priority="96"/>
  </conditionalFormatting>
  <conditionalFormatting sqref="V11">
    <cfRule type="duplicateValues" dxfId="746" priority="97"/>
  </conditionalFormatting>
  <conditionalFormatting sqref="V11">
    <cfRule type="duplicateValues" dxfId="745" priority="98"/>
    <cfRule type="duplicateValues" dxfId="744" priority="99"/>
    <cfRule type="duplicateValues" dxfId="743" priority="100"/>
  </conditionalFormatting>
  <conditionalFormatting sqref="Y11">
    <cfRule type="duplicateValues" dxfId="742" priority="101"/>
    <cfRule type="duplicateValues" dxfId="741" priority="102"/>
  </conditionalFormatting>
  <conditionalFormatting sqref="X11">
    <cfRule type="duplicateValues" dxfId="740" priority="103"/>
  </conditionalFormatting>
  <conditionalFormatting sqref="Y11">
    <cfRule type="duplicateValues" dxfId="739" priority="104"/>
  </conditionalFormatting>
  <conditionalFormatting sqref="X11">
    <cfRule type="duplicateValues" dxfId="738" priority="105"/>
    <cfRule type="duplicateValues" dxfId="737" priority="106"/>
    <cfRule type="duplicateValues" dxfId="736" priority="107"/>
  </conditionalFormatting>
  <conditionalFormatting sqref="AA11">
    <cfRule type="duplicateValues" dxfId="735" priority="108"/>
  </conditionalFormatting>
  <conditionalFormatting sqref="B8:B11">
    <cfRule type="duplicateValues" dxfId="734" priority="109"/>
  </conditionalFormatting>
  <conditionalFormatting sqref="B7:B11">
    <cfRule type="duplicateValues" dxfId="733" priority="110"/>
  </conditionalFormatting>
  <conditionalFormatting sqref="B1:B11 B15">
    <cfRule type="duplicateValues" dxfId="732" priority="111"/>
    <cfRule type="duplicateValues" dxfId="731" priority="112"/>
    <cfRule type="duplicateValues" dxfId="730" priority="113"/>
  </conditionalFormatting>
  <conditionalFormatting sqref="B23:B24">
    <cfRule type="duplicateValues" dxfId="729" priority="13"/>
    <cfRule type="duplicateValues" dxfId="728" priority="14"/>
    <cfRule type="duplicateValues" dxfId="727" priority="15"/>
  </conditionalFormatting>
  <conditionalFormatting sqref="U23:U24">
    <cfRule type="duplicateValues" dxfId="726" priority="12"/>
  </conditionalFormatting>
  <conditionalFormatting sqref="X24 V23:W24 Y23:AA24">
    <cfRule type="duplicateValues" dxfId="725" priority="11"/>
  </conditionalFormatting>
  <conditionalFormatting sqref="X23">
    <cfRule type="duplicateValues" dxfId="724" priority="10"/>
  </conditionalFormatting>
  <conditionalFormatting sqref="B23">
    <cfRule type="duplicateValues" dxfId="723" priority="7"/>
    <cfRule type="duplicateValues" dxfId="722" priority="8"/>
    <cfRule type="duplicateValues" dxfId="721" priority="9"/>
  </conditionalFormatting>
  <conditionalFormatting sqref="U23">
    <cfRule type="duplicateValues" dxfId="720" priority="6"/>
  </conditionalFormatting>
  <conditionalFormatting sqref="V23:AA23">
    <cfRule type="duplicateValues" dxfId="719" priority="5"/>
  </conditionalFormatting>
  <conditionalFormatting sqref="AA20">
    <cfRule type="duplicateValues" dxfId="718" priority="4"/>
  </conditionalFormatting>
  <conditionalFormatting sqref="AA21">
    <cfRule type="duplicateValues" dxfId="717" priority="2"/>
  </conditionalFormatting>
  <conditionalFormatting sqref="U18:U20">
    <cfRule type="duplicateValues" dxfId="716" priority="123"/>
  </conditionalFormatting>
  <conditionalFormatting sqref="B17:B22">
    <cfRule type="duplicateValues" dxfId="715" priority="233"/>
  </conditionalFormatting>
  <conditionalFormatting sqref="B16:B22">
    <cfRule type="duplicateValues" dxfId="714" priority="235"/>
  </conditionalFormatting>
  <conditionalFormatting sqref="V16:AA17 Y18:AA22 V18:W22">
    <cfRule type="duplicateValues" dxfId="713" priority="237"/>
  </conditionalFormatting>
  <conditionalFormatting sqref="U16:U22">
    <cfRule type="duplicateValues" dxfId="712" priority="242"/>
  </conditionalFormatting>
  <conditionalFormatting sqref="B16:B22">
    <cfRule type="duplicateValues" dxfId="711" priority="244"/>
    <cfRule type="duplicateValues" dxfId="710" priority="245"/>
    <cfRule type="duplicateValues" dxfId="709" priority="246"/>
  </conditionalFormatting>
  <conditionalFormatting sqref="X18:X22">
    <cfRule type="duplicateValues" dxfId="708" priority="250"/>
  </conditionalFormatting>
  <conditionalFormatting sqref="AA18:AA19">
    <cfRule type="duplicateValues" dxfId="707" priority="254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21"/>
  <sheetViews>
    <sheetView workbookViewId="0">
      <pane xSplit="5" ySplit="4" topLeftCell="F203" activePane="bottomRight" state="frozen"/>
      <selection pane="topRight" activeCell="J1" sqref="J1"/>
      <selection pane="bottomLeft" activeCell="A204" sqref="A204"/>
      <selection pane="bottomRight" activeCell="C222" sqref="C222"/>
    </sheetView>
  </sheetViews>
  <sheetFormatPr defaultColWidth="9.140625" defaultRowHeight="12"/>
  <cols>
    <col min="1" max="1" width="9.140625" style="56"/>
    <col min="2" max="2" width="9.140625" style="57"/>
    <col min="3" max="3" width="31.7109375" style="56" customWidth="1"/>
    <col min="4" max="4" width="9.140625" style="56"/>
    <col min="5" max="5" width="10.140625" style="56" customWidth="1"/>
    <col min="6" max="6" width="23.28515625" style="56" customWidth="1"/>
    <col min="7" max="7" width="12.42578125" style="56" customWidth="1"/>
    <col min="8" max="9" width="14.28515625" style="56" customWidth="1"/>
    <col min="10" max="10" width="11.5703125" style="56" customWidth="1"/>
    <col min="11" max="11" width="10" style="58" customWidth="1"/>
    <col min="12" max="12" width="14.42578125" style="56" customWidth="1"/>
    <col min="13" max="13" width="9.140625" style="56"/>
    <col min="14" max="14" width="9.140625" style="59"/>
    <col min="15" max="16" width="9.140625" style="56"/>
    <col min="17" max="17" width="29.5703125" style="56" customWidth="1"/>
    <col min="18" max="18" width="11.7109375" style="56" customWidth="1"/>
    <col min="19" max="19" width="12" style="56" customWidth="1"/>
    <col min="20" max="20" width="29.28515625" style="56" customWidth="1"/>
    <col min="21" max="21" width="12.42578125" style="56" customWidth="1"/>
    <col min="22" max="22" width="13.140625" style="56" customWidth="1"/>
    <col min="23" max="23" width="9.140625" style="56"/>
    <col min="24" max="24" width="12.42578125" style="56" customWidth="1"/>
    <col min="25" max="25" width="14.85546875" style="60" customWidth="1"/>
    <col min="26" max="26" width="9.140625" style="57"/>
    <col min="27" max="27" width="17.28515625" style="57" customWidth="1"/>
    <col min="28" max="28" width="15.42578125" style="60" customWidth="1"/>
    <col min="29" max="29" width="22.7109375" style="57" customWidth="1"/>
    <col min="30" max="30" width="20.140625" style="61" customWidth="1"/>
    <col min="31" max="31" width="124" style="56" customWidth="1"/>
    <col min="32" max="32" width="129.5703125" style="56" customWidth="1"/>
    <col min="33" max="35" width="9.140625" style="56"/>
    <col min="36" max="36" width="9.140625" style="59"/>
    <col min="37" max="16384" width="9.140625" style="56"/>
  </cols>
  <sheetData>
    <row r="1" spans="1:46" s="1" customFormat="1" ht="18" customHeight="1">
      <c r="A1" s="64">
        <v>46023</v>
      </c>
      <c r="B1" s="8"/>
      <c r="C1" s="9"/>
      <c r="D1" s="9"/>
      <c r="E1" s="8"/>
      <c r="F1" s="8"/>
      <c r="G1" s="10"/>
      <c r="H1" s="10"/>
      <c r="I1" s="8"/>
      <c r="J1" s="12"/>
      <c r="K1" s="12"/>
      <c r="L1" s="12"/>
      <c r="M1" s="8"/>
      <c r="N1" s="10"/>
      <c r="O1" s="9"/>
      <c r="P1" s="8"/>
      <c r="Q1" s="10"/>
      <c r="R1" s="10"/>
      <c r="S1" s="10"/>
      <c r="T1" s="10"/>
      <c r="U1" s="62"/>
      <c r="V1" s="8"/>
      <c r="W1" s="8"/>
      <c r="X1" s="8"/>
      <c r="Y1" s="8"/>
      <c r="Z1" s="8"/>
      <c r="AA1" s="10"/>
      <c r="AB1" s="8"/>
      <c r="AC1" s="10"/>
      <c r="AD1" s="10"/>
      <c r="AE1" s="10"/>
      <c r="AF1" s="13"/>
      <c r="AG1" s="119" t="s">
        <v>1</v>
      </c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</row>
    <row r="2" spans="1:46" s="2" customFormat="1" ht="48">
      <c r="A2" s="14" t="s">
        <v>2</v>
      </c>
      <c r="B2" s="14" t="s">
        <v>3</v>
      </c>
      <c r="C2" s="14" t="s">
        <v>4</v>
      </c>
      <c r="D2" s="14" t="s">
        <v>5</v>
      </c>
      <c r="E2" s="14" t="s">
        <v>6</v>
      </c>
      <c r="F2" s="14" t="s">
        <v>7</v>
      </c>
      <c r="G2" s="14" t="s">
        <v>8</v>
      </c>
      <c r="H2" s="14" t="s">
        <v>9</v>
      </c>
      <c r="I2" s="14" t="s">
        <v>10</v>
      </c>
      <c r="J2" s="16" t="s">
        <v>11</v>
      </c>
      <c r="K2" s="16" t="s">
        <v>12</v>
      </c>
      <c r="L2" s="17" t="s">
        <v>13</v>
      </c>
      <c r="M2" s="14" t="s">
        <v>14</v>
      </c>
      <c r="N2" s="14" t="s">
        <v>15</v>
      </c>
      <c r="O2" s="14" t="s">
        <v>16</v>
      </c>
      <c r="P2" s="19" t="s">
        <v>17</v>
      </c>
      <c r="Q2" s="14" t="s">
        <v>18</v>
      </c>
      <c r="R2" s="14" t="s">
        <v>19</v>
      </c>
      <c r="S2" s="14" t="s">
        <v>20</v>
      </c>
      <c r="T2" s="14" t="s">
        <v>21</v>
      </c>
      <c r="U2" s="14" t="s">
        <v>22</v>
      </c>
      <c r="V2" s="14" t="s">
        <v>23</v>
      </c>
      <c r="W2" s="14" t="s">
        <v>24</v>
      </c>
      <c r="X2" s="14" t="s">
        <v>25</v>
      </c>
      <c r="Y2" s="14" t="s">
        <v>26</v>
      </c>
      <c r="Z2" s="14" t="s">
        <v>27</v>
      </c>
      <c r="AA2" s="14" t="s">
        <v>28</v>
      </c>
      <c r="AB2" s="14" t="s">
        <v>29</v>
      </c>
      <c r="AC2" s="14" t="s">
        <v>30</v>
      </c>
      <c r="AD2" s="14" t="s">
        <v>31</v>
      </c>
      <c r="AE2" s="14" t="s">
        <v>32</v>
      </c>
      <c r="AF2" s="19" t="s">
        <v>33</v>
      </c>
      <c r="AG2" s="19" t="s">
        <v>34</v>
      </c>
      <c r="AH2" s="19" t="s">
        <v>35</v>
      </c>
      <c r="AI2" s="19" t="s">
        <v>36</v>
      </c>
      <c r="AJ2" s="19" t="s">
        <v>37</v>
      </c>
      <c r="AK2" s="19" t="s">
        <v>38</v>
      </c>
      <c r="AL2" s="19" t="s">
        <v>39</v>
      </c>
      <c r="AM2" s="19" t="s">
        <v>40</v>
      </c>
      <c r="AN2" s="19" t="s">
        <v>41</v>
      </c>
      <c r="AO2" s="19" t="s">
        <v>42</v>
      </c>
      <c r="AP2" s="19" t="s">
        <v>43</v>
      </c>
      <c r="AQ2" s="19" t="s">
        <v>44</v>
      </c>
      <c r="AR2" s="19" t="s">
        <v>45</v>
      </c>
      <c r="AS2" s="19" t="s">
        <v>46</v>
      </c>
      <c r="AT2" s="19" t="s">
        <v>47</v>
      </c>
    </row>
    <row r="3" spans="1:46" s="70" customFormat="1" ht="24">
      <c r="A3" s="52">
        <v>1</v>
      </c>
      <c r="B3" s="65" t="s">
        <v>361</v>
      </c>
      <c r="C3" s="66" t="s">
        <v>362</v>
      </c>
      <c r="D3" s="67" t="s">
        <v>363</v>
      </c>
      <c r="E3" s="30" t="s">
        <v>51</v>
      </c>
      <c r="F3" s="30"/>
      <c r="G3" s="30" t="s">
        <v>53</v>
      </c>
      <c r="H3" s="30" t="s">
        <v>54</v>
      </c>
      <c r="I3" s="30"/>
      <c r="J3" s="46">
        <v>45246</v>
      </c>
      <c r="K3" s="68">
        <f t="shared" ref="K3:K66" ca="1" si="0">(TODAY()-J3)/365</f>
        <v>2.7616438356164386</v>
      </c>
      <c r="L3" s="46">
        <v>31367</v>
      </c>
      <c r="M3" s="51">
        <f t="shared" ref="M3:M66" ca="1" si="1">DATEDIF(L3,TODAY(),"y")</f>
        <v>40</v>
      </c>
      <c r="N3" s="21"/>
      <c r="O3" s="30"/>
      <c r="P3" s="30" t="s">
        <v>56</v>
      </c>
      <c r="Q3" s="30"/>
      <c r="R3" s="30"/>
      <c r="S3" s="21" t="s">
        <v>94</v>
      </c>
      <c r="T3" s="30" t="s">
        <v>364</v>
      </c>
      <c r="U3" s="21">
        <v>9599808969</v>
      </c>
      <c r="V3" s="21" t="s">
        <v>365</v>
      </c>
      <c r="W3" s="30"/>
      <c r="X3" s="65">
        <v>5610275204</v>
      </c>
      <c r="Y3" s="21" t="s">
        <v>366</v>
      </c>
      <c r="Z3" s="47"/>
      <c r="AA3" s="21"/>
      <c r="AB3" s="21"/>
      <c r="AC3" s="21"/>
      <c r="AD3" s="21"/>
      <c r="AE3" s="21"/>
      <c r="AF3" s="21" t="s">
        <v>367</v>
      </c>
      <c r="AG3" s="38">
        <v>7060</v>
      </c>
      <c r="AH3" s="38">
        <v>7981</v>
      </c>
      <c r="AI3" s="38"/>
      <c r="AJ3" s="38"/>
      <c r="AK3" s="38"/>
      <c r="AL3" s="38">
        <v>15041</v>
      </c>
      <c r="AM3" s="38">
        <v>15000</v>
      </c>
      <c r="AN3" s="38">
        <v>1950</v>
      </c>
      <c r="AO3" s="38">
        <v>488.83249999999998</v>
      </c>
      <c r="AP3" s="38">
        <v>1253.4166666666699</v>
      </c>
      <c r="AQ3" s="38"/>
      <c r="AR3" s="39"/>
      <c r="AS3" s="40">
        <v>1203.28</v>
      </c>
      <c r="AT3" s="69">
        <f t="shared" ref="AT3:AT66" si="2">AL3+AN3+AO3+AP3+AR3+AS3</f>
        <v>19936.529166666671</v>
      </c>
    </row>
    <row r="4" spans="1:46" s="70" customFormat="1" ht="24">
      <c r="A4" s="52">
        <f t="shared" ref="A4:A67" si="3">A3+1</f>
        <v>2</v>
      </c>
      <c r="B4" s="65" t="s">
        <v>368</v>
      </c>
      <c r="C4" s="66" t="s">
        <v>369</v>
      </c>
      <c r="D4" s="67" t="s">
        <v>363</v>
      </c>
      <c r="E4" s="30" t="s">
        <v>51</v>
      </c>
      <c r="F4" s="30"/>
      <c r="G4" s="30" t="s">
        <v>53</v>
      </c>
      <c r="H4" s="30" t="s">
        <v>54</v>
      </c>
      <c r="I4" s="30"/>
      <c r="J4" s="46">
        <v>45246</v>
      </c>
      <c r="K4" s="68">
        <f t="shared" ca="1" si="0"/>
        <v>2.7616438356164386</v>
      </c>
      <c r="L4" s="46">
        <v>29378</v>
      </c>
      <c r="M4" s="51">
        <f t="shared" ca="1" si="1"/>
        <v>46</v>
      </c>
      <c r="N4" s="21"/>
      <c r="O4" s="30"/>
      <c r="P4" s="30" t="s">
        <v>56</v>
      </c>
      <c r="Q4" s="30"/>
      <c r="R4" s="30"/>
      <c r="S4" s="21" t="s">
        <v>94</v>
      </c>
      <c r="T4" s="30" t="s">
        <v>370</v>
      </c>
      <c r="U4" s="21">
        <v>7330950738</v>
      </c>
      <c r="V4" s="21" t="s">
        <v>371</v>
      </c>
      <c r="W4" s="30"/>
      <c r="X4" s="65">
        <v>5610275221</v>
      </c>
      <c r="Y4" s="21" t="s">
        <v>372</v>
      </c>
      <c r="Z4" s="47"/>
      <c r="AA4" s="21"/>
      <c r="AB4" s="21"/>
      <c r="AC4" s="21"/>
      <c r="AD4" s="21"/>
      <c r="AE4" s="21"/>
      <c r="AF4" s="21" t="s">
        <v>373</v>
      </c>
      <c r="AG4" s="38">
        <v>7060</v>
      </c>
      <c r="AH4" s="38">
        <v>7981</v>
      </c>
      <c r="AI4" s="30"/>
      <c r="AJ4" s="30"/>
      <c r="AK4" s="30"/>
      <c r="AL4" s="38">
        <v>15041</v>
      </c>
      <c r="AM4" s="38">
        <v>15000</v>
      </c>
      <c r="AN4" s="38">
        <v>1950</v>
      </c>
      <c r="AO4" s="38">
        <v>488.83249999999998</v>
      </c>
      <c r="AP4" s="38">
        <v>1253.4166666666699</v>
      </c>
      <c r="AQ4" s="30"/>
      <c r="AR4" s="30"/>
      <c r="AS4" s="40">
        <v>1203.28</v>
      </c>
      <c r="AT4" s="69">
        <f t="shared" si="2"/>
        <v>19936.529166666671</v>
      </c>
    </row>
    <row r="5" spans="1:46" s="70" customFormat="1" ht="24">
      <c r="A5" s="52">
        <f t="shared" si="3"/>
        <v>3</v>
      </c>
      <c r="B5" s="65" t="s">
        <v>374</v>
      </c>
      <c r="C5" s="66" t="s">
        <v>375</v>
      </c>
      <c r="D5" s="67" t="s">
        <v>363</v>
      </c>
      <c r="E5" s="30" t="s">
        <v>51</v>
      </c>
      <c r="F5" s="30" t="s">
        <v>136</v>
      </c>
      <c r="G5" s="30" t="s">
        <v>53</v>
      </c>
      <c r="H5" s="30" t="s">
        <v>54</v>
      </c>
      <c r="I5" s="30"/>
      <c r="J5" s="46">
        <v>45250</v>
      </c>
      <c r="K5" s="68">
        <f t="shared" ca="1" si="0"/>
        <v>2.7506849315068491</v>
      </c>
      <c r="L5" s="46">
        <v>37711</v>
      </c>
      <c r="M5" s="51">
        <f t="shared" ca="1" si="1"/>
        <v>23</v>
      </c>
      <c r="N5" s="21"/>
      <c r="O5" s="30"/>
      <c r="P5" s="30" t="s">
        <v>56</v>
      </c>
      <c r="Q5" s="30" t="s">
        <v>376</v>
      </c>
      <c r="R5" s="30"/>
      <c r="S5" s="21" t="s">
        <v>256</v>
      </c>
      <c r="T5" s="30"/>
      <c r="U5" s="21">
        <v>8015315998</v>
      </c>
      <c r="V5" s="21" t="s">
        <v>377</v>
      </c>
      <c r="W5" s="30"/>
      <c r="X5" s="65">
        <v>5610283792</v>
      </c>
      <c r="Y5" s="21" t="s">
        <v>378</v>
      </c>
      <c r="Z5" s="47"/>
      <c r="AA5" s="21">
        <v>7467109008</v>
      </c>
      <c r="AB5" s="21"/>
      <c r="AC5" s="21" t="s">
        <v>379</v>
      </c>
      <c r="AD5" s="21" t="s">
        <v>380</v>
      </c>
      <c r="AE5" s="21" t="s">
        <v>381</v>
      </c>
      <c r="AF5" s="21" t="s">
        <v>381</v>
      </c>
      <c r="AG5" s="38">
        <v>7060</v>
      </c>
      <c r="AH5" s="38">
        <v>7981</v>
      </c>
      <c r="AI5" s="30"/>
      <c r="AJ5" s="30"/>
      <c r="AK5" s="30"/>
      <c r="AL5" s="38">
        <v>15041</v>
      </c>
      <c r="AM5" s="38">
        <v>15000</v>
      </c>
      <c r="AN5" s="38">
        <v>1950</v>
      </c>
      <c r="AO5" s="38">
        <v>488.83249999999998</v>
      </c>
      <c r="AP5" s="38">
        <v>1253.4166666666699</v>
      </c>
      <c r="AQ5" s="30"/>
      <c r="AR5" s="30"/>
      <c r="AS5" s="40">
        <v>1203.28</v>
      </c>
      <c r="AT5" s="69">
        <f t="shared" si="2"/>
        <v>19936.529166666671</v>
      </c>
    </row>
    <row r="6" spans="1:46" s="70" customFormat="1" ht="24">
      <c r="A6" s="52">
        <f t="shared" si="3"/>
        <v>4</v>
      </c>
      <c r="B6" s="65" t="s">
        <v>382</v>
      </c>
      <c r="C6" s="66" t="s">
        <v>383</v>
      </c>
      <c r="D6" s="67" t="s">
        <v>363</v>
      </c>
      <c r="E6" s="30" t="s">
        <v>51</v>
      </c>
      <c r="F6" s="30" t="s">
        <v>351</v>
      </c>
      <c r="G6" s="30" t="s">
        <v>53</v>
      </c>
      <c r="H6" s="30" t="s">
        <v>54</v>
      </c>
      <c r="I6" s="30"/>
      <c r="J6" s="46">
        <v>45250</v>
      </c>
      <c r="K6" s="68">
        <f t="shared" ca="1" si="0"/>
        <v>2.7506849315068491</v>
      </c>
      <c r="L6" s="46">
        <v>33404</v>
      </c>
      <c r="M6" s="51">
        <f t="shared" ca="1" si="1"/>
        <v>35</v>
      </c>
      <c r="N6" s="21"/>
      <c r="O6" s="30"/>
      <c r="P6" s="30" t="s">
        <v>56</v>
      </c>
      <c r="Q6" s="30"/>
      <c r="R6" s="30"/>
      <c r="S6" s="21" t="s">
        <v>94</v>
      </c>
      <c r="T6" s="30" t="s">
        <v>384</v>
      </c>
      <c r="U6" s="21">
        <v>9962080261</v>
      </c>
      <c r="V6" s="21" t="s">
        <v>385</v>
      </c>
      <c r="W6" s="30"/>
      <c r="X6" s="65">
        <v>5610283831</v>
      </c>
      <c r="Y6" s="21" t="s">
        <v>386</v>
      </c>
      <c r="Z6" s="47"/>
      <c r="AA6" s="21" t="s">
        <v>387</v>
      </c>
      <c r="AB6" s="21" t="s">
        <v>388</v>
      </c>
      <c r="AC6" s="21" t="s">
        <v>389</v>
      </c>
      <c r="AD6" s="21" t="s">
        <v>390</v>
      </c>
      <c r="AE6" s="21" t="s">
        <v>391</v>
      </c>
      <c r="AF6" s="21" t="s">
        <v>391</v>
      </c>
      <c r="AG6" s="38">
        <v>7060</v>
      </c>
      <c r="AH6" s="38">
        <v>7981</v>
      </c>
      <c r="AI6" s="30"/>
      <c r="AJ6" s="30"/>
      <c r="AK6" s="30"/>
      <c r="AL6" s="38">
        <v>15041</v>
      </c>
      <c r="AM6" s="38">
        <v>15000</v>
      </c>
      <c r="AN6" s="38">
        <v>1950</v>
      </c>
      <c r="AO6" s="38">
        <v>488.83249999999998</v>
      </c>
      <c r="AP6" s="38">
        <v>1253.4166666666699</v>
      </c>
      <c r="AQ6" s="30"/>
      <c r="AR6" s="30"/>
      <c r="AS6" s="40">
        <v>1203.28</v>
      </c>
      <c r="AT6" s="69">
        <f t="shared" si="2"/>
        <v>19936.529166666671</v>
      </c>
    </row>
    <row r="7" spans="1:46" s="70" customFormat="1" ht="24">
      <c r="A7" s="52">
        <f t="shared" si="3"/>
        <v>5</v>
      </c>
      <c r="B7" s="65" t="s">
        <v>392</v>
      </c>
      <c r="C7" s="66" t="s">
        <v>393</v>
      </c>
      <c r="D7" s="67" t="s">
        <v>363</v>
      </c>
      <c r="E7" s="30" t="s">
        <v>51</v>
      </c>
      <c r="F7" s="30" t="s">
        <v>351</v>
      </c>
      <c r="G7" s="30" t="s">
        <v>53</v>
      </c>
      <c r="H7" s="30" t="s">
        <v>54</v>
      </c>
      <c r="I7" s="30"/>
      <c r="J7" s="46">
        <v>45250</v>
      </c>
      <c r="K7" s="68">
        <f t="shared" ca="1" si="0"/>
        <v>2.7506849315068491</v>
      </c>
      <c r="L7" s="46">
        <v>35894</v>
      </c>
      <c r="M7" s="51">
        <f t="shared" ca="1" si="1"/>
        <v>28</v>
      </c>
      <c r="N7" s="21"/>
      <c r="O7" s="30"/>
      <c r="P7" s="30" t="s">
        <v>56</v>
      </c>
      <c r="Q7" s="30"/>
      <c r="R7" s="30"/>
      <c r="S7" s="21" t="s">
        <v>94</v>
      </c>
      <c r="T7" s="30" t="s">
        <v>394</v>
      </c>
      <c r="U7" s="21">
        <v>9944887661</v>
      </c>
      <c r="V7" s="21" t="s">
        <v>395</v>
      </c>
      <c r="W7" s="30"/>
      <c r="X7" s="65">
        <v>5610283862</v>
      </c>
      <c r="Y7" s="21" t="s">
        <v>396</v>
      </c>
      <c r="Z7" s="47"/>
      <c r="AA7" s="21" t="s">
        <v>397</v>
      </c>
      <c r="AB7" s="21" t="s">
        <v>388</v>
      </c>
      <c r="AC7" s="21" t="s">
        <v>389</v>
      </c>
      <c r="AD7" s="21" t="s">
        <v>390</v>
      </c>
      <c r="AE7" s="21" t="s">
        <v>398</v>
      </c>
      <c r="AF7" s="21" t="s">
        <v>398</v>
      </c>
      <c r="AG7" s="38">
        <v>7060</v>
      </c>
      <c r="AH7" s="38">
        <v>7981</v>
      </c>
      <c r="AI7" s="30"/>
      <c r="AJ7" s="30"/>
      <c r="AK7" s="30"/>
      <c r="AL7" s="38">
        <v>15041</v>
      </c>
      <c r="AM7" s="38">
        <v>15000</v>
      </c>
      <c r="AN7" s="38">
        <v>1950</v>
      </c>
      <c r="AO7" s="38">
        <v>488.83249999999998</v>
      </c>
      <c r="AP7" s="38">
        <v>1253.4166666666699</v>
      </c>
      <c r="AQ7" s="30"/>
      <c r="AR7" s="30"/>
      <c r="AS7" s="40">
        <v>1203.28</v>
      </c>
      <c r="AT7" s="69">
        <f t="shared" si="2"/>
        <v>19936.529166666671</v>
      </c>
    </row>
    <row r="8" spans="1:46" s="70" customFormat="1" ht="24">
      <c r="A8" s="52">
        <f t="shared" si="3"/>
        <v>6</v>
      </c>
      <c r="B8" s="65" t="s">
        <v>399</v>
      </c>
      <c r="C8" s="66" t="s">
        <v>400</v>
      </c>
      <c r="D8" s="67" t="s">
        <v>363</v>
      </c>
      <c r="E8" s="30" t="s">
        <v>51</v>
      </c>
      <c r="F8" s="30" t="s">
        <v>401</v>
      </c>
      <c r="G8" s="30" t="s">
        <v>53</v>
      </c>
      <c r="H8" s="30" t="s">
        <v>54</v>
      </c>
      <c r="I8" s="30"/>
      <c r="J8" s="46">
        <v>45250</v>
      </c>
      <c r="K8" s="68">
        <f t="shared" ca="1" si="0"/>
        <v>2.7506849315068491</v>
      </c>
      <c r="L8" s="46">
        <v>36224</v>
      </c>
      <c r="M8" s="51">
        <f t="shared" ca="1" si="1"/>
        <v>27</v>
      </c>
      <c r="N8" s="21"/>
      <c r="O8" s="30"/>
      <c r="P8" s="30" t="s">
        <v>56</v>
      </c>
      <c r="Q8" s="30"/>
      <c r="R8" s="30"/>
      <c r="S8" s="21" t="s">
        <v>94</v>
      </c>
      <c r="T8" s="30" t="s">
        <v>402</v>
      </c>
      <c r="U8" s="21">
        <v>7502923803</v>
      </c>
      <c r="V8" s="21" t="s">
        <v>403</v>
      </c>
      <c r="W8" s="30"/>
      <c r="X8" s="65">
        <v>5610283881</v>
      </c>
      <c r="Y8" s="21" t="s">
        <v>404</v>
      </c>
      <c r="Z8" s="47"/>
      <c r="AA8" s="21"/>
      <c r="AB8" s="21"/>
      <c r="AC8" s="21"/>
      <c r="AD8" s="21"/>
      <c r="AE8" s="21" t="s">
        <v>405</v>
      </c>
      <c r="AF8" s="21" t="s">
        <v>405</v>
      </c>
      <c r="AG8" s="38">
        <v>7060</v>
      </c>
      <c r="AH8" s="38">
        <v>7981</v>
      </c>
      <c r="AI8" s="30"/>
      <c r="AJ8" s="30"/>
      <c r="AK8" s="30"/>
      <c r="AL8" s="38">
        <v>15041</v>
      </c>
      <c r="AM8" s="38">
        <v>15000</v>
      </c>
      <c r="AN8" s="38">
        <v>1950</v>
      </c>
      <c r="AO8" s="38">
        <v>488.83249999999998</v>
      </c>
      <c r="AP8" s="38">
        <v>1253.4166666666699</v>
      </c>
      <c r="AQ8" s="30"/>
      <c r="AR8" s="30"/>
      <c r="AS8" s="40">
        <v>1203.28</v>
      </c>
      <c r="AT8" s="69">
        <f t="shared" si="2"/>
        <v>19936.529166666671</v>
      </c>
    </row>
    <row r="9" spans="1:46" s="70" customFormat="1" ht="24">
      <c r="A9" s="52">
        <f t="shared" si="3"/>
        <v>7</v>
      </c>
      <c r="B9" s="65" t="s">
        <v>406</v>
      </c>
      <c r="C9" s="66" t="s">
        <v>407</v>
      </c>
      <c r="D9" s="67" t="s">
        <v>117</v>
      </c>
      <c r="E9" s="30" t="s">
        <v>51</v>
      </c>
      <c r="F9" s="30"/>
      <c r="G9" s="30" t="s">
        <v>53</v>
      </c>
      <c r="H9" s="30" t="s">
        <v>54</v>
      </c>
      <c r="I9" s="30"/>
      <c r="J9" s="46">
        <v>45275</v>
      </c>
      <c r="K9" s="68">
        <f t="shared" ca="1" si="0"/>
        <v>2.6821917808219178</v>
      </c>
      <c r="L9" s="46">
        <v>37257</v>
      </c>
      <c r="M9" s="51">
        <f t="shared" ca="1" si="1"/>
        <v>24</v>
      </c>
      <c r="N9" s="21" t="s">
        <v>207</v>
      </c>
      <c r="O9" s="30"/>
      <c r="P9" s="30" t="s">
        <v>56</v>
      </c>
      <c r="Q9" s="30"/>
      <c r="R9" s="30"/>
      <c r="S9" s="21" t="s">
        <v>94</v>
      </c>
      <c r="T9" s="30" t="s">
        <v>408</v>
      </c>
      <c r="U9" s="21">
        <v>9023616411</v>
      </c>
      <c r="V9" s="21" t="s">
        <v>409</v>
      </c>
      <c r="W9" s="30"/>
      <c r="X9" s="65">
        <v>5610323948</v>
      </c>
      <c r="Y9" s="21" t="s">
        <v>410</v>
      </c>
      <c r="Z9" s="47"/>
      <c r="AA9" s="21"/>
      <c r="AB9" s="21"/>
      <c r="AC9" s="21"/>
      <c r="AD9" s="21"/>
      <c r="AE9" s="21"/>
      <c r="AF9" s="21" t="s">
        <v>411</v>
      </c>
      <c r="AG9" s="38">
        <v>7060</v>
      </c>
      <c r="AH9" s="38">
        <v>7981</v>
      </c>
      <c r="AI9" s="30"/>
      <c r="AJ9" s="30"/>
      <c r="AK9" s="30"/>
      <c r="AL9" s="38">
        <v>15041</v>
      </c>
      <c r="AM9" s="38">
        <v>15000</v>
      </c>
      <c r="AN9" s="38">
        <v>1950</v>
      </c>
      <c r="AO9" s="38">
        <v>488.83249999999998</v>
      </c>
      <c r="AP9" s="38">
        <v>1253.4166666666699</v>
      </c>
      <c r="AQ9" s="30"/>
      <c r="AR9" s="30"/>
      <c r="AS9" s="40">
        <v>1203.28</v>
      </c>
      <c r="AT9" s="69">
        <f t="shared" si="2"/>
        <v>19936.529166666671</v>
      </c>
    </row>
    <row r="10" spans="1:46" s="70" customFormat="1" ht="24">
      <c r="A10" s="52">
        <f t="shared" si="3"/>
        <v>8</v>
      </c>
      <c r="B10" s="65" t="s">
        <v>412</v>
      </c>
      <c r="C10" s="66" t="s">
        <v>413</v>
      </c>
      <c r="D10" s="67" t="s">
        <v>117</v>
      </c>
      <c r="E10" s="30" t="s">
        <v>51</v>
      </c>
      <c r="F10" s="30"/>
      <c r="G10" s="30" t="s">
        <v>53</v>
      </c>
      <c r="H10" s="30" t="s">
        <v>54</v>
      </c>
      <c r="I10" s="30"/>
      <c r="J10" s="46">
        <v>45275</v>
      </c>
      <c r="K10" s="68">
        <f t="shared" ca="1" si="0"/>
        <v>2.6821917808219178</v>
      </c>
      <c r="L10" s="46">
        <v>37622</v>
      </c>
      <c r="M10" s="51">
        <f t="shared" ca="1" si="1"/>
        <v>23</v>
      </c>
      <c r="N10" s="21" t="s">
        <v>414</v>
      </c>
      <c r="O10" s="30"/>
      <c r="P10" s="30" t="s">
        <v>56</v>
      </c>
      <c r="Q10" s="30" t="s">
        <v>415</v>
      </c>
      <c r="R10" s="30"/>
      <c r="S10" s="21" t="s">
        <v>256</v>
      </c>
      <c r="T10" s="30"/>
      <c r="U10" s="21">
        <v>8610972163</v>
      </c>
      <c r="V10" s="21" t="s">
        <v>416</v>
      </c>
      <c r="W10" s="30"/>
      <c r="X10" s="65">
        <v>5610323983</v>
      </c>
      <c r="Y10" s="21" t="s">
        <v>417</v>
      </c>
      <c r="Z10" s="47"/>
      <c r="AA10" s="21"/>
      <c r="AB10" s="21"/>
      <c r="AC10" s="21"/>
      <c r="AD10" s="21"/>
      <c r="AE10" s="21"/>
      <c r="AF10" s="21" t="s">
        <v>418</v>
      </c>
      <c r="AG10" s="38">
        <v>7060</v>
      </c>
      <c r="AH10" s="38">
        <v>7981</v>
      </c>
      <c r="AI10" s="30"/>
      <c r="AJ10" s="30"/>
      <c r="AK10" s="30"/>
      <c r="AL10" s="38">
        <v>15041</v>
      </c>
      <c r="AM10" s="38">
        <v>15000</v>
      </c>
      <c r="AN10" s="38">
        <v>1950</v>
      </c>
      <c r="AO10" s="38">
        <v>488.83249999999998</v>
      </c>
      <c r="AP10" s="38">
        <v>1253.4166666666699</v>
      </c>
      <c r="AQ10" s="30"/>
      <c r="AR10" s="30"/>
      <c r="AS10" s="40">
        <v>1203.28</v>
      </c>
      <c r="AT10" s="69">
        <f t="shared" si="2"/>
        <v>19936.529166666671</v>
      </c>
    </row>
    <row r="11" spans="1:46" s="70" customFormat="1" ht="24">
      <c r="A11" s="52">
        <f t="shared" si="3"/>
        <v>9</v>
      </c>
      <c r="B11" s="65" t="s">
        <v>419</v>
      </c>
      <c r="C11" s="66" t="s">
        <v>420</v>
      </c>
      <c r="D11" s="67" t="s">
        <v>363</v>
      </c>
      <c r="E11" s="30" t="s">
        <v>51</v>
      </c>
      <c r="F11" s="30" t="s">
        <v>390</v>
      </c>
      <c r="G11" s="30" t="s">
        <v>53</v>
      </c>
      <c r="H11" s="30" t="s">
        <v>54</v>
      </c>
      <c r="I11" s="30"/>
      <c r="J11" s="46">
        <v>45250</v>
      </c>
      <c r="K11" s="68">
        <f t="shared" ca="1" si="0"/>
        <v>2.7506849315068491</v>
      </c>
      <c r="L11" s="46">
        <v>33399</v>
      </c>
      <c r="M11" s="51">
        <f t="shared" ca="1" si="1"/>
        <v>35</v>
      </c>
      <c r="N11" s="21"/>
      <c r="O11" s="30"/>
      <c r="P11" s="30" t="s">
        <v>56</v>
      </c>
      <c r="Q11" s="30"/>
      <c r="R11" s="30"/>
      <c r="S11" s="21" t="s">
        <v>94</v>
      </c>
      <c r="T11" s="30" t="s">
        <v>421</v>
      </c>
      <c r="U11" s="21">
        <v>9994539926</v>
      </c>
      <c r="V11" s="21" t="s">
        <v>422</v>
      </c>
      <c r="W11" s="30"/>
      <c r="X11" s="65">
        <v>5610283760</v>
      </c>
      <c r="Y11" s="21" t="s">
        <v>423</v>
      </c>
      <c r="Z11" s="47"/>
      <c r="AA11" s="21" t="s">
        <v>424</v>
      </c>
      <c r="AB11" s="21" t="s">
        <v>388</v>
      </c>
      <c r="AC11" s="21" t="s">
        <v>389</v>
      </c>
      <c r="AD11" s="21" t="s">
        <v>390</v>
      </c>
      <c r="AE11" s="21" t="s">
        <v>425</v>
      </c>
      <c r="AF11" s="21" t="s">
        <v>425</v>
      </c>
      <c r="AG11" s="38">
        <v>7060</v>
      </c>
      <c r="AH11" s="38">
        <v>7981</v>
      </c>
      <c r="AI11" s="30"/>
      <c r="AJ11" s="30"/>
      <c r="AK11" s="30"/>
      <c r="AL11" s="38">
        <v>15041</v>
      </c>
      <c r="AM11" s="38">
        <v>15000</v>
      </c>
      <c r="AN11" s="38">
        <v>1950</v>
      </c>
      <c r="AO11" s="38">
        <v>488.83249999999998</v>
      </c>
      <c r="AP11" s="38">
        <v>1253.4166666666699</v>
      </c>
      <c r="AQ11" s="30"/>
      <c r="AR11" s="30"/>
      <c r="AS11" s="40">
        <v>1203.28</v>
      </c>
      <c r="AT11" s="69">
        <f t="shared" si="2"/>
        <v>19936.529166666671</v>
      </c>
    </row>
    <row r="12" spans="1:46" s="70" customFormat="1" ht="24">
      <c r="A12" s="52">
        <f t="shared" si="3"/>
        <v>10</v>
      </c>
      <c r="B12" s="65" t="s">
        <v>426</v>
      </c>
      <c r="C12" s="66" t="s">
        <v>427</v>
      </c>
      <c r="D12" s="67" t="s">
        <v>363</v>
      </c>
      <c r="E12" s="30" t="s">
        <v>51</v>
      </c>
      <c r="F12" s="30" t="s">
        <v>83</v>
      </c>
      <c r="G12" s="30" t="s">
        <v>53</v>
      </c>
      <c r="H12" s="30" t="s">
        <v>54</v>
      </c>
      <c r="I12" s="30"/>
      <c r="J12" s="46">
        <v>45253</v>
      </c>
      <c r="K12" s="68">
        <f t="shared" ca="1" si="0"/>
        <v>2.7424657534246575</v>
      </c>
      <c r="L12" s="46">
        <v>26397</v>
      </c>
      <c r="M12" s="51">
        <f t="shared" ca="1" si="1"/>
        <v>54</v>
      </c>
      <c r="N12" s="21"/>
      <c r="O12" s="30"/>
      <c r="P12" s="30" t="s">
        <v>56</v>
      </c>
      <c r="Q12" s="30"/>
      <c r="R12" s="30"/>
      <c r="S12" s="21" t="s">
        <v>94</v>
      </c>
      <c r="T12" s="30"/>
      <c r="U12" s="21">
        <v>9626350701</v>
      </c>
      <c r="V12" s="21" t="s">
        <v>428</v>
      </c>
      <c r="W12" s="30"/>
      <c r="X12" s="65">
        <v>5610350036</v>
      </c>
      <c r="Y12" s="21"/>
      <c r="Z12" s="47"/>
      <c r="AA12" s="21"/>
      <c r="AB12" s="21"/>
      <c r="AC12" s="21"/>
      <c r="AD12" s="21"/>
      <c r="AE12" s="21" t="s">
        <v>429</v>
      </c>
      <c r="AF12" s="21" t="s">
        <v>429</v>
      </c>
      <c r="AG12" s="38">
        <v>7060</v>
      </c>
      <c r="AH12" s="38">
        <v>7981</v>
      </c>
      <c r="AI12" s="30"/>
      <c r="AJ12" s="30"/>
      <c r="AK12" s="30"/>
      <c r="AL12" s="38">
        <v>15041</v>
      </c>
      <c r="AM12" s="38">
        <v>15000</v>
      </c>
      <c r="AN12" s="38">
        <v>1950</v>
      </c>
      <c r="AO12" s="38">
        <v>488.83249999999998</v>
      </c>
      <c r="AP12" s="38">
        <v>1253.4166666666699</v>
      </c>
      <c r="AQ12" s="30"/>
      <c r="AR12" s="30"/>
      <c r="AS12" s="40">
        <v>1203.28</v>
      </c>
      <c r="AT12" s="69">
        <f t="shared" si="2"/>
        <v>19936.529166666671</v>
      </c>
    </row>
    <row r="13" spans="1:46" s="70" customFormat="1" ht="24">
      <c r="A13" s="52">
        <f t="shared" si="3"/>
        <v>11</v>
      </c>
      <c r="B13" s="65" t="s">
        <v>430</v>
      </c>
      <c r="C13" s="66" t="s">
        <v>431</v>
      </c>
      <c r="D13" s="67" t="s">
        <v>363</v>
      </c>
      <c r="E13" s="30" t="s">
        <v>51</v>
      </c>
      <c r="G13" s="30" t="s">
        <v>53</v>
      </c>
      <c r="H13" s="30" t="s">
        <v>54</v>
      </c>
      <c r="I13" s="30"/>
      <c r="J13" s="46">
        <v>45257</v>
      </c>
      <c r="K13" s="68">
        <f t="shared" ca="1" si="0"/>
        <v>2.7315068493150685</v>
      </c>
      <c r="L13" s="46">
        <v>32300</v>
      </c>
      <c r="M13" s="51">
        <f t="shared" ca="1" si="1"/>
        <v>38</v>
      </c>
      <c r="N13" s="21"/>
      <c r="O13" s="30"/>
      <c r="P13" s="30" t="s">
        <v>56</v>
      </c>
      <c r="Q13" s="30"/>
      <c r="R13" s="30"/>
      <c r="S13" s="21" t="s">
        <v>94</v>
      </c>
      <c r="T13" s="30" t="s">
        <v>432</v>
      </c>
      <c r="U13" s="21">
        <v>8489212802</v>
      </c>
      <c r="V13" s="21" t="s">
        <v>433</v>
      </c>
      <c r="W13" s="30"/>
      <c r="X13" s="65">
        <v>5610293368</v>
      </c>
      <c r="Y13" s="21" t="s">
        <v>434</v>
      </c>
      <c r="Z13" s="47"/>
      <c r="AA13" s="21"/>
      <c r="AB13" s="21"/>
      <c r="AC13" s="21"/>
      <c r="AD13" s="21"/>
      <c r="AE13" s="21"/>
      <c r="AF13" s="21" t="s">
        <v>435</v>
      </c>
      <c r="AG13" s="38">
        <v>7060</v>
      </c>
      <c r="AH13" s="38">
        <v>7981</v>
      </c>
      <c r="AI13" s="30"/>
      <c r="AJ13" s="30"/>
      <c r="AK13" s="30"/>
      <c r="AL13" s="38">
        <v>15041</v>
      </c>
      <c r="AM13" s="38">
        <v>15000</v>
      </c>
      <c r="AN13" s="38">
        <v>1950</v>
      </c>
      <c r="AO13" s="38">
        <v>488.83249999999998</v>
      </c>
      <c r="AP13" s="38">
        <v>1253.4166666666699</v>
      </c>
      <c r="AQ13" s="30"/>
      <c r="AR13" s="30"/>
      <c r="AS13" s="40">
        <v>1203.28</v>
      </c>
      <c r="AT13" s="69">
        <f t="shared" si="2"/>
        <v>19936.529166666671</v>
      </c>
    </row>
    <row r="14" spans="1:46" s="70" customFormat="1" ht="24">
      <c r="A14" s="52">
        <f t="shared" si="3"/>
        <v>12</v>
      </c>
      <c r="B14" s="65" t="s">
        <v>436</v>
      </c>
      <c r="C14" s="66" t="s">
        <v>437</v>
      </c>
      <c r="D14" s="67" t="s">
        <v>117</v>
      </c>
      <c r="E14" s="30" t="s">
        <v>51</v>
      </c>
      <c r="G14" s="30" t="s">
        <v>53</v>
      </c>
      <c r="H14" s="30" t="s">
        <v>54</v>
      </c>
      <c r="I14" s="30"/>
      <c r="J14" s="46">
        <v>45258</v>
      </c>
      <c r="K14" s="68">
        <f t="shared" ca="1" si="0"/>
        <v>2.7287671232876711</v>
      </c>
      <c r="L14" s="46">
        <v>32300</v>
      </c>
      <c r="M14" s="51">
        <f t="shared" ca="1" si="1"/>
        <v>38</v>
      </c>
      <c r="N14" s="21"/>
      <c r="O14" s="30"/>
      <c r="P14" s="30" t="s">
        <v>56</v>
      </c>
      <c r="Q14" s="30" t="s">
        <v>438</v>
      </c>
      <c r="R14" s="30"/>
      <c r="S14" s="21" t="s">
        <v>256</v>
      </c>
      <c r="T14" s="30"/>
      <c r="U14" s="21">
        <v>6369106403</v>
      </c>
      <c r="V14" s="21" t="s">
        <v>439</v>
      </c>
      <c r="W14" s="30"/>
      <c r="X14" s="65">
        <v>5610293344</v>
      </c>
      <c r="Y14" s="21" t="s">
        <v>440</v>
      </c>
      <c r="Z14" s="47"/>
      <c r="AA14" s="21" t="s">
        <v>441</v>
      </c>
      <c r="AB14" s="21" t="s">
        <v>442</v>
      </c>
      <c r="AC14" s="21" t="s">
        <v>443</v>
      </c>
      <c r="AD14" s="21" t="s">
        <v>444</v>
      </c>
      <c r="AE14" s="21"/>
      <c r="AF14" s="21" t="s">
        <v>445</v>
      </c>
      <c r="AG14" s="38">
        <v>7060</v>
      </c>
      <c r="AH14" s="38">
        <v>7981</v>
      </c>
      <c r="AI14" s="30"/>
      <c r="AJ14" s="30"/>
      <c r="AK14" s="30"/>
      <c r="AL14" s="38">
        <v>15041</v>
      </c>
      <c r="AM14" s="38">
        <v>15000</v>
      </c>
      <c r="AN14" s="38">
        <v>1950</v>
      </c>
      <c r="AO14" s="38">
        <v>488.83249999999998</v>
      </c>
      <c r="AP14" s="38">
        <v>1253.4166666666699</v>
      </c>
      <c r="AQ14" s="30"/>
      <c r="AR14" s="30"/>
      <c r="AS14" s="40">
        <v>1203.28</v>
      </c>
      <c r="AT14" s="69">
        <f t="shared" si="2"/>
        <v>19936.529166666671</v>
      </c>
    </row>
    <row r="15" spans="1:46" s="70" customFormat="1" ht="24">
      <c r="A15" s="52">
        <f t="shared" si="3"/>
        <v>13</v>
      </c>
      <c r="B15" s="65" t="s">
        <v>446</v>
      </c>
      <c r="C15" s="66" t="s">
        <v>447</v>
      </c>
      <c r="D15" s="67" t="s">
        <v>363</v>
      </c>
      <c r="E15" s="30" t="s">
        <v>51</v>
      </c>
      <c r="F15" s="30" t="s">
        <v>448</v>
      </c>
      <c r="G15" s="30" t="s">
        <v>53</v>
      </c>
      <c r="H15" s="30" t="s">
        <v>54</v>
      </c>
      <c r="I15" s="30"/>
      <c r="J15" s="46">
        <v>45257</v>
      </c>
      <c r="K15" s="68">
        <f t="shared" ca="1" si="0"/>
        <v>2.7315068493150685</v>
      </c>
      <c r="L15" s="46">
        <v>34955</v>
      </c>
      <c r="M15" s="51">
        <f t="shared" ca="1" si="1"/>
        <v>30</v>
      </c>
      <c r="N15" s="21"/>
      <c r="O15" s="30"/>
      <c r="P15" s="30" t="s">
        <v>56</v>
      </c>
      <c r="Q15" s="30"/>
      <c r="R15" s="30"/>
      <c r="S15" s="21" t="s">
        <v>94</v>
      </c>
      <c r="T15" s="30" t="s">
        <v>449</v>
      </c>
      <c r="U15" s="21">
        <v>9514841400</v>
      </c>
      <c r="V15" s="21" t="s">
        <v>450</v>
      </c>
      <c r="W15" s="30"/>
      <c r="X15" s="65">
        <v>5610293314</v>
      </c>
      <c r="Y15" s="21" t="s">
        <v>451</v>
      </c>
      <c r="Z15" s="47"/>
      <c r="AA15" s="21"/>
      <c r="AB15" s="21"/>
      <c r="AC15" s="21" t="e">
        <f>VLOOKUP(N:N,[3]Sheet1!$B:$K,10,0)</f>
        <v>#N/A</v>
      </c>
      <c r="AD15" s="21" t="s">
        <v>452</v>
      </c>
      <c r="AE15" s="21" t="s">
        <v>453</v>
      </c>
      <c r="AF15" s="21" t="s">
        <v>453</v>
      </c>
      <c r="AG15" s="38">
        <v>7060</v>
      </c>
      <c r="AH15" s="38">
        <v>7981</v>
      </c>
      <c r="AI15" s="30"/>
      <c r="AJ15" s="30"/>
      <c r="AK15" s="30"/>
      <c r="AL15" s="38">
        <v>15041</v>
      </c>
      <c r="AM15" s="38">
        <v>15000</v>
      </c>
      <c r="AN15" s="38">
        <v>1950</v>
      </c>
      <c r="AO15" s="38">
        <v>488.83249999999998</v>
      </c>
      <c r="AP15" s="38">
        <v>1253.4166666666699</v>
      </c>
      <c r="AQ15" s="30"/>
      <c r="AR15" s="30"/>
      <c r="AS15" s="40">
        <v>1203.28</v>
      </c>
      <c r="AT15" s="69">
        <f t="shared" si="2"/>
        <v>19936.529166666671</v>
      </c>
    </row>
    <row r="16" spans="1:46" s="70" customFormat="1" ht="24">
      <c r="A16" s="52">
        <f t="shared" si="3"/>
        <v>14</v>
      </c>
      <c r="B16" s="65" t="s">
        <v>454</v>
      </c>
      <c r="C16" s="66" t="s">
        <v>455</v>
      </c>
      <c r="D16" s="67" t="s">
        <v>363</v>
      </c>
      <c r="E16" s="30" t="s">
        <v>51</v>
      </c>
      <c r="F16" s="30" t="s">
        <v>105</v>
      </c>
      <c r="G16" s="30" t="s">
        <v>53</v>
      </c>
      <c r="H16" s="30" t="s">
        <v>54</v>
      </c>
      <c r="I16" s="30"/>
      <c r="J16" s="46">
        <v>45259</v>
      </c>
      <c r="K16" s="68">
        <f t="shared" ca="1" si="0"/>
        <v>2.7260273972602738</v>
      </c>
      <c r="L16" s="46" t="s">
        <v>456</v>
      </c>
      <c r="M16" s="51">
        <f t="shared" ca="1" si="1"/>
        <v>49</v>
      </c>
      <c r="N16" s="21"/>
      <c r="O16" s="30"/>
      <c r="P16" s="30" t="s">
        <v>56</v>
      </c>
      <c r="Q16" s="30"/>
      <c r="R16" s="30"/>
      <c r="S16" s="21" t="s">
        <v>94</v>
      </c>
      <c r="T16" s="30" t="s">
        <v>457</v>
      </c>
      <c r="U16" s="21">
        <v>8122131510</v>
      </c>
      <c r="V16" s="21" t="s">
        <v>458</v>
      </c>
      <c r="W16" s="30"/>
      <c r="X16" s="65">
        <v>5610293413</v>
      </c>
      <c r="Y16" s="21" t="s">
        <v>459</v>
      </c>
      <c r="Z16" s="47"/>
      <c r="AA16" s="21" t="s">
        <v>460</v>
      </c>
      <c r="AB16" s="21" t="s">
        <v>99</v>
      </c>
      <c r="AC16" s="21" t="s">
        <v>461</v>
      </c>
      <c r="AD16" s="21" t="s">
        <v>462</v>
      </c>
      <c r="AE16" s="21" t="s">
        <v>463</v>
      </c>
      <c r="AF16" s="21" t="s">
        <v>463</v>
      </c>
      <c r="AG16" s="38">
        <v>7060</v>
      </c>
      <c r="AH16" s="38">
        <v>7981</v>
      </c>
      <c r="AI16" s="30"/>
      <c r="AJ16" s="30"/>
      <c r="AK16" s="30"/>
      <c r="AL16" s="38">
        <v>15041</v>
      </c>
      <c r="AM16" s="38">
        <v>15000</v>
      </c>
      <c r="AN16" s="38">
        <v>1950</v>
      </c>
      <c r="AO16" s="38">
        <v>488.83249999999998</v>
      </c>
      <c r="AP16" s="38">
        <v>1253.4166666666699</v>
      </c>
      <c r="AQ16" s="30"/>
      <c r="AR16" s="30"/>
      <c r="AS16" s="40">
        <v>1203.28</v>
      </c>
      <c r="AT16" s="69">
        <f t="shared" si="2"/>
        <v>19936.529166666671</v>
      </c>
    </row>
    <row r="17" spans="1:46" s="70" customFormat="1" ht="24">
      <c r="A17" s="52">
        <f t="shared" si="3"/>
        <v>15</v>
      </c>
      <c r="B17" s="65" t="s">
        <v>464</v>
      </c>
      <c r="C17" s="66" t="s">
        <v>465</v>
      </c>
      <c r="D17" s="67" t="s">
        <v>363</v>
      </c>
      <c r="E17" s="30" t="s">
        <v>51</v>
      </c>
      <c r="F17" s="70" t="s">
        <v>466</v>
      </c>
      <c r="G17" s="30" t="s">
        <v>53</v>
      </c>
      <c r="H17" s="30" t="s">
        <v>54</v>
      </c>
      <c r="I17" s="30"/>
      <c r="J17" s="46">
        <v>45254</v>
      </c>
      <c r="K17" s="68">
        <f t="shared" ca="1" si="0"/>
        <v>2.7397260273972601</v>
      </c>
      <c r="L17" s="46">
        <v>35429</v>
      </c>
      <c r="M17" s="51">
        <f t="shared" ca="1" si="1"/>
        <v>29</v>
      </c>
      <c r="N17" s="21"/>
      <c r="O17" s="30"/>
      <c r="P17" s="30" t="s">
        <v>56</v>
      </c>
      <c r="Q17" s="30"/>
      <c r="R17" s="30"/>
      <c r="S17" s="21" t="s">
        <v>94</v>
      </c>
      <c r="T17" s="30" t="s">
        <v>467</v>
      </c>
      <c r="U17" s="21">
        <v>8015099815</v>
      </c>
      <c r="V17" s="21" t="s">
        <v>468</v>
      </c>
      <c r="W17" s="30"/>
      <c r="X17" s="65">
        <v>5610290856</v>
      </c>
      <c r="Y17" s="21" t="s">
        <v>469</v>
      </c>
      <c r="Z17" s="47"/>
      <c r="AA17" s="21"/>
      <c r="AB17" s="21"/>
      <c r="AC17" s="21" t="e">
        <f>VLOOKUP(N:N,[3]Sheet1!$B:$K,10,0)</f>
        <v>#N/A</v>
      </c>
      <c r="AD17" s="21" t="s">
        <v>452</v>
      </c>
      <c r="AE17" s="21" t="s">
        <v>470</v>
      </c>
      <c r="AF17" s="21" t="s">
        <v>470</v>
      </c>
      <c r="AG17" s="38">
        <v>7060</v>
      </c>
      <c r="AH17" s="38">
        <v>7981</v>
      </c>
      <c r="AI17" s="30"/>
      <c r="AJ17" s="30"/>
      <c r="AK17" s="30"/>
      <c r="AL17" s="38">
        <v>15041</v>
      </c>
      <c r="AM17" s="38">
        <v>15000</v>
      </c>
      <c r="AN17" s="38">
        <v>1950</v>
      </c>
      <c r="AO17" s="38">
        <v>488.83249999999998</v>
      </c>
      <c r="AP17" s="38">
        <v>1253.4166666666699</v>
      </c>
      <c r="AQ17" s="30"/>
      <c r="AR17" s="30"/>
      <c r="AS17" s="40">
        <v>1203.28</v>
      </c>
      <c r="AT17" s="69">
        <f t="shared" si="2"/>
        <v>19936.529166666671</v>
      </c>
    </row>
    <row r="18" spans="1:46" s="70" customFormat="1" ht="15" customHeight="1">
      <c r="A18" s="52">
        <f t="shared" si="3"/>
        <v>16</v>
      </c>
      <c r="B18" s="65" t="s">
        <v>471</v>
      </c>
      <c r="C18" s="66" t="s">
        <v>472</v>
      </c>
      <c r="D18" s="67" t="s">
        <v>363</v>
      </c>
      <c r="E18" s="30" t="s">
        <v>51</v>
      </c>
      <c r="F18" s="30"/>
      <c r="G18" s="30" t="s">
        <v>53</v>
      </c>
      <c r="H18" s="30" t="s">
        <v>54</v>
      </c>
      <c r="I18" s="30"/>
      <c r="J18" s="46">
        <v>45262</v>
      </c>
      <c r="K18" s="68">
        <f t="shared" ca="1" si="0"/>
        <v>2.7178082191780821</v>
      </c>
      <c r="L18" s="46">
        <v>38109</v>
      </c>
      <c r="M18" s="51">
        <f t="shared" ca="1" si="1"/>
        <v>22</v>
      </c>
      <c r="N18" s="21"/>
      <c r="O18" s="30"/>
      <c r="P18" s="30" t="s">
        <v>56</v>
      </c>
      <c r="Q18" s="30"/>
      <c r="R18" s="30"/>
      <c r="S18" s="21" t="s">
        <v>94</v>
      </c>
      <c r="T18" s="30" t="s">
        <v>473</v>
      </c>
      <c r="U18" s="21">
        <v>7306379525</v>
      </c>
      <c r="V18" s="21" t="s">
        <v>474</v>
      </c>
      <c r="W18" s="30"/>
      <c r="X18" s="65">
        <v>5610350207</v>
      </c>
      <c r="Y18" s="21" t="s">
        <v>475</v>
      </c>
      <c r="Z18" s="47"/>
      <c r="AA18" s="21"/>
      <c r="AB18" s="21"/>
      <c r="AC18" s="21"/>
      <c r="AD18" s="21"/>
      <c r="AE18" s="21"/>
      <c r="AF18" s="21" t="s">
        <v>476</v>
      </c>
      <c r="AG18" s="38">
        <v>7060</v>
      </c>
      <c r="AH18" s="38">
        <v>7981</v>
      </c>
      <c r="AI18" s="30"/>
      <c r="AJ18" s="30"/>
      <c r="AK18" s="30"/>
      <c r="AL18" s="38">
        <v>15041</v>
      </c>
      <c r="AM18" s="38">
        <v>15000</v>
      </c>
      <c r="AN18" s="38">
        <v>1950</v>
      </c>
      <c r="AO18" s="38">
        <v>488.83249999999998</v>
      </c>
      <c r="AP18" s="38">
        <v>1253.4166666666699</v>
      </c>
      <c r="AQ18" s="30"/>
      <c r="AR18" s="30"/>
      <c r="AS18" s="40">
        <v>1203.28</v>
      </c>
      <c r="AT18" s="69">
        <f t="shared" si="2"/>
        <v>19936.529166666671</v>
      </c>
    </row>
    <row r="19" spans="1:46" s="70" customFormat="1" ht="24">
      <c r="A19" s="52">
        <f t="shared" si="3"/>
        <v>17</v>
      </c>
      <c r="B19" s="65" t="s">
        <v>477</v>
      </c>
      <c r="C19" s="66" t="s">
        <v>478</v>
      </c>
      <c r="D19" s="67" t="s">
        <v>363</v>
      </c>
      <c r="E19" s="30" t="s">
        <v>51</v>
      </c>
      <c r="G19" s="30" t="s">
        <v>53</v>
      </c>
      <c r="H19" s="30" t="s">
        <v>54</v>
      </c>
      <c r="I19" s="30"/>
      <c r="J19" s="46">
        <v>45252</v>
      </c>
      <c r="K19" s="68">
        <f t="shared" ca="1" si="0"/>
        <v>2.7452054794520548</v>
      </c>
      <c r="L19" s="46">
        <v>37799</v>
      </c>
      <c r="M19" s="51">
        <f t="shared" ca="1" si="1"/>
        <v>23</v>
      </c>
      <c r="N19" s="21" t="s">
        <v>479</v>
      </c>
      <c r="O19" s="30"/>
      <c r="P19" s="30" t="s">
        <v>56</v>
      </c>
      <c r="Q19" s="30" t="s">
        <v>480</v>
      </c>
      <c r="R19" s="30"/>
      <c r="S19" s="21" t="s">
        <v>256</v>
      </c>
      <c r="T19" s="30"/>
      <c r="U19" s="21">
        <v>7358976863</v>
      </c>
      <c r="V19" s="21" t="s">
        <v>481</v>
      </c>
      <c r="W19" s="30"/>
      <c r="X19" s="65">
        <v>5610286737</v>
      </c>
      <c r="Y19" s="21" t="s">
        <v>482</v>
      </c>
      <c r="Z19" s="47"/>
      <c r="AA19" s="21"/>
      <c r="AB19" s="21"/>
      <c r="AC19" s="21" t="e">
        <f>VLOOKUP(N$12,[3]Sheet1!$B:$K,10,0)</f>
        <v>#N/A</v>
      </c>
      <c r="AD19" s="21" t="s">
        <v>483</v>
      </c>
      <c r="AE19" s="21"/>
      <c r="AF19" s="21" t="s">
        <v>484</v>
      </c>
      <c r="AG19" s="38">
        <v>7060</v>
      </c>
      <c r="AH19" s="38">
        <v>7981</v>
      </c>
      <c r="AI19" s="30"/>
      <c r="AJ19" s="30"/>
      <c r="AK19" s="30"/>
      <c r="AL19" s="38">
        <v>15041</v>
      </c>
      <c r="AM19" s="38">
        <v>15000</v>
      </c>
      <c r="AN19" s="38">
        <v>1950</v>
      </c>
      <c r="AO19" s="38">
        <v>488.83249999999998</v>
      </c>
      <c r="AP19" s="38">
        <v>1253.4166666666699</v>
      </c>
      <c r="AQ19" s="30"/>
      <c r="AR19" s="30"/>
      <c r="AS19" s="40">
        <v>1203.28</v>
      </c>
      <c r="AT19" s="69">
        <f t="shared" si="2"/>
        <v>19936.529166666671</v>
      </c>
    </row>
    <row r="20" spans="1:46" s="70" customFormat="1" ht="24">
      <c r="A20" s="52">
        <f t="shared" si="3"/>
        <v>18</v>
      </c>
      <c r="B20" s="65" t="s">
        <v>485</v>
      </c>
      <c r="C20" s="66" t="s">
        <v>486</v>
      </c>
      <c r="D20" s="67" t="s">
        <v>363</v>
      </c>
      <c r="E20" s="30" t="s">
        <v>51</v>
      </c>
      <c r="F20" s="30"/>
      <c r="G20" s="30" t="s">
        <v>53</v>
      </c>
      <c r="H20" s="30" t="s">
        <v>54</v>
      </c>
      <c r="I20" s="30"/>
      <c r="J20" s="46">
        <v>45257</v>
      </c>
      <c r="K20" s="68">
        <f t="shared" ca="1" si="0"/>
        <v>2.7315068493150685</v>
      </c>
      <c r="L20" s="46">
        <v>37351</v>
      </c>
      <c r="M20" s="51">
        <f t="shared" ca="1" si="1"/>
        <v>24</v>
      </c>
      <c r="N20" s="21"/>
      <c r="O20" s="30"/>
      <c r="P20" s="30" t="s">
        <v>56</v>
      </c>
      <c r="Q20" s="30" t="s">
        <v>394</v>
      </c>
      <c r="R20" s="30"/>
      <c r="S20" s="21" t="s">
        <v>256</v>
      </c>
      <c r="T20" s="30"/>
      <c r="U20" s="21">
        <v>6323651280</v>
      </c>
      <c r="V20" s="21" t="s">
        <v>487</v>
      </c>
      <c r="W20" s="30"/>
      <c r="X20" s="65">
        <v>5610293332</v>
      </c>
      <c r="Y20" s="21" t="s">
        <v>488</v>
      </c>
      <c r="Z20" s="47"/>
      <c r="AA20" s="21" t="s">
        <v>489</v>
      </c>
      <c r="AB20" s="21" t="s">
        <v>490</v>
      </c>
      <c r="AC20" s="21" t="s">
        <v>491</v>
      </c>
      <c r="AD20" s="21" t="s">
        <v>492</v>
      </c>
      <c r="AE20" s="21"/>
      <c r="AF20" s="21" t="s">
        <v>493</v>
      </c>
      <c r="AG20" s="38">
        <v>7060</v>
      </c>
      <c r="AH20" s="38">
        <v>7981</v>
      </c>
      <c r="AI20" s="30"/>
      <c r="AJ20" s="30"/>
      <c r="AK20" s="30"/>
      <c r="AL20" s="38">
        <v>15041</v>
      </c>
      <c r="AM20" s="38">
        <v>15000</v>
      </c>
      <c r="AN20" s="38">
        <v>1950</v>
      </c>
      <c r="AO20" s="38">
        <v>488.83249999999998</v>
      </c>
      <c r="AP20" s="38">
        <v>1253.4166666666699</v>
      </c>
      <c r="AQ20" s="30"/>
      <c r="AR20" s="30"/>
      <c r="AS20" s="40">
        <v>1203.28</v>
      </c>
      <c r="AT20" s="69">
        <f t="shared" si="2"/>
        <v>19936.529166666671</v>
      </c>
    </row>
    <row r="21" spans="1:46" s="70" customFormat="1" ht="24">
      <c r="A21" s="52">
        <f t="shared" si="3"/>
        <v>19</v>
      </c>
      <c r="B21" s="65" t="s">
        <v>494</v>
      </c>
      <c r="C21" s="66" t="s">
        <v>495</v>
      </c>
      <c r="D21" s="67" t="s">
        <v>363</v>
      </c>
      <c r="E21" s="30" t="s">
        <v>51</v>
      </c>
      <c r="F21" s="30" t="s">
        <v>105</v>
      </c>
      <c r="G21" s="30" t="s">
        <v>53</v>
      </c>
      <c r="H21" s="30" t="s">
        <v>54</v>
      </c>
      <c r="I21" s="30"/>
      <c r="J21" s="46">
        <v>45252</v>
      </c>
      <c r="K21" s="68">
        <f t="shared" ca="1" si="0"/>
        <v>2.7452054794520548</v>
      </c>
      <c r="L21" s="46">
        <v>34910</v>
      </c>
      <c r="M21" s="51">
        <f t="shared" ca="1" si="1"/>
        <v>31</v>
      </c>
      <c r="N21" s="21" t="s">
        <v>496</v>
      </c>
      <c r="O21" s="30"/>
      <c r="P21" s="30" t="s">
        <v>56</v>
      </c>
      <c r="Q21" s="30" t="s">
        <v>384</v>
      </c>
      <c r="R21" s="30"/>
      <c r="S21" s="21" t="s">
        <v>256</v>
      </c>
      <c r="T21" s="30"/>
      <c r="U21" s="21">
        <v>8144559720</v>
      </c>
      <c r="V21" s="21" t="s">
        <v>497</v>
      </c>
      <c r="W21" s="30"/>
      <c r="X21" s="65">
        <v>5610286626</v>
      </c>
      <c r="Y21" s="21" t="s">
        <v>498</v>
      </c>
      <c r="Z21" s="47"/>
      <c r="AA21" s="21"/>
      <c r="AB21" s="21"/>
      <c r="AC21" s="21" t="s">
        <v>499</v>
      </c>
      <c r="AD21" s="21" t="s">
        <v>500</v>
      </c>
      <c r="AE21" s="21" t="s">
        <v>501</v>
      </c>
      <c r="AF21" s="21" t="s">
        <v>501</v>
      </c>
      <c r="AG21" s="38">
        <v>7060</v>
      </c>
      <c r="AH21" s="38">
        <v>7981</v>
      </c>
      <c r="AI21" s="30"/>
      <c r="AJ21" s="30"/>
      <c r="AK21" s="30"/>
      <c r="AL21" s="38">
        <v>15041</v>
      </c>
      <c r="AM21" s="38">
        <v>15000</v>
      </c>
      <c r="AN21" s="38">
        <v>1950</v>
      </c>
      <c r="AO21" s="38">
        <v>488.83249999999998</v>
      </c>
      <c r="AP21" s="38">
        <v>1253.4166666666699</v>
      </c>
      <c r="AQ21" s="30"/>
      <c r="AR21" s="30"/>
      <c r="AS21" s="40">
        <v>1203.28</v>
      </c>
      <c r="AT21" s="69">
        <f t="shared" si="2"/>
        <v>19936.529166666671</v>
      </c>
    </row>
    <row r="22" spans="1:46" s="70" customFormat="1" ht="24">
      <c r="A22" s="52">
        <f t="shared" si="3"/>
        <v>20</v>
      </c>
      <c r="B22" s="65" t="s">
        <v>502</v>
      </c>
      <c r="C22" s="66" t="s">
        <v>503</v>
      </c>
      <c r="D22" s="67" t="s">
        <v>363</v>
      </c>
      <c r="E22" s="30" t="s">
        <v>51</v>
      </c>
      <c r="F22" s="30" t="s">
        <v>466</v>
      </c>
      <c r="G22" s="30" t="s">
        <v>53</v>
      </c>
      <c r="H22" s="30" t="s">
        <v>54</v>
      </c>
      <c r="I22" s="30"/>
      <c r="J22" s="46">
        <v>45250</v>
      </c>
      <c r="K22" s="68">
        <f t="shared" ca="1" si="0"/>
        <v>2.7506849315068491</v>
      </c>
      <c r="L22" s="46">
        <v>31566</v>
      </c>
      <c r="M22" s="51">
        <f t="shared" ca="1" si="1"/>
        <v>40</v>
      </c>
      <c r="N22" s="21"/>
      <c r="O22" s="30"/>
      <c r="P22" s="30" t="s">
        <v>56</v>
      </c>
      <c r="Q22" s="30"/>
      <c r="R22" s="30"/>
      <c r="S22" s="21" t="s">
        <v>94</v>
      </c>
      <c r="T22" s="30" t="s">
        <v>504</v>
      </c>
      <c r="U22" s="21">
        <v>6379755235</v>
      </c>
      <c r="V22" s="21" t="s">
        <v>505</v>
      </c>
      <c r="W22" s="30"/>
      <c r="X22" s="65">
        <v>5610283778</v>
      </c>
      <c r="Y22" s="21" t="s">
        <v>506</v>
      </c>
      <c r="Z22" s="47"/>
      <c r="AA22" s="21" t="s">
        <v>507</v>
      </c>
      <c r="AB22" s="21" t="s">
        <v>388</v>
      </c>
      <c r="AC22" s="21" t="s">
        <v>389</v>
      </c>
      <c r="AD22" s="21" t="s">
        <v>452</v>
      </c>
      <c r="AE22" s="21" t="s">
        <v>508</v>
      </c>
      <c r="AF22" s="21" t="s">
        <v>508</v>
      </c>
      <c r="AG22" s="38">
        <v>7060</v>
      </c>
      <c r="AH22" s="38">
        <v>7981</v>
      </c>
      <c r="AI22" s="30"/>
      <c r="AJ22" s="30"/>
      <c r="AK22" s="30"/>
      <c r="AL22" s="38">
        <v>15041</v>
      </c>
      <c r="AM22" s="38">
        <v>15000</v>
      </c>
      <c r="AN22" s="38">
        <v>1950</v>
      </c>
      <c r="AO22" s="38">
        <v>488.83249999999998</v>
      </c>
      <c r="AP22" s="38">
        <v>1253.4166666666699</v>
      </c>
      <c r="AQ22" s="30"/>
      <c r="AR22" s="30"/>
      <c r="AS22" s="40">
        <v>1203.28</v>
      </c>
      <c r="AT22" s="69">
        <f t="shared" si="2"/>
        <v>19936.529166666671</v>
      </c>
    </row>
    <row r="23" spans="1:46" s="70" customFormat="1" ht="24">
      <c r="A23" s="52">
        <f t="shared" si="3"/>
        <v>21</v>
      </c>
      <c r="B23" s="65" t="s">
        <v>509</v>
      </c>
      <c r="C23" s="66" t="s">
        <v>510</v>
      </c>
      <c r="D23" s="67" t="s">
        <v>363</v>
      </c>
      <c r="E23" s="30" t="s">
        <v>51</v>
      </c>
      <c r="F23" s="30" t="s">
        <v>105</v>
      </c>
      <c r="G23" s="30" t="s">
        <v>53</v>
      </c>
      <c r="H23" s="30" t="s">
        <v>54</v>
      </c>
      <c r="I23" s="30"/>
      <c r="J23" s="46">
        <v>45285</v>
      </c>
      <c r="K23" s="68">
        <f t="shared" ca="1" si="0"/>
        <v>2.6547945205479451</v>
      </c>
      <c r="L23" s="46">
        <v>37382</v>
      </c>
      <c r="M23" s="51">
        <f t="shared" ca="1" si="1"/>
        <v>24</v>
      </c>
      <c r="N23" s="21" t="s">
        <v>511</v>
      </c>
      <c r="O23" s="30"/>
      <c r="P23" s="30" t="s">
        <v>56</v>
      </c>
      <c r="Q23" s="30" t="s">
        <v>504</v>
      </c>
      <c r="R23" s="30"/>
      <c r="S23" s="21" t="s">
        <v>256</v>
      </c>
      <c r="T23" s="30"/>
      <c r="U23" s="21">
        <v>8903574070</v>
      </c>
      <c r="V23" s="21" t="s">
        <v>512</v>
      </c>
      <c r="W23" s="30"/>
      <c r="X23" s="65">
        <v>5610337286</v>
      </c>
      <c r="Y23" s="21" t="s">
        <v>513</v>
      </c>
      <c r="Z23" s="47"/>
      <c r="AA23" s="21" t="s">
        <v>514</v>
      </c>
      <c r="AB23" s="21" t="s">
        <v>515</v>
      </c>
      <c r="AC23" s="21" t="s">
        <v>112</v>
      </c>
      <c r="AD23" s="21" t="s">
        <v>516</v>
      </c>
      <c r="AE23" s="21" t="s">
        <v>517</v>
      </c>
      <c r="AF23" s="21" t="s">
        <v>517</v>
      </c>
      <c r="AG23" s="38">
        <v>7060</v>
      </c>
      <c r="AH23" s="38">
        <v>7981</v>
      </c>
      <c r="AI23" s="30"/>
      <c r="AJ23" s="30"/>
      <c r="AK23" s="30"/>
      <c r="AL23" s="38">
        <v>15041</v>
      </c>
      <c r="AM23" s="38">
        <v>15000</v>
      </c>
      <c r="AN23" s="38">
        <v>1950</v>
      </c>
      <c r="AO23" s="38">
        <v>488.83249999999998</v>
      </c>
      <c r="AP23" s="38">
        <v>1253.4166666666699</v>
      </c>
      <c r="AQ23" s="30"/>
      <c r="AR23" s="30"/>
      <c r="AS23" s="40">
        <v>1203.28</v>
      </c>
      <c r="AT23" s="69">
        <f t="shared" si="2"/>
        <v>19936.529166666671</v>
      </c>
    </row>
    <row r="24" spans="1:46" s="70" customFormat="1" ht="24">
      <c r="A24" s="52">
        <f t="shared" si="3"/>
        <v>22</v>
      </c>
      <c r="B24" s="65" t="s">
        <v>518</v>
      </c>
      <c r="C24" s="66" t="s">
        <v>519</v>
      </c>
      <c r="D24" s="67" t="s">
        <v>117</v>
      </c>
      <c r="E24" s="30" t="s">
        <v>51</v>
      </c>
      <c r="F24" s="30"/>
      <c r="G24" s="30" t="s">
        <v>53</v>
      </c>
      <c r="H24" s="30" t="s">
        <v>54</v>
      </c>
      <c r="I24" s="30"/>
      <c r="J24" s="46">
        <v>45262</v>
      </c>
      <c r="K24" s="68">
        <f t="shared" ca="1" si="0"/>
        <v>2.7178082191780821</v>
      </c>
      <c r="L24" s="46">
        <v>35254</v>
      </c>
      <c r="M24" s="51">
        <f t="shared" ca="1" si="1"/>
        <v>30</v>
      </c>
      <c r="N24" s="21"/>
      <c r="O24" s="30"/>
      <c r="P24" s="30" t="s">
        <v>56</v>
      </c>
      <c r="Q24" s="30"/>
      <c r="R24" s="30"/>
      <c r="S24" s="21" t="s">
        <v>94</v>
      </c>
      <c r="T24" s="30" t="s">
        <v>520</v>
      </c>
      <c r="U24" s="21">
        <v>7306373525</v>
      </c>
      <c r="V24" s="21" t="s">
        <v>521</v>
      </c>
      <c r="W24" s="30"/>
      <c r="X24" s="65">
        <v>5610354913</v>
      </c>
      <c r="Y24" s="21" t="s">
        <v>522</v>
      </c>
      <c r="Z24" s="47"/>
      <c r="AA24" s="21" t="s">
        <v>523</v>
      </c>
      <c r="AB24" s="21" t="s">
        <v>524</v>
      </c>
      <c r="AC24" s="21" t="s">
        <v>389</v>
      </c>
      <c r="AD24" s="21" t="s">
        <v>525</v>
      </c>
      <c r="AE24" s="21"/>
      <c r="AF24" s="21" t="s">
        <v>526</v>
      </c>
      <c r="AG24" s="38">
        <v>7060</v>
      </c>
      <c r="AH24" s="38">
        <v>7981</v>
      </c>
      <c r="AI24" s="30"/>
      <c r="AJ24" s="30"/>
      <c r="AK24" s="30"/>
      <c r="AL24" s="38">
        <v>15041</v>
      </c>
      <c r="AM24" s="38">
        <v>15000</v>
      </c>
      <c r="AN24" s="38">
        <v>1950</v>
      </c>
      <c r="AO24" s="38">
        <v>488.83249999999998</v>
      </c>
      <c r="AP24" s="38">
        <v>1253.4166666666699</v>
      </c>
      <c r="AQ24" s="30"/>
      <c r="AR24" s="30"/>
      <c r="AS24" s="40">
        <v>1203.28</v>
      </c>
      <c r="AT24" s="69">
        <f t="shared" si="2"/>
        <v>19936.529166666671</v>
      </c>
    </row>
    <row r="25" spans="1:46" s="70" customFormat="1" ht="24">
      <c r="A25" s="52">
        <f t="shared" si="3"/>
        <v>23</v>
      </c>
      <c r="B25" s="65" t="s">
        <v>527</v>
      </c>
      <c r="C25" s="66" t="s">
        <v>528</v>
      </c>
      <c r="D25" s="67" t="s">
        <v>117</v>
      </c>
      <c r="E25" s="30" t="s">
        <v>51</v>
      </c>
      <c r="F25" s="30"/>
      <c r="G25" s="30" t="s">
        <v>53</v>
      </c>
      <c r="H25" s="30" t="s">
        <v>54</v>
      </c>
      <c r="I25" s="30"/>
      <c r="J25" s="46">
        <v>45272</v>
      </c>
      <c r="K25" s="68">
        <f t="shared" ca="1" si="0"/>
        <v>2.6904109589041094</v>
      </c>
      <c r="L25" s="46">
        <v>38172</v>
      </c>
      <c r="M25" s="51">
        <f t="shared" ca="1" si="1"/>
        <v>22</v>
      </c>
      <c r="N25" s="21"/>
      <c r="O25" s="30"/>
      <c r="P25" s="30" t="s">
        <v>56</v>
      </c>
      <c r="Q25" s="30" t="s">
        <v>529</v>
      </c>
      <c r="R25" s="30"/>
      <c r="S25" s="21" t="s">
        <v>256</v>
      </c>
      <c r="T25" s="30"/>
      <c r="U25" s="21">
        <v>9003588227</v>
      </c>
      <c r="V25" s="21" t="s">
        <v>530</v>
      </c>
      <c r="W25" s="30"/>
      <c r="X25" s="65">
        <v>5610323945</v>
      </c>
      <c r="Y25" s="21" t="s">
        <v>531</v>
      </c>
      <c r="Z25" s="47"/>
      <c r="AA25" s="21" t="s">
        <v>532</v>
      </c>
      <c r="AB25" s="21" t="s">
        <v>260</v>
      </c>
      <c r="AC25" s="21" t="s">
        <v>261</v>
      </c>
      <c r="AD25" s="21" t="s">
        <v>262</v>
      </c>
      <c r="AE25" s="21"/>
      <c r="AF25" s="21" t="s">
        <v>533</v>
      </c>
      <c r="AG25" s="38">
        <v>7060</v>
      </c>
      <c r="AH25" s="38">
        <v>7981</v>
      </c>
      <c r="AI25" s="30"/>
      <c r="AJ25" s="30"/>
      <c r="AK25" s="30"/>
      <c r="AL25" s="38">
        <v>15041</v>
      </c>
      <c r="AM25" s="38">
        <v>15000</v>
      </c>
      <c r="AN25" s="38">
        <v>1950</v>
      </c>
      <c r="AO25" s="38">
        <v>488.83249999999998</v>
      </c>
      <c r="AP25" s="38">
        <v>1253.4166666666699</v>
      </c>
      <c r="AQ25" s="30"/>
      <c r="AR25" s="30"/>
      <c r="AS25" s="40">
        <v>1203.28</v>
      </c>
      <c r="AT25" s="69">
        <f t="shared" si="2"/>
        <v>19936.529166666671</v>
      </c>
    </row>
    <row r="26" spans="1:46" s="70" customFormat="1" ht="24">
      <c r="A26" s="52">
        <f t="shared" si="3"/>
        <v>24</v>
      </c>
      <c r="B26" s="65" t="s">
        <v>534</v>
      </c>
      <c r="C26" s="66" t="s">
        <v>535</v>
      </c>
      <c r="D26" s="67" t="s">
        <v>363</v>
      </c>
      <c r="E26" s="30" t="s">
        <v>51</v>
      </c>
      <c r="F26" s="30"/>
      <c r="G26" s="30" t="s">
        <v>53</v>
      </c>
      <c r="H26" s="30" t="s">
        <v>54</v>
      </c>
      <c r="I26" s="30"/>
      <c r="J26" s="46">
        <v>45299</v>
      </c>
      <c r="K26" s="68">
        <f t="shared" ca="1" si="0"/>
        <v>2.6164383561643834</v>
      </c>
      <c r="L26" s="46">
        <v>29562</v>
      </c>
      <c r="M26" s="51">
        <f t="shared" ca="1" si="1"/>
        <v>45</v>
      </c>
      <c r="N26" s="21"/>
      <c r="O26" s="30"/>
      <c r="P26" s="30" t="s">
        <v>56</v>
      </c>
      <c r="Q26" s="30"/>
      <c r="R26" s="30"/>
      <c r="S26" s="21" t="s">
        <v>94</v>
      </c>
      <c r="T26" s="30" t="s">
        <v>529</v>
      </c>
      <c r="U26" s="21">
        <v>6379928089</v>
      </c>
      <c r="V26" s="21" t="s">
        <v>536</v>
      </c>
      <c r="W26" s="30"/>
      <c r="X26" s="65">
        <v>5610354683</v>
      </c>
      <c r="Y26" s="21" t="s">
        <v>537</v>
      </c>
      <c r="Z26" s="47"/>
      <c r="AA26" s="21" t="s">
        <v>538</v>
      </c>
      <c r="AB26" s="21" t="s">
        <v>539</v>
      </c>
      <c r="AC26" s="21" t="s">
        <v>461</v>
      </c>
      <c r="AD26" s="21" t="s">
        <v>540</v>
      </c>
      <c r="AE26" s="21"/>
      <c r="AF26" s="21" t="s">
        <v>541</v>
      </c>
      <c r="AG26" s="38">
        <v>7060</v>
      </c>
      <c r="AH26" s="38">
        <v>7981</v>
      </c>
      <c r="AI26" s="30"/>
      <c r="AJ26" s="30"/>
      <c r="AK26" s="30"/>
      <c r="AL26" s="38">
        <v>15041</v>
      </c>
      <c r="AM26" s="38">
        <v>15000</v>
      </c>
      <c r="AN26" s="38">
        <v>1950</v>
      </c>
      <c r="AO26" s="38">
        <v>488.83249999999998</v>
      </c>
      <c r="AP26" s="38">
        <v>1253.4166666666699</v>
      </c>
      <c r="AQ26" s="30"/>
      <c r="AR26" s="30"/>
      <c r="AS26" s="40">
        <v>1203.28</v>
      </c>
      <c r="AT26" s="69">
        <f t="shared" si="2"/>
        <v>19936.529166666671</v>
      </c>
    </row>
    <row r="27" spans="1:46" s="70" customFormat="1" ht="24">
      <c r="A27" s="52">
        <f t="shared" si="3"/>
        <v>25</v>
      </c>
      <c r="B27" s="65" t="s">
        <v>542</v>
      </c>
      <c r="C27" s="66" t="s">
        <v>543</v>
      </c>
      <c r="D27" s="67" t="s">
        <v>363</v>
      </c>
      <c r="E27" s="30" t="s">
        <v>51</v>
      </c>
      <c r="F27" s="30" t="s">
        <v>466</v>
      </c>
      <c r="G27" s="30" t="s">
        <v>53</v>
      </c>
      <c r="H27" s="30" t="s">
        <v>54</v>
      </c>
      <c r="I27" s="30"/>
      <c r="J27" s="46">
        <v>45252</v>
      </c>
      <c r="K27" s="68">
        <f t="shared" ca="1" si="0"/>
        <v>2.7452054794520548</v>
      </c>
      <c r="L27" s="46">
        <v>25678</v>
      </c>
      <c r="M27" s="51">
        <f t="shared" ca="1" si="1"/>
        <v>56</v>
      </c>
      <c r="N27" s="21"/>
      <c r="O27" s="30"/>
      <c r="P27" s="30" t="s">
        <v>56</v>
      </c>
      <c r="Q27" s="30"/>
      <c r="R27" s="30"/>
      <c r="S27" s="21" t="s">
        <v>94</v>
      </c>
      <c r="T27" s="30" t="s">
        <v>544</v>
      </c>
      <c r="U27" s="21">
        <v>9942373372</v>
      </c>
      <c r="V27" s="21" t="s">
        <v>545</v>
      </c>
      <c r="W27" s="30"/>
      <c r="X27" s="65">
        <v>5610286693</v>
      </c>
      <c r="Y27" s="21" t="s">
        <v>546</v>
      </c>
      <c r="Z27" s="47"/>
      <c r="AA27" s="21">
        <v>30731542778</v>
      </c>
      <c r="AB27" s="21" t="s">
        <v>270</v>
      </c>
      <c r="AC27" s="21" t="s">
        <v>461</v>
      </c>
      <c r="AD27" s="21" t="s">
        <v>547</v>
      </c>
      <c r="AE27" s="21" t="s">
        <v>548</v>
      </c>
      <c r="AF27" s="21" t="s">
        <v>548</v>
      </c>
      <c r="AG27" s="38">
        <v>7060</v>
      </c>
      <c r="AH27" s="38">
        <v>7981</v>
      </c>
      <c r="AI27" s="30"/>
      <c r="AJ27" s="30"/>
      <c r="AK27" s="30"/>
      <c r="AL27" s="38">
        <v>15041</v>
      </c>
      <c r="AM27" s="38">
        <v>15000</v>
      </c>
      <c r="AN27" s="38">
        <v>1950</v>
      </c>
      <c r="AO27" s="38">
        <v>488.83249999999998</v>
      </c>
      <c r="AP27" s="38">
        <v>1253.4166666666699</v>
      </c>
      <c r="AQ27" s="30"/>
      <c r="AR27" s="30"/>
      <c r="AS27" s="40">
        <v>1203.28</v>
      </c>
      <c r="AT27" s="69">
        <f t="shared" si="2"/>
        <v>19936.529166666671</v>
      </c>
    </row>
    <row r="28" spans="1:46" s="70" customFormat="1" ht="24">
      <c r="A28" s="52">
        <f t="shared" si="3"/>
        <v>26</v>
      </c>
      <c r="B28" s="65" t="s">
        <v>549</v>
      </c>
      <c r="C28" s="66" t="s">
        <v>550</v>
      </c>
      <c r="D28" s="67" t="s">
        <v>117</v>
      </c>
      <c r="E28" s="30" t="s">
        <v>51</v>
      </c>
      <c r="F28" s="30"/>
      <c r="G28" s="30" t="s">
        <v>53</v>
      </c>
      <c r="H28" s="30" t="s">
        <v>54</v>
      </c>
      <c r="I28" s="30"/>
      <c r="J28" s="46">
        <v>45248</v>
      </c>
      <c r="K28" s="68">
        <f t="shared" ca="1" si="0"/>
        <v>2.7561643835616438</v>
      </c>
      <c r="L28" s="46">
        <v>37611</v>
      </c>
      <c r="M28" s="51">
        <f t="shared" ca="1" si="1"/>
        <v>23</v>
      </c>
      <c r="N28" s="21"/>
      <c r="O28" s="30"/>
      <c r="P28" s="30" t="s">
        <v>56</v>
      </c>
      <c r="Q28" s="30"/>
      <c r="R28" s="30"/>
      <c r="S28" s="21" t="s">
        <v>94</v>
      </c>
      <c r="T28" s="30" t="s">
        <v>551</v>
      </c>
      <c r="U28" s="21">
        <v>7708367039</v>
      </c>
      <c r="V28" s="21" t="s">
        <v>552</v>
      </c>
      <c r="W28" s="30"/>
      <c r="X28" s="65">
        <v>5610275254</v>
      </c>
      <c r="Y28" s="21" t="s">
        <v>553</v>
      </c>
      <c r="Z28" s="47"/>
      <c r="AA28" s="21" t="s">
        <v>554</v>
      </c>
      <c r="AB28" s="21" t="s">
        <v>490</v>
      </c>
      <c r="AC28" s="21" t="s">
        <v>491</v>
      </c>
      <c r="AD28" s="21" t="s">
        <v>492</v>
      </c>
      <c r="AE28" s="21"/>
      <c r="AF28" s="21" t="s">
        <v>555</v>
      </c>
      <c r="AG28" s="38">
        <v>7060</v>
      </c>
      <c r="AH28" s="38">
        <v>7981</v>
      </c>
      <c r="AI28" s="30"/>
      <c r="AJ28" s="30"/>
      <c r="AK28" s="30"/>
      <c r="AL28" s="38">
        <v>15041</v>
      </c>
      <c r="AM28" s="38">
        <v>15000</v>
      </c>
      <c r="AN28" s="38">
        <v>1950</v>
      </c>
      <c r="AO28" s="38">
        <v>488.83249999999998</v>
      </c>
      <c r="AP28" s="38">
        <v>1253.4166666666699</v>
      </c>
      <c r="AQ28" s="30"/>
      <c r="AR28" s="30"/>
      <c r="AS28" s="40">
        <v>1203.28</v>
      </c>
      <c r="AT28" s="69">
        <f t="shared" si="2"/>
        <v>19936.529166666671</v>
      </c>
    </row>
    <row r="29" spans="1:46" s="70" customFormat="1" ht="24">
      <c r="A29" s="52">
        <f t="shared" si="3"/>
        <v>27</v>
      </c>
      <c r="B29" s="65" t="s">
        <v>556</v>
      </c>
      <c r="C29" s="66" t="s">
        <v>557</v>
      </c>
      <c r="D29" s="67" t="s">
        <v>117</v>
      </c>
      <c r="E29" s="30" t="s">
        <v>51</v>
      </c>
      <c r="F29" s="30"/>
      <c r="G29" s="30" t="s">
        <v>53</v>
      </c>
      <c r="H29" s="30" t="s">
        <v>54</v>
      </c>
      <c r="I29" s="30"/>
      <c r="J29" s="46">
        <v>45300</v>
      </c>
      <c r="K29" s="68">
        <f t="shared" ca="1" si="0"/>
        <v>2.6136986301369864</v>
      </c>
      <c r="L29" s="46">
        <v>37815</v>
      </c>
      <c r="M29" s="51">
        <f t="shared" ca="1" si="1"/>
        <v>23</v>
      </c>
      <c r="N29" s="21" t="s">
        <v>511</v>
      </c>
      <c r="O29" s="30"/>
      <c r="P29" s="30" t="s">
        <v>56</v>
      </c>
      <c r="Q29" s="30"/>
      <c r="R29" s="30"/>
      <c r="S29" s="21" t="s">
        <v>94</v>
      </c>
      <c r="T29" s="30" t="s">
        <v>558</v>
      </c>
      <c r="U29" s="21">
        <v>9337297936</v>
      </c>
      <c r="V29" s="21" t="s">
        <v>559</v>
      </c>
      <c r="W29" s="30"/>
      <c r="X29" s="65">
        <v>5610358020</v>
      </c>
      <c r="Y29" s="21" t="s">
        <v>560</v>
      </c>
      <c r="Z29" s="47"/>
      <c r="AA29" s="21" t="s">
        <v>561</v>
      </c>
      <c r="AB29" s="21" t="s">
        <v>490</v>
      </c>
      <c r="AC29" s="21" t="s">
        <v>491</v>
      </c>
      <c r="AD29" s="21" t="s">
        <v>492</v>
      </c>
      <c r="AE29" s="21"/>
      <c r="AF29" s="21" t="s">
        <v>562</v>
      </c>
      <c r="AG29" s="38">
        <v>7060</v>
      </c>
      <c r="AH29" s="38">
        <v>7981</v>
      </c>
      <c r="AI29" s="30"/>
      <c r="AJ29" s="30"/>
      <c r="AK29" s="30"/>
      <c r="AL29" s="38">
        <v>15041</v>
      </c>
      <c r="AM29" s="38">
        <v>15000</v>
      </c>
      <c r="AN29" s="38">
        <v>1950</v>
      </c>
      <c r="AO29" s="38">
        <v>488.83249999999998</v>
      </c>
      <c r="AP29" s="38">
        <v>1253.4166666666699</v>
      </c>
      <c r="AQ29" s="30"/>
      <c r="AR29" s="30"/>
      <c r="AS29" s="40">
        <v>1203.28</v>
      </c>
      <c r="AT29" s="69">
        <f t="shared" si="2"/>
        <v>19936.529166666671</v>
      </c>
    </row>
    <row r="30" spans="1:46" s="70" customFormat="1" ht="24">
      <c r="A30" s="52">
        <f t="shared" si="3"/>
        <v>28</v>
      </c>
      <c r="B30" s="65" t="s">
        <v>563</v>
      </c>
      <c r="C30" s="66" t="s">
        <v>564</v>
      </c>
      <c r="D30" s="67" t="s">
        <v>363</v>
      </c>
      <c r="E30" s="30" t="s">
        <v>51</v>
      </c>
      <c r="F30" s="30" t="s">
        <v>113</v>
      </c>
      <c r="G30" s="30" t="s">
        <v>53</v>
      </c>
      <c r="H30" s="30" t="s">
        <v>54</v>
      </c>
      <c r="I30" s="30"/>
      <c r="J30" s="46">
        <v>45250</v>
      </c>
      <c r="K30" s="68">
        <f t="shared" ca="1" si="0"/>
        <v>2.7506849315068491</v>
      </c>
      <c r="L30" s="46">
        <v>36905</v>
      </c>
      <c r="M30" s="51">
        <f t="shared" ca="1" si="1"/>
        <v>25</v>
      </c>
      <c r="N30" s="21" t="s">
        <v>565</v>
      </c>
      <c r="O30" s="30"/>
      <c r="P30" s="30" t="s">
        <v>56</v>
      </c>
      <c r="Q30" s="30"/>
      <c r="R30" s="30"/>
      <c r="S30" s="21" t="s">
        <v>94</v>
      </c>
      <c r="T30" s="30" t="s">
        <v>566</v>
      </c>
      <c r="U30" s="21">
        <v>9080836522</v>
      </c>
      <c r="V30" s="21" t="s">
        <v>567</v>
      </c>
      <c r="W30" s="30"/>
      <c r="X30" s="65">
        <v>5610283715</v>
      </c>
      <c r="Y30" s="21" t="s">
        <v>568</v>
      </c>
      <c r="Z30" s="47"/>
      <c r="AA30" s="21" t="s">
        <v>569</v>
      </c>
      <c r="AB30" s="21" t="s">
        <v>570</v>
      </c>
      <c r="AC30" s="21" t="s">
        <v>389</v>
      </c>
      <c r="AD30" s="21" t="s">
        <v>571</v>
      </c>
      <c r="AE30" s="21" t="s">
        <v>572</v>
      </c>
      <c r="AF30" s="21" t="s">
        <v>572</v>
      </c>
      <c r="AG30" s="38">
        <v>7060</v>
      </c>
      <c r="AH30" s="38">
        <v>7981</v>
      </c>
      <c r="AI30" s="30"/>
      <c r="AJ30" s="30"/>
      <c r="AK30" s="30"/>
      <c r="AL30" s="38">
        <v>15041</v>
      </c>
      <c r="AM30" s="38">
        <v>15000</v>
      </c>
      <c r="AN30" s="38">
        <v>1950</v>
      </c>
      <c r="AO30" s="38">
        <v>488.83249999999998</v>
      </c>
      <c r="AP30" s="38">
        <v>1253.4166666666699</v>
      </c>
      <c r="AQ30" s="30"/>
      <c r="AR30" s="30"/>
      <c r="AS30" s="40">
        <v>1203.28</v>
      </c>
      <c r="AT30" s="69">
        <f t="shared" si="2"/>
        <v>19936.529166666671</v>
      </c>
    </row>
    <row r="31" spans="1:46" s="70" customFormat="1" ht="24">
      <c r="A31" s="52">
        <f t="shared" si="3"/>
        <v>29</v>
      </c>
      <c r="B31" s="65" t="s">
        <v>573</v>
      </c>
      <c r="C31" s="66" t="s">
        <v>574</v>
      </c>
      <c r="D31" s="67" t="s">
        <v>117</v>
      </c>
      <c r="E31" s="30" t="s">
        <v>51</v>
      </c>
      <c r="F31" s="30"/>
      <c r="G31" s="30" t="s">
        <v>53</v>
      </c>
      <c r="H31" s="30" t="s">
        <v>54</v>
      </c>
      <c r="I31" s="30"/>
      <c r="J31" s="46">
        <v>45292</v>
      </c>
      <c r="K31" s="68">
        <f t="shared" ca="1" si="0"/>
        <v>2.6356164383561644</v>
      </c>
      <c r="L31" s="46">
        <v>38216</v>
      </c>
      <c r="M31" s="51">
        <f t="shared" ca="1" si="1"/>
        <v>22</v>
      </c>
      <c r="N31" s="21" t="s">
        <v>119</v>
      </c>
      <c r="O31" s="30"/>
      <c r="P31" s="30" t="s">
        <v>56</v>
      </c>
      <c r="Q31" s="30"/>
      <c r="R31" s="30"/>
      <c r="S31" s="21" t="s">
        <v>94</v>
      </c>
      <c r="T31" s="30" t="s">
        <v>575</v>
      </c>
      <c r="U31" s="21">
        <v>9692381489</v>
      </c>
      <c r="V31" s="21" t="s">
        <v>576</v>
      </c>
      <c r="W31" s="30"/>
      <c r="X31" s="65">
        <v>5610341559</v>
      </c>
      <c r="Y31" s="21" t="s">
        <v>577</v>
      </c>
      <c r="Z31" s="47"/>
      <c r="AA31" s="21" t="s">
        <v>578</v>
      </c>
      <c r="AB31" s="21" t="s">
        <v>490</v>
      </c>
      <c r="AC31" s="21" t="s">
        <v>579</v>
      </c>
      <c r="AD31" s="21" t="s">
        <v>492</v>
      </c>
      <c r="AE31" s="21"/>
      <c r="AF31" s="21" t="s">
        <v>580</v>
      </c>
      <c r="AG31" s="38">
        <v>7060</v>
      </c>
      <c r="AH31" s="38">
        <v>7981</v>
      </c>
      <c r="AI31" s="30"/>
      <c r="AJ31" s="30"/>
      <c r="AK31" s="30"/>
      <c r="AL31" s="38">
        <v>15041</v>
      </c>
      <c r="AM31" s="38">
        <v>15000</v>
      </c>
      <c r="AN31" s="38">
        <v>1950</v>
      </c>
      <c r="AO31" s="38">
        <v>488.83249999999998</v>
      </c>
      <c r="AP31" s="38">
        <v>1253.4166666666699</v>
      </c>
      <c r="AQ31" s="30"/>
      <c r="AR31" s="30"/>
      <c r="AS31" s="40">
        <v>1203.28</v>
      </c>
      <c r="AT31" s="69">
        <f t="shared" si="2"/>
        <v>19936.529166666671</v>
      </c>
    </row>
    <row r="32" spans="1:46" s="70" customFormat="1" ht="24">
      <c r="A32" s="52">
        <f t="shared" si="3"/>
        <v>30</v>
      </c>
      <c r="B32" s="65" t="s">
        <v>581</v>
      </c>
      <c r="C32" s="66" t="s">
        <v>582</v>
      </c>
      <c r="D32" s="67" t="s">
        <v>363</v>
      </c>
      <c r="E32" s="30" t="s">
        <v>51</v>
      </c>
      <c r="F32" s="30" t="s">
        <v>136</v>
      </c>
      <c r="G32" s="30" t="s">
        <v>53</v>
      </c>
      <c r="H32" s="30" t="s">
        <v>54</v>
      </c>
      <c r="I32" s="30"/>
      <c r="J32" s="46">
        <v>45252</v>
      </c>
      <c r="K32" s="68">
        <f t="shared" ca="1" si="0"/>
        <v>2.7452054794520548</v>
      </c>
      <c r="L32" s="46">
        <v>37208</v>
      </c>
      <c r="M32" s="51">
        <f t="shared" ca="1" si="1"/>
        <v>24</v>
      </c>
      <c r="N32" s="21" t="s">
        <v>583</v>
      </c>
      <c r="O32" s="30"/>
      <c r="P32" s="30" t="s">
        <v>56</v>
      </c>
      <c r="Q32" s="30" t="s">
        <v>584</v>
      </c>
      <c r="R32" s="30"/>
      <c r="S32" s="21" t="s">
        <v>256</v>
      </c>
      <c r="T32" s="30"/>
      <c r="U32" s="21">
        <v>9345311839</v>
      </c>
      <c r="V32" s="21" t="s">
        <v>585</v>
      </c>
      <c r="W32" s="30"/>
      <c r="X32" s="65">
        <v>5610286874</v>
      </c>
      <c r="Y32" s="21" t="s">
        <v>586</v>
      </c>
      <c r="Z32" s="47"/>
      <c r="AA32" s="21">
        <v>41124896136</v>
      </c>
      <c r="AB32" s="21" t="s">
        <v>587</v>
      </c>
      <c r="AC32" s="21" t="s">
        <v>461</v>
      </c>
      <c r="AD32" s="21" t="s">
        <v>483</v>
      </c>
      <c r="AE32" s="21"/>
      <c r="AF32" s="21" t="s">
        <v>588</v>
      </c>
      <c r="AG32" s="38">
        <v>7060</v>
      </c>
      <c r="AH32" s="38">
        <v>7981</v>
      </c>
      <c r="AI32" s="30"/>
      <c r="AJ32" s="30"/>
      <c r="AK32" s="30"/>
      <c r="AL32" s="38">
        <v>15041</v>
      </c>
      <c r="AM32" s="38">
        <v>15000</v>
      </c>
      <c r="AN32" s="38">
        <v>1950</v>
      </c>
      <c r="AO32" s="38">
        <v>488.83249999999998</v>
      </c>
      <c r="AP32" s="38">
        <v>1253.4166666666699</v>
      </c>
      <c r="AQ32" s="30"/>
      <c r="AR32" s="30"/>
      <c r="AS32" s="40">
        <v>1203.28</v>
      </c>
      <c r="AT32" s="69">
        <f t="shared" si="2"/>
        <v>19936.529166666671</v>
      </c>
    </row>
    <row r="33" spans="1:46" s="70" customFormat="1" ht="24">
      <c r="A33" s="52">
        <f t="shared" si="3"/>
        <v>31</v>
      </c>
      <c r="B33" s="65" t="s">
        <v>589</v>
      </c>
      <c r="C33" s="66" t="s">
        <v>590</v>
      </c>
      <c r="D33" s="67" t="s">
        <v>117</v>
      </c>
      <c r="E33" s="30" t="s">
        <v>51</v>
      </c>
      <c r="F33" s="30"/>
      <c r="G33" s="30" t="s">
        <v>53</v>
      </c>
      <c r="H33" s="30" t="s">
        <v>54</v>
      </c>
      <c r="I33" s="30"/>
      <c r="J33" s="46">
        <v>45262</v>
      </c>
      <c r="K33" s="68">
        <f t="shared" ca="1" si="0"/>
        <v>2.7178082191780821</v>
      </c>
      <c r="L33" s="46">
        <v>34152</v>
      </c>
      <c r="M33" s="51">
        <f t="shared" ca="1" si="1"/>
        <v>33</v>
      </c>
      <c r="N33" s="21"/>
      <c r="O33" s="30"/>
      <c r="P33" s="30" t="s">
        <v>56</v>
      </c>
      <c r="Q33" s="30" t="s">
        <v>591</v>
      </c>
      <c r="R33" s="30"/>
      <c r="S33" s="21" t="s">
        <v>256</v>
      </c>
      <c r="T33" s="30"/>
      <c r="U33" s="21">
        <v>9963258424</v>
      </c>
      <c r="V33" s="21" t="s">
        <v>592</v>
      </c>
      <c r="W33" s="30"/>
      <c r="X33" s="65">
        <v>5610316779</v>
      </c>
      <c r="Y33" s="21" t="s">
        <v>593</v>
      </c>
      <c r="Z33" s="47"/>
      <c r="AA33" s="21">
        <v>32636553820</v>
      </c>
      <c r="AB33" s="21" t="s">
        <v>594</v>
      </c>
      <c r="AC33" s="21" t="s">
        <v>461</v>
      </c>
      <c r="AD33" s="21" t="s">
        <v>595</v>
      </c>
      <c r="AE33" s="21"/>
      <c r="AF33" s="21" t="s">
        <v>596</v>
      </c>
      <c r="AG33" s="38">
        <v>7060</v>
      </c>
      <c r="AH33" s="38">
        <v>7981</v>
      </c>
      <c r="AI33" s="30"/>
      <c r="AJ33" s="30"/>
      <c r="AK33" s="30"/>
      <c r="AL33" s="38">
        <v>15041</v>
      </c>
      <c r="AM33" s="38">
        <v>15000</v>
      </c>
      <c r="AN33" s="38">
        <v>1950</v>
      </c>
      <c r="AO33" s="38">
        <v>488.83249999999998</v>
      </c>
      <c r="AP33" s="38">
        <v>1253.4166666666699</v>
      </c>
      <c r="AQ33" s="30"/>
      <c r="AR33" s="30"/>
      <c r="AS33" s="40">
        <v>1203.28</v>
      </c>
      <c r="AT33" s="69">
        <f t="shared" si="2"/>
        <v>19936.529166666671</v>
      </c>
    </row>
    <row r="34" spans="1:46" s="70" customFormat="1" ht="24">
      <c r="A34" s="52">
        <f t="shared" si="3"/>
        <v>32</v>
      </c>
      <c r="B34" s="65" t="s">
        <v>597</v>
      </c>
      <c r="C34" s="66" t="s">
        <v>598</v>
      </c>
      <c r="D34" s="67" t="s">
        <v>363</v>
      </c>
      <c r="E34" s="30" t="s">
        <v>51</v>
      </c>
      <c r="F34" s="30"/>
      <c r="G34" s="30" t="s">
        <v>53</v>
      </c>
      <c r="H34" s="30" t="s">
        <v>54</v>
      </c>
      <c r="I34" s="30"/>
      <c r="J34" s="46">
        <v>45253</v>
      </c>
      <c r="K34" s="68">
        <f t="shared" ca="1" si="0"/>
        <v>2.7424657534246575</v>
      </c>
      <c r="L34" s="46">
        <v>35413</v>
      </c>
      <c r="M34" s="51">
        <f t="shared" ca="1" si="1"/>
        <v>29</v>
      </c>
      <c r="N34" s="21"/>
      <c r="O34" s="30"/>
      <c r="P34" s="30" t="s">
        <v>56</v>
      </c>
      <c r="Q34" s="30"/>
      <c r="R34" s="30"/>
      <c r="S34" s="21" t="s">
        <v>94</v>
      </c>
      <c r="T34" s="30" t="s">
        <v>599</v>
      </c>
      <c r="U34" s="21">
        <v>8456957709</v>
      </c>
      <c r="V34" s="21" t="s">
        <v>600</v>
      </c>
      <c r="W34" s="30"/>
      <c r="X34" s="65">
        <v>5610289778</v>
      </c>
      <c r="Y34" s="21" t="s">
        <v>601</v>
      </c>
      <c r="Z34" s="47"/>
      <c r="AA34" s="21" t="s">
        <v>602</v>
      </c>
      <c r="AB34" s="21" t="s">
        <v>603</v>
      </c>
      <c r="AC34" s="21" t="s">
        <v>604</v>
      </c>
      <c r="AD34" s="21" t="s">
        <v>605</v>
      </c>
      <c r="AE34" s="21"/>
      <c r="AF34" s="21" t="s">
        <v>606</v>
      </c>
      <c r="AG34" s="38">
        <v>7060</v>
      </c>
      <c r="AH34" s="38">
        <v>7981</v>
      </c>
      <c r="AI34" s="30"/>
      <c r="AJ34" s="30"/>
      <c r="AK34" s="30"/>
      <c r="AL34" s="38">
        <v>15041</v>
      </c>
      <c r="AM34" s="38">
        <v>15000</v>
      </c>
      <c r="AN34" s="38">
        <v>1950</v>
      </c>
      <c r="AO34" s="38">
        <v>488.83249999999998</v>
      </c>
      <c r="AP34" s="38">
        <v>1253.4166666666699</v>
      </c>
      <c r="AQ34" s="30"/>
      <c r="AR34" s="30"/>
      <c r="AS34" s="40">
        <v>1203.28</v>
      </c>
      <c r="AT34" s="69">
        <f t="shared" si="2"/>
        <v>19936.529166666671</v>
      </c>
    </row>
    <row r="35" spans="1:46" s="70" customFormat="1" ht="24">
      <c r="A35" s="52">
        <f t="shared" si="3"/>
        <v>33</v>
      </c>
      <c r="B35" s="65" t="s">
        <v>607</v>
      </c>
      <c r="C35" s="66" t="s">
        <v>608</v>
      </c>
      <c r="D35" s="67" t="s">
        <v>117</v>
      </c>
      <c r="E35" s="30" t="s">
        <v>51</v>
      </c>
      <c r="F35" s="30" t="s">
        <v>136</v>
      </c>
      <c r="G35" s="30" t="s">
        <v>53</v>
      </c>
      <c r="H35" s="30" t="s">
        <v>54</v>
      </c>
      <c r="I35" s="30"/>
      <c r="J35" s="46">
        <v>45262</v>
      </c>
      <c r="K35" s="68">
        <f t="shared" ca="1" si="0"/>
        <v>2.7178082191780821</v>
      </c>
      <c r="L35" s="46">
        <v>36395</v>
      </c>
      <c r="M35" s="51">
        <f t="shared" ca="1" si="1"/>
        <v>26</v>
      </c>
      <c r="N35" s="21"/>
      <c r="O35" s="30"/>
      <c r="P35" s="30" t="s">
        <v>56</v>
      </c>
      <c r="Q35" s="30" t="s">
        <v>609</v>
      </c>
      <c r="R35" s="30"/>
      <c r="S35" s="21" t="s">
        <v>256</v>
      </c>
      <c r="T35" s="30"/>
      <c r="U35" s="21">
        <v>9025156750</v>
      </c>
      <c r="V35" s="21" t="s">
        <v>610</v>
      </c>
      <c r="W35" s="30"/>
      <c r="X35" s="65">
        <v>5610348064</v>
      </c>
      <c r="Y35" s="21" t="s">
        <v>611</v>
      </c>
      <c r="Z35" s="47"/>
      <c r="AA35" s="21">
        <v>39954191105</v>
      </c>
      <c r="AB35" s="21" t="s">
        <v>612</v>
      </c>
      <c r="AC35" s="21" t="s">
        <v>461</v>
      </c>
      <c r="AD35" s="21" t="s">
        <v>613</v>
      </c>
      <c r="AE35" s="21"/>
      <c r="AF35" s="21" t="s">
        <v>614</v>
      </c>
      <c r="AG35" s="38">
        <v>7060</v>
      </c>
      <c r="AH35" s="38">
        <v>7981</v>
      </c>
      <c r="AI35" s="30"/>
      <c r="AJ35" s="30"/>
      <c r="AK35" s="30"/>
      <c r="AL35" s="38">
        <v>15041</v>
      </c>
      <c r="AM35" s="38">
        <v>15000</v>
      </c>
      <c r="AN35" s="38">
        <v>1950</v>
      </c>
      <c r="AO35" s="38">
        <v>488.83249999999998</v>
      </c>
      <c r="AP35" s="38">
        <v>1253.4166666666699</v>
      </c>
      <c r="AQ35" s="30"/>
      <c r="AR35" s="30"/>
      <c r="AS35" s="40">
        <v>1203.28</v>
      </c>
      <c r="AT35" s="69">
        <f t="shared" si="2"/>
        <v>19936.529166666671</v>
      </c>
    </row>
    <row r="36" spans="1:46" s="70" customFormat="1" ht="24">
      <c r="A36" s="52">
        <f t="shared" si="3"/>
        <v>34</v>
      </c>
      <c r="B36" s="65" t="s">
        <v>615</v>
      </c>
      <c r="C36" s="66" t="s">
        <v>616</v>
      </c>
      <c r="D36" s="67" t="s">
        <v>363</v>
      </c>
      <c r="E36" s="30" t="s">
        <v>51</v>
      </c>
      <c r="F36" s="30" t="s">
        <v>105</v>
      </c>
      <c r="G36" s="30" t="s">
        <v>53</v>
      </c>
      <c r="H36" s="30" t="s">
        <v>54</v>
      </c>
      <c r="I36" s="30"/>
      <c r="J36" s="46">
        <v>45310</v>
      </c>
      <c r="K36" s="68">
        <f t="shared" ca="1" si="0"/>
        <v>2.5863013698630137</v>
      </c>
      <c r="L36" s="46">
        <v>37199</v>
      </c>
      <c r="M36" s="51">
        <f t="shared" ca="1" si="1"/>
        <v>24</v>
      </c>
      <c r="N36" s="21"/>
      <c r="O36" s="30"/>
      <c r="P36" s="30" t="s">
        <v>56</v>
      </c>
      <c r="Q36" s="30"/>
      <c r="R36" s="30"/>
      <c r="S36" s="21" t="s">
        <v>94</v>
      </c>
      <c r="T36" s="30" t="s">
        <v>617</v>
      </c>
      <c r="U36" s="21">
        <v>8682011304</v>
      </c>
      <c r="V36" s="21" t="s">
        <v>618</v>
      </c>
      <c r="W36" s="30"/>
      <c r="X36" s="65">
        <v>5610372440</v>
      </c>
      <c r="Y36" s="21" t="s">
        <v>619</v>
      </c>
      <c r="Z36" s="47"/>
      <c r="AA36" s="21" t="s">
        <v>620</v>
      </c>
      <c r="AB36" s="21" t="s">
        <v>490</v>
      </c>
      <c r="AC36" s="21" t="s">
        <v>491</v>
      </c>
      <c r="AD36" s="21" t="s">
        <v>492</v>
      </c>
      <c r="AE36" s="21" t="s">
        <v>621</v>
      </c>
      <c r="AF36" s="21" t="s">
        <v>621</v>
      </c>
      <c r="AG36" s="38">
        <v>7060</v>
      </c>
      <c r="AH36" s="38">
        <v>7981</v>
      </c>
      <c r="AI36" s="30"/>
      <c r="AJ36" s="30"/>
      <c r="AK36" s="30"/>
      <c r="AL36" s="38">
        <v>15041</v>
      </c>
      <c r="AM36" s="38">
        <v>15000</v>
      </c>
      <c r="AN36" s="38">
        <v>1950</v>
      </c>
      <c r="AO36" s="38">
        <v>488.83249999999998</v>
      </c>
      <c r="AP36" s="38">
        <v>1253.4166666666699</v>
      </c>
      <c r="AQ36" s="30"/>
      <c r="AR36" s="30"/>
      <c r="AS36" s="40">
        <v>1203.28</v>
      </c>
      <c r="AT36" s="69">
        <f t="shared" si="2"/>
        <v>19936.529166666671</v>
      </c>
    </row>
    <row r="37" spans="1:46" s="70" customFormat="1" ht="24">
      <c r="A37" s="52">
        <f t="shared" si="3"/>
        <v>35</v>
      </c>
      <c r="B37" s="65" t="s">
        <v>622</v>
      </c>
      <c r="C37" s="66" t="s">
        <v>623</v>
      </c>
      <c r="D37" s="67" t="s">
        <v>117</v>
      </c>
      <c r="E37" s="30" t="s">
        <v>51</v>
      </c>
      <c r="F37" s="30"/>
      <c r="G37" s="30" t="s">
        <v>53</v>
      </c>
      <c r="H37" s="30" t="s">
        <v>54</v>
      </c>
      <c r="I37" s="30"/>
      <c r="J37" s="46">
        <v>45255</v>
      </c>
      <c r="K37" s="68">
        <f t="shared" ca="1" si="0"/>
        <v>2.7369863013698632</v>
      </c>
      <c r="L37" s="46">
        <v>32143</v>
      </c>
      <c r="M37" s="51">
        <f t="shared" ca="1" si="1"/>
        <v>38</v>
      </c>
      <c r="N37" s="21"/>
      <c r="O37" s="30"/>
      <c r="P37" s="30" t="s">
        <v>56</v>
      </c>
      <c r="Q37" s="30"/>
      <c r="R37" s="30"/>
      <c r="S37" s="21" t="s">
        <v>94</v>
      </c>
      <c r="T37" s="30" t="s">
        <v>624</v>
      </c>
      <c r="U37" s="21">
        <v>8811225523</v>
      </c>
      <c r="V37" s="21" t="s">
        <v>433</v>
      </c>
      <c r="W37" s="30"/>
      <c r="X37" s="65">
        <v>5610282101</v>
      </c>
      <c r="Y37" s="21" t="s">
        <v>625</v>
      </c>
      <c r="Z37" s="47"/>
      <c r="AA37" s="21" t="s">
        <v>626</v>
      </c>
      <c r="AB37" s="21" t="s">
        <v>603</v>
      </c>
      <c r="AC37" s="21" t="s">
        <v>604</v>
      </c>
      <c r="AD37" s="21" t="s">
        <v>605</v>
      </c>
      <c r="AE37" s="21"/>
      <c r="AF37" s="21" t="s">
        <v>627</v>
      </c>
      <c r="AG37" s="38">
        <v>7060</v>
      </c>
      <c r="AH37" s="38">
        <v>7981</v>
      </c>
      <c r="AI37" s="30"/>
      <c r="AJ37" s="30"/>
      <c r="AK37" s="30"/>
      <c r="AL37" s="38">
        <v>15041</v>
      </c>
      <c r="AM37" s="38">
        <v>15000</v>
      </c>
      <c r="AN37" s="38">
        <v>1950</v>
      </c>
      <c r="AO37" s="38">
        <v>488.83249999999998</v>
      </c>
      <c r="AP37" s="38">
        <v>1253.4166666666699</v>
      </c>
      <c r="AQ37" s="30"/>
      <c r="AR37" s="30"/>
      <c r="AS37" s="40">
        <v>1203.28</v>
      </c>
      <c r="AT37" s="69">
        <f t="shared" si="2"/>
        <v>19936.529166666671</v>
      </c>
    </row>
    <row r="38" spans="1:46" s="70" customFormat="1" ht="24">
      <c r="A38" s="52">
        <f t="shared" si="3"/>
        <v>36</v>
      </c>
      <c r="B38" s="65" t="s">
        <v>628</v>
      </c>
      <c r="C38" s="66" t="s">
        <v>629</v>
      </c>
      <c r="D38" s="67" t="s">
        <v>363</v>
      </c>
      <c r="E38" s="30" t="s">
        <v>51</v>
      </c>
      <c r="F38" s="30" t="s">
        <v>630</v>
      </c>
      <c r="G38" s="30" t="s">
        <v>53</v>
      </c>
      <c r="H38" s="30" t="s">
        <v>54</v>
      </c>
      <c r="I38" s="30"/>
      <c r="J38" s="46">
        <v>45309</v>
      </c>
      <c r="K38" s="68">
        <f t="shared" ca="1" si="0"/>
        <v>2.5890410958904111</v>
      </c>
      <c r="L38" s="46">
        <v>35015</v>
      </c>
      <c r="M38" s="51">
        <f t="shared" ca="1" si="1"/>
        <v>30</v>
      </c>
      <c r="N38" s="21"/>
      <c r="O38" s="30"/>
      <c r="P38" s="30" t="s">
        <v>56</v>
      </c>
      <c r="Q38" s="30"/>
      <c r="R38" s="30"/>
      <c r="S38" s="21" t="s">
        <v>94</v>
      </c>
      <c r="T38" s="30" t="s">
        <v>631</v>
      </c>
      <c r="U38" s="21">
        <v>9597810156</v>
      </c>
      <c r="V38" s="21" t="s">
        <v>632</v>
      </c>
      <c r="W38" s="30"/>
      <c r="X38" s="65">
        <v>5610372555</v>
      </c>
      <c r="Y38" s="21" t="s">
        <v>633</v>
      </c>
      <c r="Z38" s="47"/>
      <c r="AA38" s="21" t="s">
        <v>634</v>
      </c>
      <c r="AB38" s="21" t="s">
        <v>490</v>
      </c>
      <c r="AC38" s="21" t="s">
        <v>491</v>
      </c>
      <c r="AD38" s="21" t="s">
        <v>492</v>
      </c>
      <c r="AE38" s="21" t="s">
        <v>635</v>
      </c>
      <c r="AF38" s="21" t="s">
        <v>635</v>
      </c>
      <c r="AG38" s="38">
        <v>7060</v>
      </c>
      <c r="AH38" s="38">
        <v>7981</v>
      </c>
      <c r="AI38" s="30"/>
      <c r="AJ38" s="30"/>
      <c r="AK38" s="30"/>
      <c r="AL38" s="38">
        <v>15041</v>
      </c>
      <c r="AM38" s="38">
        <v>15000</v>
      </c>
      <c r="AN38" s="38">
        <v>1950</v>
      </c>
      <c r="AO38" s="38">
        <v>488.83249999999998</v>
      </c>
      <c r="AP38" s="38">
        <v>1253.4166666666699</v>
      </c>
      <c r="AQ38" s="30"/>
      <c r="AR38" s="30"/>
      <c r="AS38" s="40">
        <v>1203.28</v>
      </c>
      <c r="AT38" s="69">
        <f t="shared" si="2"/>
        <v>19936.529166666671</v>
      </c>
    </row>
    <row r="39" spans="1:46" s="70" customFormat="1" ht="24">
      <c r="A39" s="52">
        <f t="shared" si="3"/>
        <v>37</v>
      </c>
      <c r="B39" s="65" t="s">
        <v>636</v>
      </c>
      <c r="C39" s="66" t="s">
        <v>637</v>
      </c>
      <c r="D39" s="67" t="s">
        <v>363</v>
      </c>
      <c r="E39" s="30" t="s">
        <v>51</v>
      </c>
      <c r="F39" s="30"/>
      <c r="G39" s="30" t="s">
        <v>53</v>
      </c>
      <c r="H39" s="30" t="s">
        <v>54</v>
      </c>
      <c r="I39" s="30"/>
      <c r="J39" s="46">
        <v>45254</v>
      </c>
      <c r="K39" s="68">
        <f t="shared" ca="1" si="0"/>
        <v>2.7397260273972601</v>
      </c>
      <c r="L39" s="46">
        <v>38575</v>
      </c>
      <c r="M39" s="51">
        <f t="shared" ca="1" si="1"/>
        <v>21</v>
      </c>
      <c r="N39" s="21"/>
      <c r="O39" s="30"/>
      <c r="P39" s="30" t="s">
        <v>56</v>
      </c>
      <c r="Q39" s="30"/>
      <c r="R39" s="30"/>
      <c r="S39" s="21" t="s">
        <v>94</v>
      </c>
      <c r="T39" s="30" t="s">
        <v>638</v>
      </c>
      <c r="U39" s="21">
        <v>8021523251</v>
      </c>
      <c r="V39" s="21" t="s">
        <v>639</v>
      </c>
      <c r="W39" s="30"/>
      <c r="X39" s="65">
        <v>5610290812</v>
      </c>
      <c r="Y39" s="21" t="s">
        <v>640</v>
      </c>
      <c r="Z39" s="47"/>
      <c r="AA39" s="21" t="s">
        <v>641</v>
      </c>
      <c r="AB39" s="21" t="s">
        <v>642</v>
      </c>
      <c r="AC39" s="21" t="s">
        <v>643</v>
      </c>
      <c r="AD39" s="21" t="s">
        <v>644</v>
      </c>
      <c r="AE39" s="21"/>
      <c r="AF39" s="21" t="s">
        <v>645</v>
      </c>
      <c r="AG39" s="38">
        <v>7060</v>
      </c>
      <c r="AH39" s="38">
        <v>7981</v>
      </c>
      <c r="AI39" s="30"/>
      <c r="AJ39" s="30"/>
      <c r="AK39" s="30"/>
      <c r="AL39" s="38">
        <v>15041</v>
      </c>
      <c r="AM39" s="38">
        <v>15000</v>
      </c>
      <c r="AN39" s="38">
        <v>1950</v>
      </c>
      <c r="AO39" s="38">
        <v>488.83249999999998</v>
      </c>
      <c r="AP39" s="38">
        <v>1253.4166666666699</v>
      </c>
      <c r="AQ39" s="30"/>
      <c r="AR39" s="30"/>
      <c r="AS39" s="40">
        <v>1203.28</v>
      </c>
      <c r="AT39" s="69">
        <f t="shared" si="2"/>
        <v>19936.529166666671</v>
      </c>
    </row>
    <row r="40" spans="1:46" s="70" customFormat="1" ht="24">
      <c r="A40" s="52">
        <f t="shared" si="3"/>
        <v>38</v>
      </c>
      <c r="B40" s="65" t="s">
        <v>646</v>
      </c>
      <c r="C40" s="66" t="s">
        <v>647</v>
      </c>
      <c r="D40" s="67" t="s">
        <v>363</v>
      </c>
      <c r="E40" s="30" t="s">
        <v>51</v>
      </c>
      <c r="F40" s="30" t="s">
        <v>136</v>
      </c>
      <c r="G40" s="30" t="s">
        <v>53</v>
      </c>
      <c r="H40" s="30" t="s">
        <v>54</v>
      </c>
      <c r="I40" s="30"/>
      <c r="J40" s="46">
        <v>45285</v>
      </c>
      <c r="K40" s="68">
        <f t="shared" ca="1" si="0"/>
        <v>2.6547945205479451</v>
      </c>
      <c r="L40" s="46">
        <v>35595</v>
      </c>
      <c r="M40" s="51">
        <f t="shared" ca="1" si="1"/>
        <v>29</v>
      </c>
      <c r="N40" s="21" t="s">
        <v>511</v>
      </c>
      <c r="O40" s="30"/>
      <c r="P40" s="30" t="s">
        <v>56</v>
      </c>
      <c r="Q40" s="30"/>
      <c r="R40" s="30"/>
      <c r="S40" s="21" t="s">
        <v>94</v>
      </c>
      <c r="T40" s="30" t="s">
        <v>504</v>
      </c>
      <c r="U40" s="21">
        <v>8903574070</v>
      </c>
      <c r="V40" s="21" t="s">
        <v>648</v>
      </c>
      <c r="W40" s="30"/>
      <c r="X40" s="65">
        <v>5610337256</v>
      </c>
      <c r="Y40" s="21" t="s">
        <v>649</v>
      </c>
      <c r="Z40" s="47"/>
      <c r="AA40" s="21" t="s">
        <v>650</v>
      </c>
      <c r="AB40" s="21" t="s">
        <v>515</v>
      </c>
      <c r="AC40" s="21" t="s">
        <v>112</v>
      </c>
      <c r="AD40" s="21" t="s">
        <v>516</v>
      </c>
      <c r="AE40" s="21" t="s">
        <v>517</v>
      </c>
      <c r="AF40" s="21" t="s">
        <v>517</v>
      </c>
      <c r="AG40" s="38">
        <v>7060</v>
      </c>
      <c r="AH40" s="38">
        <v>7981</v>
      </c>
      <c r="AI40" s="30"/>
      <c r="AJ40" s="30"/>
      <c r="AK40" s="30"/>
      <c r="AL40" s="38">
        <v>15041</v>
      </c>
      <c r="AM40" s="38">
        <v>15000</v>
      </c>
      <c r="AN40" s="38">
        <v>1950</v>
      </c>
      <c r="AO40" s="38">
        <v>488.83249999999998</v>
      </c>
      <c r="AP40" s="38">
        <v>1253.4166666666699</v>
      </c>
      <c r="AQ40" s="30"/>
      <c r="AR40" s="30"/>
      <c r="AS40" s="40">
        <v>1203.28</v>
      </c>
      <c r="AT40" s="69">
        <f t="shared" si="2"/>
        <v>19936.529166666671</v>
      </c>
    </row>
    <row r="41" spans="1:46" s="70" customFormat="1" ht="24">
      <c r="A41" s="52">
        <f t="shared" si="3"/>
        <v>39</v>
      </c>
      <c r="B41" s="65" t="s">
        <v>651</v>
      </c>
      <c r="C41" s="66" t="s">
        <v>652</v>
      </c>
      <c r="D41" s="67" t="s">
        <v>363</v>
      </c>
      <c r="E41" s="30" t="s">
        <v>51</v>
      </c>
      <c r="F41" s="30"/>
      <c r="G41" s="30" t="s">
        <v>53</v>
      </c>
      <c r="H41" s="30" t="s">
        <v>54</v>
      </c>
      <c r="I41" s="30"/>
      <c r="J41" s="46">
        <v>45294</v>
      </c>
      <c r="K41" s="68">
        <f t="shared" ca="1" si="0"/>
        <v>2.6301369863013697</v>
      </c>
      <c r="L41" s="46">
        <v>35581</v>
      </c>
      <c r="M41" s="51">
        <f t="shared" ca="1" si="1"/>
        <v>29</v>
      </c>
      <c r="N41" s="21" t="s">
        <v>653</v>
      </c>
      <c r="O41" s="30"/>
      <c r="P41" s="30" t="s">
        <v>56</v>
      </c>
      <c r="Q41" s="30"/>
      <c r="R41" s="30"/>
      <c r="S41" s="21" t="s">
        <v>94</v>
      </c>
      <c r="T41" s="30" t="s">
        <v>654</v>
      </c>
      <c r="U41" s="21">
        <v>7868937286</v>
      </c>
      <c r="V41" s="21" t="s">
        <v>655</v>
      </c>
      <c r="W41" s="30"/>
      <c r="X41" s="65">
        <v>5610353258</v>
      </c>
      <c r="Y41" s="21" t="s">
        <v>656</v>
      </c>
      <c r="Z41" s="47"/>
      <c r="AA41" s="21" t="s">
        <v>657</v>
      </c>
      <c r="AB41" s="21" t="s">
        <v>658</v>
      </c>
      <c r="AC41" s="21" t="s">
        <v>389</v>
      </c>
      <c r="AD41" s="21"/>
      <c r="AE41" s="21"/>
      <c r="AF41" s="21" t="s">
        <v>659</v>
      </c>
      <c r="AG41" s="38">
        <v>7060</v>
      </c>
      <c r="AH41" s="38">
        <v>7981</v>
      </c>
      <c r="AI41" s="30"/>
      <c r="AJ41" s="30"/>
      <c r="AK41" s="30"/>
      <c r="AL41" s="38">
        <v>15041</v>
      </c>
      <c r="AM41" s="38">
        <v>15000</v>
      </c>
      <c r="AN41" s="38">
        <v>1950</v>
      </c>
      <c r="AO41" s="38">
        <v>488.83249999999998</v>
      </c>
      <c r="AP41" s="38">
        <v>1253.4166666666699</v>
      </c>
      <c r="AQ41" s="30"/>
      <c r="AR41" s="30"/>
      <c r="AS41" s="40">
        <v>1203.28</v>
      </c>
      <c r="AT41" s="69">
        <f t="shared" si="2"/>
        <v>19936.529166666671</v>
      </c>
    </row>
    <row r="42" spans="1:46" s="70" customFormat="1" ht="24">
      <c r="A42" s="52">
        <f t="shared" si="3"/>
        <v>40</v>
      </c>
      <c r="B42" s="65" t="s">
        <v>660</v>
      </c>
      <c r="C42" s="66" t="s">
        <v>661</v>
      </c>
      <c r="D42" s="67" t="s">
        <v>363</v>
      </c>
      <c r="E42" s="30" t="s">
        <v>51</v>
      </c>
      <c r="F42" s="30" t="s">
        <v>105</v>
      </c>
      <c r="G42" s="30" t="s">
        <v>53</v>
      </c>
      <c r="H42" s="30" t="s">
        <v>54</v>
      </c>
      <c r="I42" s="30"/>
      <c r="J42" s="46">
        <v>45310</v>
      </c>
      <c r="K42" s="68">
        <f t="shared" ca="1" si="0"/>
        <v>2.5863013698630137</v>
      </c>
      <c r="L42" s="46">
        <v>26830</v>
      </c>
      <c r="M42" s="51">
        <f t="shared" ca="1" si="1"/>
        <v>53</v>
      </c>
      <c r="N42" s="21"/>
      <c r="O42" s="30"/>
      <c r="P42" s="30" t="s">
        <v>56</v>
      </c>
      <c r="Q42" s="30"/>
      <c r="R42" s="30"/>
      <c r="S42" s="21" t="s">
        <v>94</v>
      </c>
      <c r="T42" s="30" t="s">
        <v>662</v>
      </c>
      <c r="U42" s="21">
        <v>8056372468</v>
      </c>
      <c r="V42" s="21" t="s">
        <v>663</v>
      </c>
      <c r="W42" s="30"/>
      <c r="X42" s="65">
        <v>5610369611</v>
      </c>
      <c r="Y42" s="21" t="s">
        <v>664</v>
      </c>
      <c r="Z42" s="47"/>
      <c r="AA42" s="21" t="s">
        <v>665</v>
      </c>
      <c r="AB42" s="21" t="s">
        <v>666</v>
      </c>
      <c r="AC42" s="21" t="s">
        <v>112</v>
      </c>
      <c r="AD42" s="21" t="s">
        <v>630</v>
      </c>
      <c r="AE42" s="21" t="s">
        <v>667</v>
      </c>
      <c r="AF42" s="21" t="s">
        <v>667</v>
      </c>
      <c r="AG42" s="38">
        <v>7060</v>
      </c>
      <c r="AH42" s="38">
        <v>7981</v>
      </c>
      <c r="AI42" s="30"/>
      <c r="AJ42" s="30"/>
      <c r="AK42" s="30"/>
      <c r="AL42" s="38">
        <v>15041</v>
      </c>
      <c r="AM42" s="38">
        <v>15000</v>
      </c>
      <c r="AN42" s="38">
        <v>1950</v>
      </c>
      <c r="AO42" s="38">
        <v>488.83249999999998</v>
      </c>
      <c r="AP42" s="38">
        <v>1253.4166666666699</v>
      </c>
      <c r="AQ42" s="30"/>
      <c r="AR42" s="30"/>
      <c r="AS42" s="40">
        <v>1203.28</v>
      </c>
      <c r="AT42" s="69">
        <f t="shared" si="2"/>
        <v>19936.529166666671</v>
      </c>
    </row>
    <row r="43" spans="1:46" s="70" customFormat="1" ht="24">
      <c r="A43" s="52">
        <f t="shared" si="3"/>
        <v>41</v>
      </c>
      <c r="B43" s="65" t="s">
        <v>668</v>
      </c>
      <c r="C43" s="66" t="s">
        <v>669</v>
      </c>
      <c r="D43" s="67" t="s">
        <v>363</v>
      </c>
      <c r="E43" s="30" t="s">
        <v>51</v>
      </c>
      <c r="F43" s="30" t="s">
        <v>630</v>
      </c>
      <c r="G43" s="30" t="s">
        <v>53</v>
      </c>
      <c r="H43" s="30" t="s">
        <v>54</v>
      </c>
      <c r="I43" s="30"/>
      <c r="J43" s="46">
        <v>45337</v>
      </c>
      <c r="K43" s="68">
        <f t="shared" ca="1" si="0"/>
        <v>2.5123287671232877</v>
      </c>
      <c r="L43" s="46">
        <v>28126</v>
      </c>
      <c r="M43" s="51">
        <f t="shared" ca="1" si="1"/>
        <v>49</v>
      </c>
      <c r="N43" s="21"/>
      <c r="O43" s="30"/>
      <c r="P43" s="30" t="s">
        <v>56</v>
      </c>
      <c r="Q43" s="30"/>
      <c r="R43" s="30"/>
      <c r="S43" s="21" t="s">
        <v>94</v>
      </c>
      <c r="T43" s="30" t="s">
        <v>333</v>
      </c>
      <c r="U43" s="21">
        <v>9600507049</v>
      </c>
      <c r="V43" s="21" t="s">
        <v>670</v>
      </c>
      <c r="W43" s="30"/>
      <c r="X43" s="65">
        <v>5610424542</v>
      </c>
      <c r="Y43" s="21" t="s">
        <v>671</v>
      </c>
      <c r="Z43" s="47"/>
      <c r="AA43" s="21" t="s">
        <v>672</v>
      </c>
      <c r="AB43" s="21" t="s">
        <v>673</v>
      </c>
      <c r="AC43" s="21" t="s">
        <v>162</v>
      </c>
      <c r="AD43" s="21" t="s">
        <v>630</v>
      </c>
      <c r="AE43" s="21" t="s">
        <v>674</v>
      </c>
      <c r="AF43" s="21" t="s">
        <v>674</v>
      </c>
      <c r="AG43" s="38">
        <v>7060</v>
      </c>
      <c r="AH43" s="38">
        <v>7981</v>
      </c>
      <c r="AI43" s="30"/>
      <c r="AJ43" s="30"/>
      <c r="AK43" s="30"/>
      <c r="AL43" s="38">
        <v>15041</v>
      </c>
      <c r="AM43" s="38">
        <v>15000</v>
      </c>
      <c r="AN43" s="38">
        <v>1950</v>
      </c>
      <c r="AO43" s="38">
        <v>488.83249999999998</v>
      </c>
      <c r="AP43" s="38">
        <v>1253.4166666666699</v>
      </c>
      <c r="AQ43" s="30"/>
      <c r="AR43" s="30"/>
      <c r="AS43" s="40">
        <v>1203.28</v>
      </c>
      <c r="AT43" s="69">
        <f t="shared" si="2"/>
        <v>19936.529166666671</v>
      </c>
    </row>
    <row r="44" spans="1:46" s="70" customFormat="1" ht="24">
      <c r="A44" s="52">
        <f t="shared" si="3"/>
        <v>42</v>
      </c>
      <c r="B44" s="65" t="s">
        <v>675</v>
      </c>
      <c r="C44" s="66" t="s">
        <v>676</v>
      </c>
      <c r="D44" s="67" t="s">
        <v>363</v>
      </c>
      <c r="E44" s="30" t="s">
        <v>51</v>
      </c>
      <c r="F44" s="30"/>
      <c r="G44" s="30" t="s">
        <v>53</v>
      </c>
      <c r="H44" s="30" t="s">
        <v>54</v>
      </c>
      <c r="I44" s="30"/>
      <c r="J44" s="46">
        <v>45250</v>
      </c>
      <c r="K44" s="68">
        <f t="shared" ca="1" si="0"/>
        <v>2.7506849315068491</v>
      </c>
      <c r="L44" s="46">
        <v>36504</v>
      </c>
      <c r="M44" s="51">
        <f t="shared" ca="1" si="1"/>
        <v>26</v>
      </c>
      <c r="N44" s="21"/>
      <c r="O44" s="30"/>
      <c r="P44" s="30" t="s">
        <v>56</v>
      </c>
      <c r="Q44" s="30"/>
      <c r="R44" s="30"/>
      <c r="S44" s="21" t="s">
        <v>94</v>
      </c>
      <c r="T44" s="30" t="s">
        <v>677</v>
      </c>
      <c r="U44" s="21">
        <v>8260505219</v>
      </c>
      <c r="V44" s="21" t="s">
        <v>678</v>
      </c>
      <c r="W44" s="30"/>
      <c r="X44" s="65">
        <v>5610283745</v>
      </c>
      <c r="Y44" s="21" t="s">
        <v>679</v>
      </c>
      <c r="Z44" s="47"/>
      <c r="AA44" s="21" t="s">
        <v>680</v>
      </c>
      <c r="AB44" s="21" t="s">
        <v>490</v>
      </c>
      <c r="AC44" s="21" t="s">
        <v>491</v>
      </c>
      <c r="AD44" s="21" t="s">
        <v>492</v>
      </c>
      <c r="AE44" s="21"/>
      <c r="AF44" s="21" t="s">
        <v>681</v>
      </c>
      <c r="AG44" s="38">
        <v>7060</v>
      </c>
      <c r="AH44" s="38">
        <v>7981</v>
      </c>
      <c r="AI44" s="30"/>
      <c r="AJ44" s="30"/>
      <c r="AK44" s="30"/>
      <c r="AL44" s="38">
        <v>15041</v>
      </c>
      <c r="AM44" s="38">
        <v>15000</v>
      </c>
      <c r="AN44" s="38">
        <v>1950</v>
      </c>
      <c r="AO44" s="38">
        <v>488.83249999999998</v>
      </c>
      <c r="AP44" s="38">
        <v>1253.4166666666699</v>
      </c>
      <c r="AQ44" s="30"/>
      <c r="AR44" s="30"/>
      <c r="AS44" s="40">
        <v>1203.28</v>
      </c>
      <c r="AT44" s="69">
        <f t="shared" si="2"/>
        <v>19936.529166666671</v>
      </c>
    </row>
    <row r="45" spans="1:46" s="70" customFormat="1" ht="24">
      <c r="A45" s="52">
        <f t="shared" si="3"/>
        <v>43</v>
      </c>
      <c r="B45" s="65" t="s">
        <v>682</v>
      </c>
      <c r="C45" s="66" t="s">
        <v>683</v>
      </c>
      <c r="D45" s="67" t="s">
        <v>117</v>
      </c>
      <c r="E45" s="30" t="s">
        <v>51</v>
      </c>
      <c r="F45" s="30"/>
      <c r="G45" s="30" t="s">
        <v>53</v>
      </c>
      <c r="H45" s="30" t="s">
        <v>54</v>
      </c>
      <c r="I45" s="30"/>
      <c r="J45" s="46">
        <v>45258</v>
      </c>
      <c r="K45" s="68">
        <f t="shared" ca="1" si="0"/>
        <v>2.7287671232876711</v>
      </c>
      <c r="L45" s="46">
        <v>34522</v>
      </c>
      <c r="M45" s="51">
        <f t="shared" ca="1" si="1"/>
        <v>32</v>
      </c>
      <c r="N45" s="21"/>
      <c r="O45" s="30"/>
      <c r="P45" s="30" t="s">
        <v>56</v>
      </c>
      <c r="Q45" s="30" t="s">
        <v>684</v>
      </c>
      <c r="R45" s="30"/>
      <c r="S45" s="21" t="s">
        <v>256</v>
      </c>
      <c r="T45" s="30"/>
      <c r="U45" s="21">
        <v>8223256621</v>
      </c>
      <c r="V45" s="21" t="s">
        <v>685</v>
      </c>
      <c r="W45" s="30"/>
      <c r="X45" s="65">
        <v>5610291219</v>
      </c>
      <c r="Y45" s="21" t="s">
        <v>686</v>
      </c>
      <c r="Z45" s="47"/>
      <c r="AA45" s="21" t="s">
        <v>687</v>
      </c>
      <c r="AB45" s="21" t="s">
        <v>490</v>
      </c>
      <c r="AC45" s="21" t="s">
        <v>491</v>
      </c>
      <c r="AD45" s="21" t="s">
        <v>492</v>
      </c>
      <c r="AE45" s="21"/>
      <c r="AF45" s="21" t="s">
        <v>688</v>
      </c>
      <c r="AG45" s="38">
        <v>7060</v>
      </c>
      <c r="AH45" s="38">
        <v>7981</v>
      </c>
      <c r="AI45" s="30"/>
      <c r="AJ45" s="30"/>
      <c r="AK45" s="30"/>
      <c r="AL45" s="38">
        <v>15041</v>
      </c>
      <c r="AM45" s="38">
        <v>15000</v>
      </c>
      <c r="AN45" s="38">
        <v>1950</v>
      </c>
      <c r="AO45" s="38">
        <v>488.83249999999998</v>
      </c>
      <c r="AP45" s="38">
        <v>1253.4166666666699</v>
      </c>
      <c r="AQ45" s="30"/>
      <c r="AR45" s="30"/>
      <c r="AS45" s="40">
        <v>1203.28</v>
      </c>
      <c r="AT45" s="69">
        <f t="shared" si="2"/>
        <v>19936.529166666671</v>
      </c>
    </row>
    <row r="46" spans="1:46" s="70" customFormat="1" ht="24">
      <c r="A46" s="52">
        <f t="shared" si="3"/>
        <v>44</v>
      </c>
      <c r="B46" s="65" t="s">
        <v>689</v>
      </c>
      <c r="C46" s="66" t="s">
        <v>690</v>
      </c>
      <c r="D46" s="67" t="s">
        <v>363</v>
      </c>
      <c r="E46" s="30" t="s">
        <v>51</v>
      </c>
      <c r="F46" s="30" t="s">
        <v>136</v>
      </c>
      <c r="G46" s="30" t="s">
        <v>53</v>
      </c>
      <c r="H46" s="30" t="s">
        <v>54</v>
      </c>
      <c r="I46" s="30"/>
      <c r="J46" s="46">
        <v>45337</v>
      </c>
      <c r="K46" s="68">
        <f t="shared" ca="1" si="0"/>
        <v>2.5123287671232877</v>
      </c>
      <c r="L46" s="46">
        <v>38601</v>
      </c>
      <c r="M46" s="51">
        <f t="shared" ca="1" si="1"/>
        <v>20</v>
      </c>
      <c r="N46" s="21"/>
      <c r="O46" s="30"/>
      <c r="P46" s="30" t="s">
        <v>56</v>
      </c>
      <c r="Q46" s="30" t="s">
        <v>691</v>
      </c>
      <c r="R46" s="30"/>
      <c r="S46" s="21" t="s">
        <v>256</v>
      </c>
      <c r="T46" s="30"/>
      <c r="U46" s="21">
        <v>9940986781</v>
      </c>
      <c r="V46" s="21" t="s">
        <v>692</v>
      </c>
      <c r="W46" s="30"/>
      <c r="X46" s="65">
        <v>5610433119</v>
      </c>
      <c r="Y46" s="21" t="s">
        <v>693</v>
      </c>
      <c r="Z46" s="47"/>
      <c r="AA46" s="21" t="s">
        <v>694</v>
      </c>
      <c r="AB46" s="21" t="s">
        <v>99</v>
      </c>
      <c r="AC46" s="21" t="s">
        <v>100</v>
      </c>
      <c r="AD46" s="21" t="s">
        <v>695</v>
      </c>
      <c r="AE46" s="21" t="s">
        <v>696</v>
      </c>
      <c r="AF46" s="21" t="s">
        <v>696</v>
      </c>
      <c r="AG46" s="38">
        <v>7060</v>
      </c>
      <c r="AH46" s="38">
        <v>7981</v>
      </c>
      <c r="AI46" s="30"/>
      <c r="AJ46" s="30"/>
      <c r="AK46" s="30"/>
      <c r="AL46" s="38">
        <v>15041</v>
      </c>
      <c r="AM46" s="38">
        <v>15000</v>
      </c>
      <c r="AN46" s="38">
        <v>1950</v>
      </c>
      <c r="AO46" s="38">
        <v>488.83249999999998</v>
      </c>
      <c r="AP46" s="38">
        <v>1253.4166666666699</v>
      </c>
      <c r="AQ46" s="30"/>
      <c r="AR46" s="30"/>
      <c r="AS46" s="40">
        <v>1203.28</v>
      </c>
      <c r="AT46" s="69">
        <f t="shared" si="2"/>
        <v>19936.529166666671</v>
      </c>
    </row>
    <row r="47" spans="1:46" s="70" customFormat="1" ht="24">
      <c r="A47" s="52">
        <f t="shared" si="3"/>
        <v>45</v>
      </c>
      <c r="B47" s="65" t="s">
        <v>697</v>
      </c>
      <c r="C47" s="66" t="s">
        <v>698</v>
      </c>
      <c r="D47" s="67" t="s">
        <v>363</v>
      </c>
      <c r="E47" s="30" t="s">
        <v>51</v>
      </c>
      <c r="F47" s="30" t="s">
        <v>105</v>
      </c>
      <c r="G47" s="30" t="s">
        <v>53</v>
      </c>
      <c r="H47" s="30" t="s">
        <v>54</v>
      </c>
      <c r="I47" s="30"/>
      <c r="J47" s="46">
        <v>45252</v>
      </c>
      <c r="K47" s="68">
        <f t="shared" ca="1" si="0"/>
        <v>2.7452054794520548</v>
      </c>
      <c r="L47" s="46">
        <v>38378</v>
      </c>
      <c r="M47" s="51">
        <f t="shared" ca="1" si="1"/>
        <v>21</v>
      </c>
      <c r="N47" s="21" t="s">
        <v>699</v>
      </c>
      <c r="O47" s="30"/>
      <c r="P47" s="30" t="s">
        <v>56</v>
      </c>
      <c r="Q47" s="30" t="s">
        <v>700</v>
      </c>
      <c r="R47" s="30"/>
      <c r="S47" s="21" t="s">
        <v>256</v>
      </c>
      <c r="T47" s="30"/>
      <c r="U47" s="21">
        <v>7305965755</v>
      </c>
      <c r="V47" s="21" t="s">
        <v>701</v>
      </c>
      <c r="W47" s="30"/>
      <c r="X47" s="65">
        <v>5610292284</v>
      </c>
      <c r="Y47" s="21" t="s">
        <v>702</v>
      </c>
      <c r="Z47" s="47"/>
      <c r="AA47" s="21" t="s">
        <v>703</v>
      </c>
      <c r="AB47" s="21" t="s">
        <v>260</v>
      </c>
      <c r="AC47" s="21" t="s">
        <v>261</v>
      </c>
      <c r="AD47" s="21" t="s">
        <v>262</v>
      </c>
      <c r="AE47" s="21" t="s">
        <v>704</v>
      </c>
      <c r="AF47" s="21" t="s">
        <v>704</v>
      </c>
      <c r="AG47" s="38">
        <v>7060</v>
      </c>
      <c r="AH47" s="38">
        <v>7981</v>
      </c>
      <c r="AI47" s="30"/>
      <c r="AJ47" s="30"/>
      <c r="AK47" s="30"/>
      <c r="AL47" s="38">
        <v>15041</v>
      </c>
      <c r="AM47" s="38">
        <v>15000</v>
      </c>
      <c r="AN47" s="38">
        <v>1950</v>
      </c>
      <c r="AO47" s="38">
        <v>488.83249999999998</v>
      </c>
      <c r="AP47" s="38">
        <v>1253.4166666666699</v>
      </c>
      <c r="AQ47" s="30"/>
      <c r="AR47" s="30"/>
      <c r="AS47" s="40">
        <v>1203.28</v>
      </c>
      <c r="AT47" s="69">
        <f t="shared" si="2"/>
        <v>19936.529166666671</v>
      </c>
    </row>
    <row r="48" spans="1:46" s="70" customFormat="1" ht="24">
      <c r="A48" s="52">
        <f t="shared" si="3"/>
        <v>46</v>
      </c>
      <c r="B48" s="65" t="s">
        <v>705</v>
      </c>
      <c r="C48" s="66" t="s">
        <v>706</v>
      </c>
      <c r="D48" s="67" t="s">
        <v>363</v>
      </c>
      <c r="E48" s="30" t="s">
        <v>51</v>
      </c>
      <c r="F48" s="30" t="s">
        <v>105</v>
      </c>
      <c r="G48" s="30" t="s">
        <v>53</v>
      </c>
      <c r="H48" s="30" t="s">
        <v>54</v>
      </c>
      <c r="I48" s="30"/>
      <c r="J48" s="46">
        <v>45252</v>
      </c>
      <c r="K48" s="68">
        <f t="shared" ca="1" si="0"/>
        <v>2.7452054794520548</v>
      </c>
      <c r="L48" s="46">
        <v>38546</v>
      </c>
      <c r="M48" s="51">
        <f t="shared" ca="1" si="1"/>
        <v>21</v>
      </c>
      <c r="N48" s="21" t="s">
        <v>253</v>
      </c>
      <c r="O48" s="30"/>
      <c r="P48" s="30" t="s">
        <v>56</v>
      </c>
      <c r="Q48" s="30" t="s">
        <v>254</v>
      </c>
      <c r="R48" s="30"/>
      <c r="S48" s="21" t="s">
        <v>256</v>
      </c>
      <c r="T48" s="30"/>
      <c r="U48" s="21">
        <v>9790414514</v>
      </c>
      <c r="V48" s="21" t="s">
        <v>257</v>
      </c>
      <c r="W48" s="30"/>
      <c r="X48" s="65">
        <v>5610286921</v>
      </c>
      <c r="Y48" s="21" t="s">
        <v>258</v>
      </c>
      <c r="Z48" s="47"/>
      <c r="AA48" s="21" t="s">
        <v>259</v>
      </c>
      <c r="AB48" s="21" t="s">
        <v>260</v>
      </c>
      <c r="AC48" s="21" t="s">
        <v>261</v>
      </c>
      <c r="AD48" s="21" t="s">
        <v>262</v>
      </c>
      <c r="AE48" s="21" t="s">
        <v>263</v>
      </c>
      <c r="AF48" s="21" t="s">
        <v>263</v>
      </c>
      <c r="AG48" s="38">
        <v>7060</v>
      </c>
      <c r="AH48" s="38">
        <v>7981</v>
      </c>
      <c r="AI48" s="30"/>
      <c r="AJ48" s="30"/>
      <c r="AK48" s="30"/>
      <c r="AL48" s="38">
        <v>15041</v>
      </c>
      <c r="AM48" s="38">
        <v>15000</v>
      </c>
      <c r="AN48" s="38">
        <v>1950</v>
      </c>
      <c r="AO48" s="38">
        <v>488.83249999999998</v>
      </c>
      <c r="AP48" s="38">
        <v>1253.4166666666699</v>
      </c>
      <c r="AQ48" s="30"/>
      <c r="AR48" s="30"/>
      <c r="AS48" s="40">
        <v>1203.28</v>
      </c>
      <c r="AT48" s="69">
        <f t="shared" si="2"/>
        <v>19936.529166666671</v>
      </c>
    </row>
    <row r="49" spans="1:46" s="70" customFormat="1" ht="24">
      <c r="A49" s="52">
        <f t="shared" si="3"/>
        <v>47</v>
      </c>
      <c r="B49" s="65" t="s">
        <v>707</v>
      </c>
      <c r="C49" s="66" t="s">
        <v>708</v>
      </c>
      <c r="D49" s="67" t="s">
        <v>363</v>
      </c>
      <c r="E49" s="30" t="s">
        <v>51</v>
      </c>
      <c r="F49" s="30" t="s">
        <v>105</v>
      </c>
      <c r="G49" s="30" t="s">
        <v>53</v>
      </c>
      <c r="H49" s="30" t="s">
        <v>54</v>
      </c>
      <c r="I49" s="30"/>
      <c r="J49" s="46">
        <v>45255</v>
      </c>
      <c r="K49" s="68">
        <f t="shared" ca="1" si="0"/>
        <v>2.7369863013698632</v>
      </c>
      <c r="L49" s="46">
        <v>35366</v>
      </c>
      <c r="M49" s="51">
        <f t="shared" ca="1" si="1"/>
        <v>29</v>
      </c>
      <c r="N49" s="21"/>
      <c r="O49" s="30"/>
      <c r="P49" s="30" t="s">
        <v>56</v>
      </c>
      <c r="Q49" s="30"/>
      <c r="R49" s="30"/>
      <c r="S49" s="21" t="s">
        <v>94</v>
      </c>
      <c r="T49" s="30" t="s">
        <v>709</v>
      </c>
      <c r="U49" s="21">
        <v>9677958136</v>
      </c>
      <c r="V49" s="21" t="s">
        <v>710</v>
      </c>
      <c r="W49" s="30"/>
      <c r="X49" s="65">
        <v>5610293277</v>
      </c>
      <c r="Y49" s="21" t="s">
        <v>711</v>
      </c>
      <c r="Z49" s="47"/>
      <c r="AA49" s="21" t="s">
        <v>712</v>
      </c>
      <c r="AB49" s="21" t="s">
        <v>515</v>
      </c>
      <c r="AC49" s="21" t="s">
        <v>713</v>
      </c>
      <c r="AD49" s="21" t="s">
        <v>516</v>
      </c>
      <c r="AE49" s="21" t="s">
        <v>714</v>
      </c>
      <c r="AF49" s="21" t="s">
        <v>714</v>
      </c>
      <c r="AG49" s="38">
        <v>7060</v>
      </c>
      <c r="AH49" s="38">
        <v>7981</v>
      </c>
      <c r="AI49" s="30"/>
      <c r="AJ49" s="30"/>
      <c r="AK49" s="30"/>
      <c r="AL49" s="38">
        <v>15041</v>
      </c>
      <c r="AM49" s="38">
        <v>15000</v>
      </c>
      <c r="AN49" s="38">
        <v>1950</v>
      </c>
      <c r="AO49" s="38">
        <v>488.83249999999998</v>
      </c>
      <c r="AP49" s="38">
        <v>1253.4166666666699</v>
      </c>
      <c r="AQ49" s="30"/>
      <c r="AR49" s="30"/>
      <c r="AS49" s="40">
        <v>1203.28</v>
      </c>
      <c r="AT49" s="69">
        <f t="shared" si="2"/>
        <v>19936.529166666671</v>
      </c>
    </row>
    <row r="50" spans="1:46" s="70" customFormat="1" ht="24">
      <c r="A50" s="52">
        <f t="shared" si="3"/>
        <v>48</v>
      </c>
      <c r="B50" s="65" t="s">
        <v>715</v>
      </c>
      <c r="C50" s="66" t="s">
        <v>716</v>
      </c>
      <c r="D50" s="67" t="s">
        <v>363</v>
      </c>
      <c r="E50" s="30" t="s">
        <v>51</v>
      </c>
      <c r="F50" s="30"/>
      <c r="G50" s="30" t="s">
        <v>53</v>
      </c>
      <c r="H50" s="30" t="s">
        <v>54</v>
      </c>
      <c r="I50" s="30"/>
      <c r="J50" s="46">
        <v>45252</v>
      </c>
      <c r="K50" s="68">
        <f t="shared" ca="1" si="0"/>
        <v>2.7452054794520548</v>
      </c>
      <c r="L50" s="46">
        <v>37987</v>
      </c>
      <c r="M50" s="51">
        <f t="shared" ca="1" si="1"/>
        <v>22</v>
      </c>
      <c r="N50" s="21"/>
      <c r="O50" s="30"/>
      <c r="P50" s="30" t="s">
        <v>56</v>
      </c>
      <c r="Q50" s="30"/>
      <c r="R50" s="30"/>
      <c r="S50" s="21" t="s">
        <v>94</v>
      </c>
      <c r="T50" s="30" t="s">
        <v>717</v>
      </c>
      <c r="U50" s="21">
        <v>9155197738</v>
      </c>
      <c r="V50" s="21" t="s">
        <v>718</v>
      </c>
      <c r="W50" s="30"/>
      <c r="X50" s="65">
        <v>5610239384</v>
      </c>
      <c r="Y50" s="21" t="s">
        <v>719</v>
      </c>
      <c r="Z50" s="47"/>
      <c r="AA50" s="21" t="s">
        <v>720</v>
      </c>
      <c r="AB50" s="21" t="s">
        <v>490</v>
      </c>
      <c r="AC50" s="21" t="s">
        <v>491</v>
      </c>
      <c r="AD50" s="21" t="s">
        <v>492</v>
      </c>
      <c r="AE50" s="21"/>
      <c r="AF50" s="21" t="s">
        <v>721</v>
      </c>
      <c r="AG50" s="38">
        <v>7060</v>
      </c>
      <c r="AH50" s="38">
        <v>7981</v>
      </c>
      <c r="AI50" s="30"/>
      <c r="AJ50" s="30"/>
      <c r="AK50" s="30"/>
      <c r="AL50" s="38">
        <v>15041</v>
      </c>
      <c r="AM50" s="38">
        <v>15000</v>
      </c>
      <c r="AN50" s="38">
        <v>1950</v>
      </c>
      <c r="AO50" s="38">
        <v>488.83249999999998</v>
      </c>
      <c r="AP50" s="38">
        <v>1253.4166666666699</v>
      </c>
      <c r="AQ50" s="30"/>
      <c r="AR50" s="30"/>
      <c r="AS50" s="40">
        <v>1203.28</v>
      </c>
      <c r="AT50" s="69">
        <f t="shared" si="2"/>
        <v>19936.529166666671</v>
      </c>
    </row>
    <row r="51" spans="1:46" s="70" customFormat="1" ht="24">
      <c r="A51" s="52">
        <f t="shared" si="3"/>
        <v>49</v>
      </c>
      <c r="B51" s="65" t="s">
        <v>722</v>
      </c>
      <c r="C51" s="66" t="s">
        <v>723</v>
      </c>
      <c r="D51" s="67" t="s">
        <v>117</v>
      </c>
      <c r="E51" s="30" t="s">
        <v>51</v>
      </c>
      <c r="F51" s="30"/>
      <c r="G51" s="30" t="s">
        <v>53</v>
      </c>
      <c r="H51" s="30" t="s">
        <v>54</v>
      </c>
      <c r="I51" s="30"/>
      <c r="J51" s="46">
        <v>45252</v>
      </c>
      <c r="K51" s="68">
        <f t="shared" ca="1" si="0"/>
        <v>2.7452054794520548</v>
      </c>
      <c r="L51" s="46">
        <v>36526</v>
      </c>
      <c r="M51" s="51">
        <f t="shared" ca="1" si="1"/>
        <v>26</v>
      </c>
      <c r="N51" s="21"/>
      <c r="O51" s="30"/>
      <c r="P51" s="30" t="s">
        <v>56</v>
      </c>
      <c r="Q51" s="30"/>
      <c r="R51" s="30"/>
      <c r="S51" s="21" t="s">
        <v>94</v>
      </c>
      <c r="T51" s="30" t="s">
        <v>724</v>
      </c>
      <c r="U51" s="21">
        <v>9155147738</v>
      </c>
      <c r="V51" s="21" t="s">
        <v>725</v>
      </c>
      <c r="W51" s="30"/>
      <c r="X51" s="65">
        <v>5610182036</v>
      </c>
      <c r="Y51" s="21" t="s">
        <v>726</v>
      </c>
      <c r="Z51" s="47"/>
      <c r="AA51" s="21" t="s">
        <v>727</v>
      </c>
      <c r="AB51" s="21" t="s">
        <v>642</v>
      </c>
      <c r="AC51" s="21" t="s">
        <v>643</v>
      </c>
      <c r="AD51" s="21" t="s">
        <v>644</v>
      </c>
      <c r="AE51" s="21"/>
      <c r="AF51" s="21" t="s">
        <v>728</v>
      </c>
      <c r="AG51" s="38">
        <v>7060</v>
      </c>
      <c r="AH51" s="38">
        <v>7981</v>
      </c>
      <c r="AI51" s="30"/>
      <c r="AJ51" s="30"/>
      <c r="AK51" s="30"/>
      <c r="AL51" s="38">
        <v>15041</v>
      </c>
      <c r="AM51" s="38">
        <v>15000</v>
      </c>
      <c r="AN51" s="38">
        <v>1950</v>
      </c>
      <c r="AO51" s="38">
        <v>488.83249999999998</v>
      </c>
      <c r="AP51" s="38">
        <v>1253.4166666666699</v>
      </c>
      <c r="AQ51" s="30"/>
      <c r="AR51" s="30"/>
      <c r="AS51" s="40">
        <v>1203.28</v>
      </c>
      <c r="AT51" s="69">
        <f t="shared" si="2"/>
        <v>19936.529166666671</v>
      </c>
    </row>
    <row r="52" spans="1:46" s="70" customFormat="1" ht="24">
      <c r="A52" s="52">
        <f t="shared" si="3"/>
        <v>50</v>
      </c>
      <c r="B52" s="65" t="s">
        <v>729</v>
      </c>
      <c r="C52" s="66" t="s">
        <v>730</v>
      </c>
      <c r="D52" s="67" t="s">
        <v>117</v>
      </c>
      <c r="E52" s="30" t="s">
        <v>51</v>
      </c>
      <c r="F52" s="30"/>
      <c r="G52" s="30" t="s">
        <v>53</v>
      </c>
      <c r="H52" s="30" t="s">
        <v>54</v>
      </c>
      <c r="I52" s="30"/>
      <c r="J52" s="46">
        <v>45334</v>
      </c>
      <c r="K52" s="68">
        <f t="shared" ca="1" si="0"/>
        <v>2.5205479452054793</v>
      </c>
      <c r="L52" s="46">
        <v>31413</v>
      </c>
      <c r="M52" s="51">
        <f t="shared" ca="1" si="1"/>
        <v>40</v>
      </c>
      <c r="N52" s="21"/>
      <c r="O52" s="30"/>
      <c r="P52" s="30" t="s">
        <v>56</v>
      </c>
      <c r="Q52" s="30"/>
      <c r="R52" s="30"/>
      <c r="S52" s="21" t="s">
        <v>94</v>
      </c>
      <c r="T52" s="30" t="s">
        <v>731</v>
      </c>
      <c r="U52" s="21">
        <v>6202113069</v>
      </c>
      <c r="V52" s="21" t="s">
        <v>732</v>
      </c>
      <c r="W52" s="30"/>
      <c r="X52" s="65">
        <v>5610424502</v>
      </c>
      <c r="Y52" s="21" t="s">
        <v>733</v>
      </c>
      <c r="Z52" s="47"/>
      <c r="AA52" s="21" t="s">
        <v>734</v>
      </c>
      <c r="AB52" s="21" t="s">
        <v>490</v>
      </c>
      <c r="AC52" s="21" t="s">
        <v>491</v>
      </c>
      <c r="AD52" s="21" t="s">
        <v>492</v>
      </c>
      <c r="AE52" s="21"/>
      <c r="AF52" s="21" t="s">
        <v>735</v>
      </c>
      <c r="AG52" s="38">
        <v>7060</v>
      </c>
      <c r="AH52" s="38">
        <v>7981</v>
      </c>
      <c r="AI52" s="30"/>
      <c r="AJ52" s="30"/>
      <c r="AK52" s="30"/>
      <c r="AL52" s="38">
        <v>15041</v>
      </c>
      <c r="AM52" s="38">
        <v>15000</v>
      </c>
      <c r="AN52" s="38">
        <v>1950</v>
      </c>
      <c r="AO52" s="38">
        <v>488.83249999999998</v>
      </c>
      <c r="AP52" s="38">
        <v>1253.4166666666699</v>
      </c>
      <c r="AQ52" s="30"/>
      <c r="AR52" s="30"/>
      <c r="AS52" s="40">
        <v>1203.28</v>
      </c>
      <c r="AT52" s="69">
        <f t="shared" si="2"/>
        <v>19936.529166666671</v>
      </c>
    </row>
    <row r="53" spans="1:46" s="70" customFormat="1" ht="24">
      <c r="A53" s="52">
        <f t="shared" si="3"/>
        <v>51</v>
      </c>
      <c r="B53" s="65" t="s">
        <v>736</v>
      </c>
      <c r="C53" s="66" t="s">
        <v>737</v>
      </c>
      <c r="D53" s="67" t="s">
        <v>117</v>
      </c>
      <c r="E53" s="30" t="s">
        <v>51</v>
      </c>
      <c r="F53" s="30"/>
      <c r="G53" s="30" t="s">
        <v>53</v>
      </c>
      <c r="H53" s="30" t="s">
        <v>54</v>
      </c>
      <c r="I53" s="30"/>
      <c r="J53" s="46">
        <v>45373</v>
      </c>
      <c r="K53" s="68">
        <f t="shared" ca="1" si="0"/>
        <v>2.4136986301369863</v>
      </c>
      <c r="L53" s="46">
        <v>36561</v>
      </c>
      <c r="M53" s="51">
        <f t="shared" ca="1" si="1"/>
        <v>26</v>
      </c>
      <c r="N53" s="21"/>
      <c r="O53" s="30"/>
      <c r="P53" s="30" t="s">
        <v>56</v>
      </c>
      <c r="Q53" s="30" t="s">
        <v>738</v>
      </c>
      <c r="R53" s="30"/>
      <c r="S53" s="21" t="s">
        <v>256</v>
      </c>
      <c r="T53" s="30"/>
      <c r="U53" s="21"/>
      <c r="V53" s="21" t="s">
        <v>739</v>
      </c>
      <c r="W53" s="30"/>
      <c r="X53" s="65">
        <v>5610482562</v>
      </c>
      <c r="Y53" s="21" t="s">
        <v>740</v>
      </c>
      <c r="Z53" s="47"/>
      <c r="AA53" s="21" t="s">
        <v>741</v>
      </c>
      <c r="AB53" s="21" t="s">
        <v>490</v>
      </c>
      <c r="AC53" s="21" t="s">
        <v>491</v>
      </c>
      <c r="AD53" s="21" t="s">
        <v>492</v>
      </c>
      <c r="AE53" s="21"/>
      <c r="AF53" s="21" t="s">
        <v>742</v>
      </c>
      <c r="AG53" s="38">
        <v>7060</v>
      </c>
      <c r="AH53" s="38">
        <v>7981</v>
      </c>
      <c r="AI53" s="30"/>
      <c r="AJ53" s="30"/>
      <c r="AK53" s="30"/>
      <c r="AL53" s="38">
        <v>15041</v>
      </c>
      <c r="AM53" s="38">
        <v>15000</v>
      </c>
      <c r="AN53" s="38">
        <v>1950</v>
      </c>
      <c r="AO53" s="38">
        <v>488.83249999999998</v>
      </c>
      <c r="AP53" s="38">
        <v>1253.4166666666699</v>
      </c>
      <c r="AQ53" s="30"/>
      <c r="AR53" s="30"/>
      <c r="AS53" s="40">
        <v>1203.28</v>
      </c>
      <c r="AT53" s="69">
        <f t="shared" si="2"/>
        <v>19936.529166666671</v>
      </c>
    </row>
    <row r="54" spans="1:46" s="70" customFormat="1" ht="24">
      <c r="A54" s="52">
        <f t="shared" si="3"/>
        <v>52</v>
      </c>
      <c r="B54" s="65" t="s">
        <v>743</v>
      </c>
      <c r="C54" s="66" t="s">
        <v>744</v>
      </c>
      <c r="D54" s="67" t="s">
        <v>363</v>
      </c>
      <c r="E54" s="30" t="s">
        <v>51</v>
      </c>
      <c r="F54" s="30" t="s">
        <v>105</v>
      </c>
      <c r="G54" s="30" t="s">
        <v>53</v>
      </c>
      <c r="H54" s="30" t="s">
        <v>54</v>
      </c>
      <c r="I54" s="30"/>
      <c r="J54" s="46">
        <v>45371</v>
      </c>
      <c r="K54" s="68">
        <f t="shared" ca="1" si="0"/>
        <v>2.419178082191781</v>
      </c>
      <c r="L54" s="46" t="s">
        <v>745</v>
      </c>
      <c r="M54" s="51">
        <f t="shared" ca="1" si="1"/>
        <v>56</v>
      </c>
      <c r="N54" s="21"/>
      <c r="O54" s="30"/>
      <c r="P54" s="30" t="s">
        <v>56</v>
      </c>
      <c r="Q54" s="30"/>
      <c r="R54" s="30"/>
      <c r="S54" s="21" t="s">
        <v>94</v>
      </c>
      <c r="T54" s="30" t="s">
        <v>746</v>
      </c>
      <c r="U54" s="21">
        <v>9942373372</v>
      </c>
      <c r="V54" s="21" t="s">
        <v>545</v>
      </c>
      <c r="W54" s="30"/>
      <c r="X54" s="65">
        <v>5610286693</v>
      </c>
      <c r="Y54" s="21" t="s">
        <v>546</v>
      </c>
      <c r="Z54" s="47"/>
      <c r="AA54" s="21" t="s">
        <v>747</v>
      </c>
      <c r="AB54" s="21" t="s">
        <v>270</v>
      </c>
      <c r="AC54" s="21" t="s">
        <v>461</v>
      </c>
      <c r="AD54" s="21" t="s">
        <v>136</v>
      </c>
      <c r="AE54" s="21" t="s">
        <v>748</v>
      </c>
      <c r="AF54" s="21" t="s">
        <v>748</v>
      </c>
      <c r="AG54" s="38">
        <v>7060</v>
      </c>
      <c r="AH54" s="38">
        <v>7981</v>
      </c>
      <c r="AI54" s="30"/>
      <c r="AJ54" s="30"/>
      <c r="AK54" s="30"/>
      <c r="AL54" s="38">
        <v>15041</v>
      </c>
      <c r="AM54" s="38">
        <v>15000</v>
      </c>
      <c r="AN54" s="38">
        <v>1950</v>
      </c>
      <c r="AO54" s="38">
        <v>488.83249999999998</v>
      </c>
      <c r="AP54" s="38">
        <v>1253.4166666666699</v>
      </c>
      <c r="AQ54" s="30"/>
      <c r="AR54" s="30"/>
      <c r="AS54" s="40">
        <v>1203.28</v>
      </c>
      <c r="AT54" s="69">
        <f t="shared" si="2"/>
        <v>19936.529166666671</v>
      </c>
    </row>
    <row r="55" spans="1:46" s="70" customFormat="1" ht="24">
      <c r="A55" s="52">
        <f t="shared" si="3"/>
        <v>53</v>
      </c>
      <c r="B55" s="65" t="s">
        <v>749</v>
      </c>
      <c r="C55" s="66" t="s">
        <v>750</v>
      </c>
      <c r="D55" s="67" t="s">
        <v>363</v>
      </c>
      <c r="E55" s="30" t="s">
        <v>51</v>
      </c>
      <c r="F55" s="30" t="s">
        <v>83</v>
      </c>
      <c r="G55" s="30" t="s">
        <v>53</v>
      </c>
      <c r="H55" s="30" t="s">
        <v>54</v>
      </c>
      <c r="I55" s="30"/>
      <c r="J55" s="46">
        <v>45246</v>
      </c>
      <c r="K55" s="68">
        <f t="shared" ca="1" si="0"/>
        <v>2.7616438356164386</v>
      </c>
      <c r="L55" s="46">
        <v>38623</v>
      </c>
      <c r="M55" s="51">
        <f t="shared" ca="1" si="1"/>
        <v>20</v>
      </c>
      <c r="N55" s="21"/>
      <c r="O55" s="30"/>
      <c r="P55" s="30" t="s">
        <v>56</v>
      </c>
      <c r="Q55" s="30" t="s">
        <v>751</v>
      </c>
      <c r="R55" s="30"/>
      <c r="S55" s="21" t="s">
        <v>256</v>
      </c>
      <c r="T55" s="30"/>
      <c r="U55" s="21">
        <v>9976580236</v>
      </c>
      <c r="V55" s="21" t="s">
        <v>752</v>
      </c>
      <c r="W55" s="30"/>
      <c r="X55" s="65">
        <v>5610275150</v>
      </c>
      <c r="Y55" s="21" t="s">
        <v>753</v>
      </c>
      <c r="Z55" s="47"/>
      <c r="AA55" s="21" t="s">
        <v>754</v>
      </c>
      <c r="AB55" s="21" t="s">
        <v>642</v>
      </c>
      <c r="AC55" s="21" t="s">
        <v>643</v>
      </c>
      <c r="AD55" s="21" t="s">
        <v>644</v>
      </c>
      <c r="AE55" s="21" t="s">
        <v>755</v>
      </c>
      <c r="AF55" s="21" t="s">
        <v>755</v>
      </c>
      <c r="AG55" s="38">
        <v>7060</v>
      </c>
      <c r="AH55" s="38">
        <v>7981</v>
      </c>
      <c r="AI55" s="30"/>
      <c r="AJ55" s="30"/>
      <c r="AK55" s="30"/>
      <c r="AL55" s="38">
        <v>15041</v>
      </c>
      <c r="AM55" s="38">
        <v>15000</v>
      </c>
      <c r="AN55" s="38">
        <v>1950</v>
      </c>
      <c r="AO55" s="38">
        <v>488.83249999999998</v>
      </c>
      <c r="AP55" s="38">
        <v>1253.4166666666699</v>
      </c>
      <c r="AQ55" s="30"/>
      <c r="AR55" s="30"/>
      <c r="AS55" s="40">
        <v>1203.28</v>
      </c>
      <c r="AT55" s="69">
        <f t="shared" si="2"/>
        <v>19936.529166666671</v>
      </c>
    </row>
    <row r="56" spans="1:46" s="70" customFormat="1" ht="24">
      <c r="A56" s="52">
        <f t="shared" si="3"/>
        <v>54</v>
      </c>
      <c r="B56" s="65" t="s">
        <v>756</v>
      </c>
      <c r="C56" s="66" t="s">
        <v>757</v>
      </c>
      <c r="D56" s="67" t="s">
        <v>363</v>
      </c>
      <c r="E56" s="30" t="s">
        <v>51</v>
      </c>
      <c r="F56" s="30" t="s">
        <v>695</v>
      </c>
      <c r="G56" s="30" t="s">
        <v>53</v>
      </c>
      <c r="H56" s="30" t="s">
        <v>54</v>
      </c>
      <c r="I56" s="30"/>
      <c r="J56" s="46">
        <v>45246</v>
      </c>
      <c r="K56" s="68">
        <f t="shared" ca="1" si="0"/>
        <v>2.7616438356164386</v>
      </c>
      <c r="L56" s="46">
        <v>33938</v>
      </c>
      <c r="M56" s="51">
        <f t="shared" ca="1" si="1"/>
        <v>33</v>
      </c>
      <c r="N56" s="21"/>
      <c r="O56" s="30"/>
      <c r="P56" s="30" t="s">
        <v>56</v>
      </c>
      <c r="Q56" s="30"/>
      <c r="R56" s="30"/>
      <c r="S56" s="21" t="s">
        <v>94</v>
      </c>
      <c r="T56" s="30" t="s">
        <v>758</v>
      </c>
      <c r="U56" s="21">
        <v>8825453260</v>
      </c>
      <c r="V56" s="21" t="s">
        <v>759</v>
      </c>
      <c r="W56" s="30"/>
      <c r="X56" s="65">
        <v>5610275175</v>
      </c>
      <c r="Y56" s="21" t="s">
        <v>760</v>
      </c>
      <c r="Z56" s="47"/>
      <c r="AA56" s="21" t="s">
        <v>761</v>
      </c>
      <c r="AB56" s="21" t="s">
        <v>99</v>
      </c>
      <c r="AC56" s="21" t="s">
        <v>461</v>
      </c>
      <c r="AD56" s="21" t="s">
        <v>462</v>
      </c>
      <c r="AE56" s="21" t="s">
        <v>762</v>
      </c>
      <c r="AF56" s="21" t="s">
        <v>762</v>
      </c>
      <c r="AG56" s="38">
        <v>7060</v>
      </c>
      <c r="AH56" s="38">
        <v>7981</v>
      </c>
      <c r="AI56" s="30"/>
      <c r="AJ56" s="30"/>
      <c r="AK56" s="30"/>
      <c r="AL56" s="38">
        <v>15041</v>
      </c>
      <c r="AM56" s="38">
        <v>15000</v>
      </c>
      <c r="AN56" s="38">
        <v>1950</v>
      </c>
      <c r="AO56" s="38">
        <v>488.83249999999998</v>
      </c>
      <c r="AP56" s="38">
        <v>1253.4166666666699</v>
      </c>
      <c r="AQ56" s="30"/>
      <c r="AR56" s="30"/>
      <c r="AS56" s="40">
        <v>1203.28</v>
      </c>
      <c r="AT56" s="69">
        <f t="shared" si="2"/>
        <v>19936.529166666671</v>
      </c>
    </row>
    <row r="57" spans="1:46" s="70" customFormat="1" ht="24">
      <c r="A57" s="52">
        <f t="shared" si="3"/>
        <v>55</v>
      </c>
      <c r="B57" s="65" t="s">
        <v>763</v>
      </c>
      <c r="C57" s="66" t="s">
        <v>764</v>
      </c>
      <c r="D57" s="67" t="s">
        <v>363</v>
      </c>
      <c r="E57" s="30" t="s">
        <v>51</v>
      </c>
      <c r="F57" s="30" t="s">
        <v>136</v>
      </c>
      <c r="G57" s="30" t="s">
        <v>53</v>
      </c>
      <c r="H57" s="30" t="s">
        <v>54</v>
      </c>
      <c r="I57" s="30"/>
      <c r="J57" s="46">
        <v>45337</v>
      </c>
      <c r="K57" s="68">
        <f t="shared" ca="1" si="0"/>
        <v>2.5123287671232877</v>
      </c>
      <c r="L57" s="46">
        <v>34952</v>
      </c>
      <c r="M57" s="51">
        <f t="shared" ca="1" si="1"/>
        <v>30</v>
      </c>
      <c r="N57" s="21"/>
      <c r="O57" s="30"/>
      <c r="P57" s="30" t="s">
        <v>56</v>
      </c>
      <c r="Q57" s="30"/>
      <c r="R57" s="30"/>
      <c r="S57" s="21" t="s">
        <v>94</v>
      </c>
      <c r="T57" s="30" t="s">
        <v>765</v>
      </c>
      <c r="U57" s="21">
        <v>8122342339</v>
      </c>
      <c r="V57" s="21" t="s">
        <v>766</v>
      </c>
      <c r="W57" s="30"/>
      <c r="X57" s="65">
        <v>5610425709</v>
      </c>
      <c r="Y57" s="21" t="s">
        <v>767</v>
      </c>
      <c r="Z57" s="47"/>
      <c r="AA57" s="21" t="s">
        <v>768</v>
      </c>
      <c r="AB57" s="21" t="s">
        <v>666</v>
      </c>
      <c r="AC57" s="21" t="s">
        <v>112</v>
      </c>
      <c r="AD57" s="21" t="s">
        <v>630</v>
      </c>
      <c r="AE57" s="21" t="s">
        <v>769</v>
      </c>
      <c r="AF57" s="21" t="s">
        <v>769</v>
      </c>
      <c r="AG57" s="38">
        <v>7060</v>
      </c>
      <c r="AH57" s="38">
        <v>7981</v>
      </c>
      <c r="AI57" s="30"/>
      <c r="AJ57" s="30"/>
      <c r="AK57" s="30"/>
      <c r="AL57" s="38">
        <v>15041</v>
      </c>
      <c r="AM57" s="38">
        <v>15000</v>
      </c>
      <c r="AN57" s="38">
        <v>1950</v>
      </c>
      <c r="AO57" s="38">
        <v>488.83249999999998</v>
      </c>
      <c r="AP57" s="38">
        <v>1253.4166666666699</v>
      </c>
      <c r="AQ57" s="30"/>
      <c r="AR57" s="30"/>
      <c r="AS57" s="40">
        <v>1203.28</v>
      </c>
      <c r="AT57" s="69">
        <f t="shared" si="2"/>
        <v>19936.529166666671</v>
      </c>
    </row>
    <row r="58" spans="1:46" s="70" customFormat="1" ht="24">
      <c r="A58" s="52">
        <f t="shared" si="3"/>
        <v>56</v>
      </c>
      <c r="B58" s="65" t="s">
        <v>770</v>
      </c>
      <c r="C58" s="66" t="s">
        <v>771</v>
      </c>
      <c r="D58" s="67" t="s">
        <v>363</v>
      </c>
      <c r="E58" s="30" t="s">
        <v>51</v>
      </c>
      <c r="F58" s="30" t="s">
        <v>630</v>
      </c>
      <c r="G58" s="30" t="s">
        <v>53</v>
      </c>
      <c r="H58" s="30" t="s">
        <v>54</v>
      </c>
      <c r="I58" s="30"/>
      <c r="J58" s="46">
        <v>45337</v>
      </c>
      <c r="K58" s="68">
        <f t="shared" ca="1" si="0"/>
        <v>2.5123287671232877</v>
      </c>
      <c r="L58" s="46">
        <v>37340</v>
      </c>
      <c r="M58" s="51">
        <f t="shared" ca="1" si="1"/>
        <v>24</v>
      </c>
      <c r="N58" s="21"/>
      <c r="O58" s="30"/>
      <c r="P58" s="30" t="s">
        <v>56</v>
      </c>
      <c r="Q58" s="30" t="s">
        <v>772</v>
      </c>
      <c r="R58" s="30"/>
      <c r="S58" s="21" t="s">
        <v>773</v>
      </c>
      <c r="T58" s="30"/>
      <c r="U58" s="21">
        <v>7397505029</v>
      </c>
      <c r="V58" s="21" t="s">
        <v>774</v>
      </c>
      <c r="W58" s="30"/>
      <c r="X58" s="65">
        <v>5610433107</v>
      </c>
      <c r="Y58" s="21" t="s">
        <v>775</v>
      </c>
      <c r="Z58" s="47"/>
      <c r="AA58" s="21" t="s">
        <v>776</v>
      </c>
      <c r="AB58" s="21" t="s">
        <v>777</v>
      </c>
      <c r="AC58" s="21" t="s">
        <v>778</v>
      </c>
      <c r="AD58" s="21" t="s">
        <v>779</v>
      </c>
      <c r="AE58" s="21" t="s">
        <v>780</v>
      </c>
      <c r="AF58" s="21" t="s">
        <v>780</v>
      </c>
      <c r="AG58" s="38">
        <v>7060</v>
      </c>
      <c r="AH58" s="38">
        <v>7981</v>
      </c>
      <c r="AI58" s="30"/>
      <c r="AJ58" s="30"/>
      <c r="AK58" s="30"/>
      <c r="AL58" s="38">
        <v>15041</v>
      </c>
      <c r="AM58" s="38">
        <v>15000</v>
      </c>
      <c r="AN58" s="38">
        <v>1950</v>
      </c>
      <c r="AO58" s="38">
        <v>488.83249999999998</v>
      </c>
      <c r="AP58" s="38">
        <v>1253.4166666666699</v>
      </c>
      <c r="AQ58" s="30"/>
      <c r="AR58" s="30"/>
      <c r="AS58" s="40">
        <v>1203.28</v>
      </c>
      <c r="AT58" s="69">
        <f t="shared" si="2"/>
        <v>19936.529166666671</v>
      </c>
    </row>
    <row r="59" spans="1:46" s="70" customFormat="1" ht="24">
      <c r="A59" s="52">
        <f t="shared" si="3"/>
        <v>57</v>
      </c>
      <c r="B59" s="65" t="s">
        <v>781</v>
      </c>
      <c r="C59" s="66" t="s">
        <v>782</v>
      </c>
      <c r="D59" s="67" t="s">
        <v>363</v>
      </c>
      <c r="E59" s="30" t="s">
        <v>51</v>
      </c>
      <c r="F59" s="30" t="s">
        <v>105</v>
      </c>
      <c r="G59" s="30" t="s">
        <v>53</v>
      </c>
      <c r="H59" s="30" t="s">
        <v>54</v>
      </c>
      <c r="I59" s="30"/>
      <c r="J59" s="46">
        <v>45342</v>
      </c>
      <c r="K59" s="68">
        <f t="shared" ca="1" si="0"/>
        <v>2.4986301369863013</v>
      </c>
      <c r="L59" s="46">
        <v>34910</v>
      </c>
      <c r="M59" s="51">
        <f t="shared" ca="1" si="1"/>
        <v>31</v>
      </c>
      <c r="N59" s="21"/>
      <c r="O59" s="30"/>
      <c r="P59" s="30" t="s">
        <v>56</v>
      </c>
      <c r="Q59" s="30"/>
      <c r="R59" s="30"/>
      <c r="S59" s="21" t="s">
        <v>94</v>
      </c>
      <c r="T59" s="30" t="s">
        <v>783</v>
      </c>
      <c r="U59" s="21">
        <v>8144559720</v>
      </c>
      <c r="V59" s="21" t="s">
        <v>497</v>
      </c>
      <c r="W59" s="30"/>
      <c r="X59" s="65">
        <v>5610517163</v>
      </c>
      <c r="Y59" s="21" t="s">
        <v>498</v>
      </c>
      <c r="Z59" s="47"/>
      <c r="AA59" s="21" t="s">
        <v>784</v>
      </c>
      <c r="AB59" s="21" t="s">
        <v>785</v>
      </c>
      <c r="AC59" s="21" t="s">
        <v>786</v>
      </c>
      <c r="AD59" s="21" t="s">
        <v>787</v>
      </c>
      <c r="AE59" s="21" t="s">
        <v>788</v>
      </c>
      <c r="AF59" s="21" t="s">
        <v>788</v>
      </c>
      <c r="AG59" s="38">
        <v>7060</v>
      </c>
      <c r="AH59" s="38">
        <v>7981</v>
      </c>
      <c r="AI59" s="30"/>
      <c r="AJ59" s="30"/>
      <c r="AK59" s="30"/>
      <c r="AL59" s="38">
        <v>15041</v>
      </c>
      <c r="AM59" s="38">
        <v>15000</v>
      </c>
      <c r="AN59" s="38">
        <v>1950</v>
      </c>
      <c r="AO59" s="38">
        <v>488.83249999999998</v>
      </c>
      <c r="AP59" s="38">
        <v>1253.4166666666699</v>
      </c>
      <c r="AQ59" s="30"/>
      <c r="AR59" s="30"/>
      <c r="AS59" s="40">
        <v>1203.28</v>
      </c>
      <c r="AT59" s="69">
        <f t="shared" si="2"/>
        <v>19936.529166666671</v>
      </c>
    </row>
    <row r="60" spans="1:46" s="70" customFormat="1" ht="24">
      <c r="A60" s="52">
        <f t="shared" si="3"/>
        <v>58</v>
      </c>
      <c r="B60" s="65" t="s">
        <v>789</v>
      </c>
      <c r="C60" s="66" t="s">
        <v>790</v>
      </c>
      <c r="D60" s="67" t="s">
        <v>363</v>
      </c>
      <c r="E60" s="30" t="s">
        <v>51</v>
      </c>
      <c r="F60" s="30" t="s">
        <v>105</v>
      </c>
      <c r="G60" s="30" t="s">
        <v>53</v>
      </c>
      <c r="H60" s="30" t="s">
        <v>54</v>
      </c>
      <c r="I60" s="30"/>
      <c r="J60" s="46">
        <v>45250</v>
      </c>
      <c r="K60" s="68">
        <f t="shared" ca="1" si="0"/>
        <v>2.7506849315068491</v>
      </c>
      <c r="L60" s="46">
        <v>38659</v>
      </c>
      <c r="M60" s="51">
        <f t="shared" ca="1" si="1"/>
        <v>20</v>
      </c>
      <c r="N60" s="21"/>
      <c r="O60" s="30"/>
      <c r="P60" s="30" t="s">
        <v>56</v>
      </c>
      <c r="Q60" s="30" t="s">
        <v>791</v>
      </c>
      <c r="R60" s="30"/>
      <c r="S60" s="21" t="s">
        <v>256</v>
      </c>
      <c r="T60" s="30"/>
      <c r="U60" s="21">
        <v>8489160631</v>
      </c>
      <c r="V60" s="21" t="s">
        <v>792</v>
      </c>
      <c r="W60" s="30"/>
      <c r="X60" s="65">
        <v>5610292298</v>
      </c>
      <c r="Y60" s="21" t="s">
        <v>793</v>
      </c>
      <c r="Z60" s="47"/>
      <c r="AA60" s="21" t="s">
        <v>794</v>
      </c>
      <c r="AB60" s="21" t="s">
        <v>795</v>
      </c>
      <c r="AC60" s="21" t="s">
        <v>112</v>
      </c>
      <c r="AD60" s="21" t="s">
        <v>796</v>
      </c>
      <c r="AE60" s="21" t="s">
        <v>797</v>
      </c>
      <c r="AF60" s="21" t="s">
        <v>797</v>
      </c>
      <c r="AG60" s="38">
        <v>7060</v>
      </c>
      <c r="AH60" s="38">
        <v>7981</v>
      </c>
      <c r="AI60" s="30"/>
      <c r="AJ60" s="30"/>
      <c r="AK60" s="30"/>
      <c r="AL60" s="38">
        <v>15041</v>
      </c>
      <c r="AM60" s="38">
        <v>15000</v>
      </c>
      <c r="AN60" s="38">
        <v>1950</v>
      </c>
      <c r="AO60" s="38">
        <v>488.83249999999998</v>
      </c>
      <c r="AP60" s="38">
        <v>1253.4166666666699</v>
      </c>
      <c r="AQ60" s="30"/>
      <c r="AR60" s="30"/>
      <c r="AS60" s="40">
        <v>1203.28</v>
      </c>
      <c r="AT60" s="69">
        <f t="shared" si="2"/>
        <v>19936.529166666671</v>
      </c>
    </row>
    <row r="61" spans="1:46" s="70" customFormat="1" ht="24">
      <c r="A61" s="52">
        <f t="shared" si="3"/>
        <v>59</v>
      </c>
      <c r="B61" s="65" t="s">
        <v>798</v>
      </c>
      <c r="C61" s="66" t="s">
        <v>799</v>
      </c>
      <c r="D61" s="67" t="s">
        <v>363</v>
      </c>
      <c r="E61" s="30" t="s">
        <v>51</v>
      </c>
      <c r="F61" s="30" t="s">
        <v>105</v>
      </c>
      <c r="G61" s="30" t="s">
        <v>53</v>
      </c>
      <c r="H61" s="30" t="s">
        <v>54</v>
      </c>
      <c r="I61" s="30"/>
      <c r="J61" s="46">
        <v>45250</v>
      </c>
      <c r="K61" s="68">
        <f t="shared" ca="1" si="0"/>
        <v>2.7506849315068491</v>
      </c>
      <c r="L61" s="46">
        <v>38046</v>
      </c>
      <c r="M61" s="51">
        <f t="shared" ca="1" si="1"/>
        <v>22</v>
      </c>
      <c r="N61" s="21"/>
      <c r="O61" s="30"/>
      <c r="P61" s="30" t="s">
        <v>56</v>
      </c>
      <c r="Q61" s="30" t="s">
        <v>791</v>
      </c>
      <c r="R61" s="30"/>
      <c r="S61" s="21" t="s">
        <v>256</v>
      </c>
      <c r="T61" s="30"/>
      <c r="U61" s="21">
        <v>8489160631</v>
      </c>
      <c r="V61" s="21" t="s">
        <v>800</v>
      </c>
      <c r="W61" s="30"/>
      <c r="X61" s="65">
        <v>5610283732</v>
      </c>
      <c r="Y61" s="21" t="s">
        <v>801</v>
      </c>
      <c r="Z61" s="47"/>
      <c r="AA61" s="21" t="s">
        <v>802</v>
      </c>
      <c r="AB61" s="21" t="s">
        <v>795</v>
      </c>
      <c r="AC61" s="21" t="s">
        <v>112</v>
      </c>
      <c r="AD61" s="21" t="s">
        <v>796</v>
      </c>
      <c r="AE61" s="21" t="s">
        <v>803</v>
      </c>
      <c r="AF61" s="21" t="s">
        <v>803</v>
      </c>
      <c r="AG61" s="38">
        <v>7060</v>
      </c>
      <c r="AH61" s="38">
        <v>7981</v>
      </c>
      <c r="AI61" s="30"/>
      <c r="AJ61" s="30"/>
      <c r="AK61" s="30"/>
      <c r="AL61" s="38">
        <v>15041</v>
      </c>
      <c r="AM61" s="38">
        <v>15000</v>
      </c>
      <c r="AN61" s="38">
        <v>1950</v>
      </c>
      <c r="AO61" s="38">
        <v>488.83249999999998</v>
      </c>
      <c r="AP61" s="38">
        <v>1253.4166666666699</v>
      </c>
      <c r="AQ61" s="30"/>
      <c r="AR61" s="30"/>
      <c r="AS61" s="40">
        <v>1203.28</v>
      </c>
      <c r="AT61" s="69">
        <f t="shared" si="2"/>
        <v>19936.529166666671</v>
      </c>
    </row>
    <row r="62" spans="1:46" s="70" customFormat="1" ht="24">
      <c r="A62" s="52">
        <f t="shared" si="3"/>
        <v>60</v>
      </c>
      <c r="B62" s="65" t="s">
        <v>804</v>
      </c>
      <c r="C62" s="66" t="s">
        <v>805</v>
      </c>
      <c r="D62" s="67" t="s">
        <v>117</v>
      </c>
      <c r="E62" s="30" t="s">
        <v>51</v>
      </c>
      <c r="F62" s="30"/>
      <c r="G62" s="30" t="s">
        <v>53</v>
      </c>
      <c r="H62" s="30" t="s">
        <v>54</v>
      </c>
      <c r="I62" s="30"/>
      <c r="J62" s="46">
        <v>45254</v>
      </c>
      <c r="K62" s="68">
        <f t="shared" ca="1" si="0"/>
        <v>2.7397260273972601</v>
      </c>
      <c r="L62" s="46">
        <v>36976</v>
      </c>
      <c r="M62" s="51">
        <f t="shared" ca="1" si="1"/>
        <v>25</v>
      </c>
      <c r="N62" s="21"/>
      <c r="O62" s="30"/>
      <c r="P62" s="30" t="s">
        <v>56</v>
      </c>
      <c r="Q62" s="30"/>
      <c r="R62" s="30"/>
      <c r="S62" s="21" t="s">
        <v>94</v>
      </c>
      <c r="T62" s="30" t="s">
        <v>806</v>
      </c>
      <c r="U62" s="21">
        <v>9956236232</v>
      </c>
      <c r="V62" s="21" t="s">
        <v>807</v>
      </c>
      <c r="W62" s="30"/>
      <c r="X62" s="65">
        <v>5610290825</v>
      </c>
      <c r="Y62" s="21" t="s">
        <v>808</v>
      </c>
      <c r="Z62" s="47"/>
      <c r="AA62" s="21" t="s">
        <v>809</v>
      </c>
      <c r="AB62" s="21" t="s">
        <v>642</v>
      </c>
      <c r="AC62" s="21" t="s">
        <v>643</v>
      </c>
      <c r="AD62" s="21" t="s">
        <v>644</v>
      </c>
      <c r="AE62" s="21"/>
      <c r="AF62" s="21" t="s">
        <v>810</v>
      </c>
      <c r="AG62" s="38">
        <v>7060</v>
      </c>
      <c r="AH62" s="38">
        <v>7981</v>
      </c>
      <c r="AI62" s="30"/>
      <c r="AJ62" s="30"/>
      <c r="AK62" s="30"/>
      <c r="AL62" s="38">
        <v>15041</v>
      </c>
      <c r="AM62" s="38">
        <v>15000</v>
      </c>
      <c r="AN62" s="38">
        <v>1950</v>
      </c>
      <c r="AO62" s="38">
        <v>488.83249999999998</v>
      </c>
      <c r="AP62" s="38">
        <v>1253.4166666666699</v>
      </c>
      <c r="AQ62" s="30"/>
      <c r="AR62" s="30"/>
      <c r="AS62" s="40">
        <v>1203.28</v>
      </c>
      <c r="AT62" s="69">
        <f t="shared" si="2"/>
        <v>19936.529166666671</v>
      </c>
    </row>
    <row r="63" spans="1:46" s="70" customFormat="1" ht="24">
      <c r="A63" s="52">
        <f t="shared" si="3"/>
        <v>61</v>
      </c>
      <c r="B63" s="65" t="s">
        <v>811</v>
      </c>
      <c r="C63" s="66" t="s">
        <v>812</v>
      </c>
      <c r="D63" s="67" t="s">
        <v>363</v>
      </c>
      <c r="E63" s="30" t="s">
        <v>51</v>
      </c>
      <c r="F63" s="30" t="s">
        <v>105</v>
      </c>
      <c r="G63" s="30" t="s">
        <v>53</v>
      </c>
      <c r="H63" s="30" t="s">
        <v>54</v>
      </c>
      <c r="I63" s="30"/>
      <c r="J63" s="46">
        <v>45254</v>
      </c>
      <c r="K63" s="68">
        <f t="shared" ca="1" si="0"/>
        <v>2.7397260273972601</v>
      </c>
      <c r="L63" s="46">
        <v>30518</v>
      </c>
      <c r="M63" s="51">
        <f t="shared" ca="1" si="1"/>
        <v>43</v>
      </c>
      <c r="N63" s="21"/>
      <c r="O63" s="30"/>
      <c r="P63" s="30" t="s">
        <v>56</v>
      </c>
      <c r="Q63" s="30"/>
      <c r="R63" s="30"/>
      <c r="S63" s="21" t="s">
        <v>94</v>
      </c>
      <c r="T63" s="30" t="s">
        <v>791</v>
      </c>
      <c r="U63" s="21">
        <v>8489160631</v>
      </c>
      <c r="V63" s="21" t="s">
        <v>813</v>
      </c>
      <c r="W63" s="30"/>
      <c r="X63" s="65">
        <v>5610293255</v>
      </c>
      <c r="Y63" s="21" t="s">
        <v>814</v>
      </c>
      <c r="Z63" s="47"/>
      <c r="AA63" s="21" t="s">
        <v>815</v>
      </c>
      <c r="AB63" s="21" t="s">
        <v>99</v>
      </c>
      <c r="AC63" s="21" t="s">
        <v>461</v>
      </c>
      <c r="AD63" s="21" t="s">
        <v>462</v>
      </c>
      <c r="AE63" s="21" t="s">
        <v>816</v>
      </c>
      <c r="AF63" s="21" t="s">
        <v>816</v>
      </c>
      <c r="AG63" s="38">
        <v>7060</v>
      </c>
      <c r="AH63" s="38">
        <v>7981</v>
      </c>
      <c r="AI63" s="30"/>
      <c r="AJ63" s="30"/>
      <c r="AK63" s="30"/>
      <c r="AL63" s="38">
        <v>15041</v>
      </c>
      <c r="AM63" s="38">
        <v>15000</v>
      </c>
      <c r="AN63" s="38">
        <v>1950</v>
      </c>
      <c r="AO63" s="38">
        <v>488.83249999999998</v>
      </c>
      <c r="AP63" s="38">
        <v>1253.4166666666699</v>
      </c>
      <c r="AQ63" s="30"/>
      <c r="AR63" s="30"/>
      <c r="AS63" s="40">
        <v>1203.28</v>
      </c>
      <c r="AT63" s="69">
        <f t="shared" si="2"/>
        <v>19936.529166666671</v>
      </c>
    </row>
    <row r="64" spans="1:46" s="70" customFormat="1" ht="24">
      <c r="A64" s="52">
        <f t="shared" si="3"/>
        <v>62</v>
      </c>
      <c r="B64" s="65" t="s">
        <v>817</v>
      </c>
      <c r="C64" s="66" t="s">
        <v>818</v>
      </c>
      <c r="D64" s="67" t="s">
        <v>363</v>
      </c>
      <c r="E64" s="30" t="s">
        <v>51</v>
      </c>
      <c r="F64" s="30"/>
      <c r="G64" s="30" t="s">
        <v>53</v>
      </c>
      <c r="H64" s="30" t="s">
        <v>54</v>
      </c>
      <c r="I64" s="30"/>
      <c r="J64" s="46">
        <v>45255</v>
      </c>
      <c r="K64" s="68">
        <f t="shared" ca="1" si="0"/>
        <v>2.7369863013698632</v>
      </c>
      <c r="L64" s="46">
        <v>37622</v>
      </c>
      <c r="M64" s="51">
        <f t="shared" ca="1" si="1"/>
        <v>23</v>
      </c>
      <c r="N64" s="21"/>
      <c r="O64" s="30"/>
      <c r="P64" s="30" t="s">
        <v>56</v>
      </c>
      <c r="Q64" s="30" t="s">
        <v>819</v>
      </c>
      <c r="R64" s="30"/>
      <c r="S64" s="21" t="s">
        <v>256</v>
      </c>
      <c r="T64" s="30"/>
      <c r="U64" s="21">
        <v>9962361210</v>
      </c>
      <c r="V64" s="21" t="s">
        <v>820</v>
      </c>
      <c r="W64" s="30"/>
      <c r="X64" s="65">
        <v>5610293296</v>
      </c>
      <c r="Y64" s="21" t="s">
        <v>821</v>
      </c>
      <c r="Z64" s="47"/>
      <c r="AA64" s="21" t="s">
        <v>822</v>
      </c>
      <c r="AB64" s="21" t="s">
        <v>642</v>
      </c>
      <c r="AC64" s="21" t="s">
        <v>643</v>
      </c>
      <c r="AD64" s="21" t="s">
        <v>644</v>
      </c>
      <c r="AE64" s="21"/>
      <c r="AF64" s="21" t="s">
        <v>823</v>
      </c>
      <c r="AG64" s="38">
        <v>7060</v>
      </c>
      <c r="AH64" s="38">
        <v>7981</v>
      </c>
      <c r="AI64" s="30"/>
      <c r="AJ64" s="30"/>
      <c r="AK64" s="30"/>
      <c r="AL64" s="38">
        <v>15041</v>
      </c>
      <c r="AM64" s="38">
        <v>15000</v>
      </c>
      <c r="AN64" s="38">
        <v>1950</v>
      </c>
      <c r="AO64" s="38">
        <v>488.83249999999998</v>
      </c>
      <c r="AP64" s="38">
        <v>1253.4166666666699</v>
      </c>
      <c r="AQ64" s="30"/>
      <c r="AR64" s="30"/>
      <c r="AS64" s="40">
        <v>1203.28</v>
      </c>
      <c r="AT64" s="69">
        <f t="shared" si="2"/>
        <v>19936.529166666671</v>
      </c>
    </row>
    <row r="65" spans="1:46" s="70" customFormat="1" ht="24">
      <c r="A65" s="52">
        <f t="shared" si="3"/>
        <v>63</v>
      </c>
      <c r="B65" s="65" t="s">
        <v>824</v>
      </c>
      <c r="C65" s="66" t="s">
        <v>825</v>
      </c>
      <c r="D65" s="67" t="s">
        <v>363</v>
      </c>
      <c r="E65" s="30" t="s">
        <v>51</v>
      </c>
      <c r="F65" s="30"/>
      <c r="G65" s="30" t="s">
        <v>53</v>
      </c>
      <c r="H65" s="30" t="s">
        <v>54</v>
      </c>
      <c r="I65" s="30"/>
      <c r="J65" s="46">
        <v>45285</v>
      </c>
      <c r="K65" s="68">
        <f t="shared" ca="1" si="0"/>
        <v>2.6547945205479451</v>
      </c>
      <c r="L65" s="46">
        <v>38326</v>
      </c>
      <c r="M65" s="51">
        <f t="shared" ca="1" si="1"/>
        <v>21</v>
      </c>
      <c r="N65" s="21" t="s">
        <v>119</v>
      </c>
      <c r="O65" s="30"/>
      <c r="P65" s="30" t="s">
        <v>56</v>
      </c>
      <c r="Q65" s="30"/>
      <c r="R65" s="30"/>
      <c r="S65" s="21" t="s">
        <v>94</v>
      </c>
      <c r="T65" s="30" t="s">
        <v>826</v>
      </c>
      <c r="U65" s="21">
        <v>9692381489</v>
      </c>
      <c r="V65" s="21" t="s">
        <v>827</v>
      </c>
      <c r="W65" s="30"/>
      <c r="X65" s="65">
        <v>5610337318</v>
      </c>
      <c r="Y65" s="21" t="s">
        <v>828</v>
      </c>
      <c r="Z65" s="47"/>
      <c r="AA65" s="21" t="s">
        <v>829</v>
      </c>
      <c r="AB65" s="21" t="s">
        <v>490</v>
      </c>
      <c r="AC65" s="21" t="s">
        <v>491</v>
      </c>
      <c r="AD65" s="21" t="s">
        <v>492</v>
      </c>
      <c r="AE65" s="21"/>
      <c r="AF65" s="21" t="s">
        <v>830</v>
      </c>
      <c r="AG65" s="38">
        <v>7060</v>
      </c>
      <c r="AH65" s="38">
        <v>7981</v>
      </c>
      <c r="AI65" s="30"/>
      <c r="AJ65" s="30"/>
      <c r="AK65" s="30"/>
      <c r="AL65" s="38">
        <v>15041</v>
      </c>
      <c r="AM65" s="38">
        <v>15000</v>
      </c>
      <c r="AN65" s="38">
        <v>1950</v>
      </c>
      <c r="AO65" s="38">
        <v>488.83249999999998</v>
      </c>
      <c r="AP65" s="38">
        <v>1253.4166666666699</v>
      </c>
      <c r="AQ65" s="30"/>
      <c r="AR65" s="30"/>
      <c r="AS65" s="40">
        <v>1203.28</v>
      </c>
      <c r="AT65" s="69">
        <f t="shared" si="2"/>
        <v>19936.529166666671</v>
      </c>
    </row>
    <row r="66" spans="1:46" s="70" customFormat="1" ht="24">
      <c r="A66" s="52">
        <f t="shared" si="3"/>
        <v>64</v>
      </c>
      <c r="B66" s="65" t="s">
        <v>831</v>
      </c>
      <c r="C66" s="66" t="s">
        <v>832</v>
      </c>
      <c r="D66" s="67" t="s">
        <v>363</v>
      </c>
      <c r="E66" s="30" t="s">
        <v>51</v>
      </c>
      <c r="F66" s="30"/>
      <c r="G66" s="30" t="s">
        <v>53</v>
      </c>
      <c r="H66" s="30" t="s">
        <v>54</v>
      </c>
      <c r="I66" s="30"/>
      <c r="J66" s="46">
        <v>45329</v>
      </c>
      <c r="K66" s="68">
        <f t="shared" ca="1" si="0"/>
        <v>2.5342465753424657</v>
      </c>
      <c r="L66" s="46">
        <v>36957</v>
      </c>
      <c r="M66" s="51">
        <f t="shared" ca="1" si="1"/>
        <v>25</v>
      </c>
      <c r="N66" s="21"/>
      <c r="O66" s="30"/>
      <c r="P66" s="30" t="s">
        <v>56</v>
      </c>
      <c r="Q66" s="30"/>
      <c r="R66" s="30"/>
      <c r="S66" s="21" t="s">
        <v>94</v>
      </c>
      <c r="T66" s="30" t="s">
        <v>833</v>
      </c>
      <c r="U66" s="21">
        <v>9078296677</v>
      </c>
      <c r="V66" s="21" t="s">
        <v>834</v>
      </c>
      <c r="W66" s="30"/>
      <c r="X66" s="65">
        <v>5610431859</v>
      </c>
      <c r="Y66" s="21" t="s">
        <v>835</v>
      </c>
      <c r="Z66" s="47"/>
      <c r="AA66" s="21" t="s">
        <v>836</v>
      </c>
      <c r="AB66" s="21" t="s">
        <v>837</v>
      </c>
      <c r="AC66" s="21" t="s">
        <v>162</v>
      </c>
      <c r="AD66" s="21" t="s">
        <v>838</v>
      </c>
      <c r="AE66" s="21"/>
      <c r="AF66" s="21" t="s">
        <v>839</v>
      </c>
      <c r="AG66" s="38">
        <v>7060</v>
      </c>
      <c r="AH66" s="38">
        <v>7981</v>
      </c>
      <c r="AI66" s="30"/>
      <c r="AJ66" s="30"/>
      <c r="AK66" s="30"/>
      <c r="AL66" s="38">
        <v>15041</v>
      </c>
      <c r="AM66" s="38">
        <v>15000</v>
      </c>
      <c r="AN66" s="38">
        <v>1950</v>
      </c>
      <c r="AO66" s="38">
        <v>488.83249999999998</v>
      </c>
      <c r="AP66" s="38">
        <v>1253.4166666666699</v>
      </c>
      <c r="AQ66" s="30"/>
      <c r="AR66" s="30"/>
      <c r="AS66" s="40">
        <v>1203.28</v>
      </c>
      <c r="AT66" s="69">
        <f t="shared" si="2"/>
        <v>19936.529166666671</v>
      </c>
    </row>
    <row r="67" spans="1:46" s="70" customFormat="1" ht="24">
      <c r="A67" s="52">
        <f t="shared" si="3"/>
        <v>65</v>
      </c>
      <c r="B67" s="65" t="s">
        <v>840</v>
      </c>
      <c r="C67" s="66" t="s">
        <v>841</v>
      </c>
      <c r="D67" s="67" t="s">
        <v>363</v>
      </c>
      <c r="E67" s="30" t="s">
        <v>51</v>
      </c>
      <c r="F67" s="30" t="s">
        <v>69</v>
      </c>
      <c r="G67" s="30" t="s">
        <v>53</v>
      </c>
      <c r="H67" s="30" t="s">
        <v>54</v>
      </c>
      <c r="I67" s="30"/>
      <c r="J67" s="46" t="s">
        <v>842</v>
      </c>
      <c r="K67" s="68" t="e">
        <f t="shared" ref="K67:K130" ca="1" si="4">(TODAY()-J67)/365</f>
        <v>#VALUE!</v>
      </c>
      <c r="L67" s="46">
        <v>30811</v>
      </c>
      <c r="M67" s="51">
        <f t="shared" ref="M67:M130" ca="1" si="5">DATEDIF(L67,TODAY(),"y")</f>
        <v>42</v>
      </c>
      <c r="N67" s="21" t="s">
        <v>511</v>
      </c>
      <c r="O67" s="30"/>
      <c r="P67" s="30" t="s">
        <v>56</v>
      </c>
      <c r="Q67" s="30"/>
      <c r="R67" s="30"/>
      <c r="S67" s="21" t="s">
        <v>94</v>
      </c>
      <c r="T67" s="30" t="s">
        <v>783</v>
      </c>
      <c r="U67" s="21">
        <v>7373976768</v>
      </c>
      <c r="V67" s="21" t="s">
        <v>843</v>
      </c>
      <c r="W67" s="30"/>
      <c r="X67" s="65">
        <v>5610465919</v>
      </c>
      <c r="Y67" s="21" t="s">
        <v>844</v>
      </c>
      <c r="Z67" s="47"/>
      <c r="AA67" s="21" t="s">
        <v>845</v>
      </c>
      <c r="AB67" s="21" t="s">
        <v>99</v>
      </c>
      <c r="AC67" s="21" t="s">
        <v>461</v>
      </c>
      <c r="AD67" s="21" t="s">
        <v>462</v>
      </c>
      <c r="AE67" s="21" t="s">
        <v>846</v>
      </c>
      <c r="AF67" s="21" t="s">
        <v>846</v>
      </c>
      <c r="AG67" s="38">
        <v>7060</v>
      </c>
      <c r="AH67" s="38">
        <v>7981</v>
      </c>
      <c r="AI67" s="30"/>
      <c r="AJ67" s="30"/>
      <c r="AK67" s="30"/>
      <c r="AL67" s="38">
        <v>15041</v>
      </c>
      <c r="AM67" s="38">
        <v>15000</v>
      </c>
      <c r="AN67" s="38">
        <v>1950</v>
      </c>
      <c r="AO67" s="38">
        <v>488.83249999999998</v>
      </c>
      <c r="AP67" s="38">
        <v>1253.4166666666699</v>
      </c>
      <c r="AQ67" s="30"/>
      <c r="AR67" s="30"/>
      <c r="AS67" s="40">
        <v>1203.28</v>
      </c>
      <c r="AT67" s="69">
        <f t="shared" ref="AT67:AT130" si="6">AL67+AN67+AO67+AP67+AR67+AS67</f>
        <v>19936.529166666671</v>
      </c>
    </row>
    <row r="68" spans="1:46" s="70" customFormat="1" ht="24">
      <c r="A68" s="52">
        <f t="shared" ref="A68:A131" si="7">A67+1</f>
        <v>66</v>
      </c>
      <c r="B68" s="65" t="s">
        <v>847</v>
      </c>
      <c r="C68" s="66" t="s">
        <v>848</v>
      </c>
      <c r="D68" s="67" t="s">
        <v>363</v>
      </c>
      <c r="E68" s="30" t="s">
        <v>51</v>
      </c>
      <c r="F68" s="30" t="s">
        <v>695</v>
      </c>
      <c r="G68" s="30" t="s">
        <v>53</v>
      </c>
      <c r="H68" s="30" t="s">
        <v>54</v>
      </c>
      <c r="I68" s="30"/>
      <c r="J68" s="46">
        <v>44999</v>
      </c>
      <c r="K68" s="68">
        <f t="shared" ca="1" si="4"/>
        <v>3.4383561643835616</v>
      </c>
      <c r="L68" s="46">
        <v>35255</v>
      </c>
      <c r="M68" s="51">
        <f t="shared" ca="1" si="5"/>
        <v>30</v>
      </c>
      <c r="N68" s="21"/>
      <c r="O68" s="30"/>
      <c r="P68" s="30" t="s">
        <v>56</v>
      </c>
      <c r="Q68" s="30"/>
      <c r="R68" s="30"/>
      <c r="S68" s="21" t="s">
        <v>94</v>
      </c>
      <c r="T68" s="30" t="s">
        <v>849</v>
      </c>
      <c r="U68" s="21">
        <v>8940682358</v>
      </c>
      <c r="V68" s="21" t="s">
        <v>850</v>
      </c>
      <c r="W68" s="30"/>
      <c r="X68" s="65">
        <v>5610465963</v>
      </c>
      <c r="Y68" s="21" t="s">
        <v>851</v>
      </c>
      <c r="Z68" s="47"/>
      <c r="AA68" s="21" t="s">
        <v>852</v>
      </c>
      <c r="AB68" s="21" t="s">
        <v>490</v>
      </c>
      <c r="AC68" s="21" t="s">
        <v>491</v>
      </c>
      <c r="AD68" s="21" t="s">
        <v>492</v>
      </c>
      <c r="AE68" s="21" t="s">
        <v>853</v>
      </c>
      <c r="AF68" s="21" t="s">
        <v>853</v>
      </c>
      <c r="AG68" s="38">
        <v>7060</v>
      </c>
      <c r="AH68" s="38">
        <v>7981</v>
      </c>
      <c r="AI68" s="30"/>
      <c r="AJ68" s="30"/>
      <c r="AK68" s="30"/>
      <c r="AL68" s="38">
        <v>15041</v>
      </c>
      <c r="AM68" s="38">
        <v>15000</v>
      </c>
      <c r="AN68" s="38">
        <v>1950</v>
      </c>
      <c r="AO68" s="38">
        <v>488.83249999999998</v>
      </c>
      <c r="AP68" s="38">
        <v>1253.4166666666699</v>
      </c>
      <c r="AQ68" s="30"/>
      <c r="AR68" s="30"/>
      <c r="AS68" s="40">
        <v>1203.28</v>
      </c>
      <c r="AT68" s="69">
        <f t="shared" si="6"/>
        <v>19936.529166666671</v>
      </c>
    </row>
    <row r="69" spans="1:46" s="70" customFormat="1" ht="24">
      <c r="A69" s="52">
        <f t="shared" si="7"/>
        <v>67</v>
      </c>
      <c r="B69" s="65" t="s">
        <v>854</v>
      </c>
      <c r="C69" s="66" t="s">
        <v>855</v>
      </c>
      <c r="D69" s="67" t="s">
        <v>363</v>
      </c>
      <c r="E69" s="30" t="s">
        <v>51</v>
      </c>
      <c r="F69" s="30" t="s">
        <v>105</v>
      </c>
      <c r="G69" s="30" t="s">
        <v>53</v>
      </c>
      <c r="H69" s="30" t="s">
        <v>54</v>
      </c>
      <c r="I69" s="30"/>
      <c r="J69" s="46">
        <v>45367</v>
      </c>
      <c r="K69" s="68">
        <f t="shared" ca="1" si="4"/>
        <v>2.43013698630137</v>
      </c>
      <c r="L69" s="46">
        <v>38441</v>
      </c>
      <c r="M69" s="51">
        <f t="shared" ca="1" si="5"/>
        <v>21</v>
      </c>
      <c r="N69" s="21"/>
      <c r="O69" s="30"/>
      <c r="P69" s="30" t="s">
        <v>56</v>
      </c>
      <c r="Q69" s="30" t="s">
        <v>326</v>
      </c>
      <c r="R69" s="30"/>
      <c r="S69" s="21" t="s">
        <v>256</v>
      </c>
      <c r="T69" s="30"/>
      <c r="U69" s="21">
        <v>9042366810</v>
      </c>
      <c r="V69" s="21" t="s">
        <v>856</v>
      </c>
      <c r="W69" s="30"/>
      <c r="X69" s="65">
        <v>5610472571</v>
      </c>
      <c r="Y69" s="21" t="s">
        <v>857</v>
      </c>
      <c r="Z69" s="47"/>
      <c r="AA69" s="21" t="s">
        <v>858</v>
      </c>
      <c r="AB69" s="21" t="s">
        <v>111</v>
      </c>
      <c r="AC69" s="21" t="s">
        <v>112</v>
      </c>
      <c r="AD69" s="21" t="s">
        <v>516</v>
      </c>
      <c r="AE69" s="21" t="s">
        <v>859</v>
      </c>
      <c r="AF69" s="21" t="s">
        <v>859</v>
      </c>
      <c r="AG69" s="38">
        <v>7060</v>
      </c>
      <c r="AH69" s="38">
        <v>7981</v>
      </c>
      <c r="AI69" s="30"/>
      <c r="AJ69" s="30"/>
      <c r="AK69" s="30"/>
      <c r="AL69" s="38">
        <v>15041</v>
      </c>
      <c r="AM69" s="38">
        <v>15000</v>
      </c>
      <c r="AN69" s="38">
        <v>1950</v>
      </c>
      <c r="AO69" s="38">
        <v>488.83249999999998</v>
      </c>
      <c r="AP69" s="38">
        <v>1253.4166666666699</v>
      </c>
      <c r="AQ69" s="30"/>
      <c r="AR69" s="30"/>
      <c r="AS69" s="40">
        <v>1203.28</v>
      </c>
      <c r="AT69" s="69">
        <f t="shared" si="6"/>
        <v>19936.529166666671</v>
      </c>
    </row>
    <row r="70" spans="1:46" s="70" customFormat="1" ht="24">
      <c r="A70" s="52">
        <f t="shared" si="7"/>
        <v>68</v>
      </c>
      <c r="B70" s="65" t="s">
        <v>860</v>
      </c>
      <c r="C70" s="66" t="s">
        <v>861</v>
      </c>
      <c r="D70" s="67" t="s">
        <v>363</v>
      </c>
      <c r="E70" s="30" t="s">
        <v>51</v>
      </c>
      <c r="F70" s="30" t="s">
        <v>466</v>
      </c>
      <c r="G70" s="30" t="s">
        <v>53</v>
      </c>
      <c r="H70" s="30" t="s">
        <v>54</v>
      </c>
      <c r="I70" s="30"/>
      <c r="J70" s="46">
        <v>45367</v>
      </c>
      <c r="K70" s="68">
        <f t="shared" ca="1" si="4"/>
        <v>2.43013698630137</v>
      </c>
      <c r="L70" s="46">
        <v>37315</v>
      </c>
      <c r="M70" s="51">
        <f t="shared" ca="1" si="5"/>
        <v>24</v>
      </c>
      <c r="N70" s="21" t="s">
        <v>862</v>
      </c>
      <c r="O70" s="30"/>
      <c r="P70" s="30" t="s">
        <v>56</v>
      </c>
      <c r="Q70" s="30" t="s">
        <v>863</v>
      </c>
      <c r="R70" s="30"/>
      <c r="S70" s="21" t="s">
        <v>256</v>
      </c>
      <c r="T70" s="30"/>
      <c r="U70" s="21">
        <v>9597286592</v>
      </c>
      <c r="V70" s="21" t="s">
        <v>864</v>
      </c>
      <c r="W70" s="30"/>
      <c r="X70" s="65">
        <v>5610472207</v>
      </c>
      <c r="Y70" s="21" t="s">
        <v>865</v>
      </c>
      <c r="Z70" s="47"/>
      <c r="AA70" s="21" t="s">
        <v>866</v>
      </c>
      <c r="AB70" s="21" t="s">
        <v>260</v>
      </c>
      <c r="AC70" s="21" t="s">
        <v>162</v>
      </c>
      <c r="AD70" s="21" t="s">
        <v>262</v>
      </c>
      <c r="AE70" s="21" t="s">
        <v>867</v>
      </c>
      <c r="AF70" s="21" t="s">
        <v>867</v>
      </c>
      <c r="AG70" s="38">
        <v>7060</v>
      </c>
      <c r="AH70" s="38">
        <v>7981</v>
      </c>
      <c r="AI70" s="30"/>
      <c r="AJ70" s="30"/>
      <c r="AK70" s="30"/>
      <c r="AL70" s="38">
        <v>15041</v>
      </c>
      <c r="AM70" s="38">
        <v>15000</v>
      </c>
      <c r="AN70" s="38">
        <v>1950</v>
      </c>
      <c r="AO70" s="38">
        <v>488.83249999999998</v>
      </c>
      <c r="AP70" s="38">
        <v>1253.4166666666699</v>
      </c>
      <c r="AQ70" s="30"/>
      <c r="AR70" s="30"/>
      <c r="AS70" s="40">
        <v>1203.28</v>
      </c>
      <c r="AT70" s="69">
        <f t="shared" si="6"/>
        <v>19936.529166666671</v>
      </c>
    </row>
    <row r="71" spans="1:46" s="70" customFormat="1" ht="24">
      <c r="A71" s="52">
        <f t="shared" si="7"/>
        <v>69</v>
      </c>
      <c r="B71" s="65" t="s">
        <v>868</v>
      </c>
      <c r="C71" s="66" t="s">
        <v>869</v>
      </c>
      <c r="D71" s="67" t="s">
        <v>363</v>
      </c>
      <c r="E71" s="30" t="s">
        <v>51</v>
      </c>
      <c r="F71" s="30" t="s">
        <v>69</v>
      </c>
      <c r="G71" s="30" t="s">
        <v>53</v>
      </c>
      <c r="H71" s="30" t="s">
        <v>54</v>
      </c>
      <c r="I71" s="30"/>
      <c r="J71" s="46">
        <v>45370</v>
      </c>
      <c r="K71" s="68">
        <f t="shared" ca="1" si="4"/>
        <v>2.4219178082191779</v>
      </c>
      <c r="L71" s="46">
        <v>36438</v>
      </c>
      <c r="M71" s="51">
        <f t="shared" ca="1" si="5"/>
        <v>26</v>
      </c>
      <c r="N71" s="21"/>
      <c r="O71" s="30"/>
      <c r="P71" s="30" t="s">
        <v>56</v>
      </c>
      <c r="Q71" s="30"/>
      <c r="R71" s="30"/>
      <c r="S71" s="21" t="s">
        <v>94</v>
      </c>
      <c r="T71" s="30" t="s">
        <v>870</v>
      </c>
      <c r="U71" s="21">
        <v>7855801717</v>
      </c>
      <c r="V71" s="21" t="s">
        <v>871</v>
      </c>
      <c r="W71" s="30"/>
      <c r="X71" s="65">
        <v>5610474082</v>
      </c>
      <c r="Y71" s="21" t="s">
        <v>872</v>
      </c>
      <c r="Z71" s="47"/>
      <c r="AA71" s="21" t="s">
        <v>873</v>
      </c>
      <c r="AB71" s="21" t="s">
        <v>874</v>
      </c>
      <c r="AC71" s="21" t="s">
        <v>461</v>
      </c>
      <c r="AD71" s="21" t="s">
        <v>875</v>
      </c>
      <c r="AE71" s="21" t="s">
        <v>876</v>
      </c>
      <c r="AF71" s="21" t="s">
        <v>876</v>
      </c>
      <c r="AG71" s="38">
        <v>7060</v>
      </c>
      <c r="AH71" s="38">
        <v>7981</v>
      </c>
      <c r="AI71" s="30"/>
      <c r="AJ71" s="30"/>
      <c r="AK71" s="30"/>
      <c r="AL71" s="38">
        <v>15041</v>
      </c>
      <c r="AM71" s="38">
        <v>15000</v>
      </c>
      <c r="AN71" s="38">
        <v>1950</v>
      </c>
      <c r="AO71" s="38">
        <v>488.83249999999998</v>
      </c>
      <c r="AP71" s="38">
        <v>1253.4166666666699</v>
      </c>
      <c r="AQ71" s="30"/>
      <c r="AR71" s="30"/>
      <c r="AS71" s="40">
        <v>1203.28</v>
      </c>
      <c r="AT71" s="69">
        <f t="shared" si="6"/>
        <v>19936.529166666671</v>
      </c>
    </row>
    <row r="72" spans="1:46" s="70" customFormat="1" ht="24">
      <c r="A72" s="52">
        <f t="shared" si="7"/>
        <v>70</v>
      </c>
      <c r="B72" s="65" t="s">
        <v>877</v>
      </c>
      <c r="C72" s="66" t="s">
        <v>878</v>
      </c>
      <c r="D72" s="67" t="s">
        <v>82</v>
      </c>
      <c r="E72" s="30" t="s">
        <v>51</v>
      </c>
      <c r="F72" s="30"/>
      <c r="G72" s="30" t="s">
        <v>53</v>
      </c>
      <c r="H72" s="30" t="s">
        <v>54</v>
      </c>
      <c r="I72" s="30"/>
      <c r="J72" s="46">
        <v>45370</v>
      </c>
      <c r="K72" s="68">
        <f t="shared" ca="1" si="4"/>
        <v>2.4219178082191779</v>
      </c>
      <c r="L72" s="46">
        <v>36775</v>
      </c>
      <c r="M72" s="51">
        <f t="shared" ca="1" si="5"/>
        <v>25</v>
      </c>
      <c r="N72" s="21"/>
      <c r="O72" s="30"/>
      <c r="P72" s="30" t="s">
        <v>56</v>
      </c>
      <c r="Q72" s="30"/>
      <c r="R72" s="30"/>
      <c r="S72" s="21" t="s">
        <v>94</v>
      </c>
      <c r="T72" s="30" t="s">
        <v>879</v>
      </c>
      <c r="U72" s="21">
        <v>7855801717</v>
      </c>
      <c r="V72" s="21" t="s">
        <v>880</v>
      </c>
      <c r="W72" s="30"/>
      <c r="X72" s="65">
        <v>5610474531</v>
      </c>
      <c r="Y72" s="21" t="s">
        <v>881</v>
      </c>
      <c r="Z72" s="47"/>
      <c r="AA72" s="21" t="s">
        <v>882</v>
      </c>
      <c r="AB72" s="21" t="s">
        <v>883</v>
      </c>
      <c r="AC72" s="21" t="s">
        <v>461</v>
      </c>
      <c r="AD72" s="21" t="s">
        <v>884</v>
      </c>
      <c r="AE72" s="21"/>
      <c r="AF72" s="21" t="s">
        <v>885</v>
      </c>
      <c r="AG72" s="38">
        <v>7060</v>
      </c>
      <c r="AH72" s="38">
        <v>7981</v>
      </c>
      <c r="AI72" s="30"/>
      <c r="AJ72" s="30"/>
      <c r="AK72" s="30"/>
      <c r="AL72" s="38">
        <v>15041</v>
      </c>
      <c r="AM72" s="38">
        <v>15000</v>
      </c>
      <c r="AN72" s="38">
        <v>1950</v>
      </c>
      <c r="AO72" s="38">
        <v>488.83249999999998</v>
      </c>
      <c r="AP72" s="38">
        <v>1253.4166666666699</v>
      </c>
      <c r="AQ72" s="30"/>
      <c r="AR72" s="30"/>
      <c r="AS72" s="40">
        <v>1203.28</v>
      </c>
      <c r="AT72" s="69">
        <f t="shared" si="6"/>
        <v>19936.529166666671</v>
      </c>
    </row>
    <row r="73" spans="1:46" s="70" customFormat="1" ht="24">
      <c r="A73" s="52">
        <f t="shared" si="7"/>
        <v>71</v>
      </c>
      <c r="B73" s="65" t="s">
        <v>886</v>
      </c>
      <c r="C73" s="66" t="s">
        <v>887</v>
      </c>
      <c r="D73" s="67" t="s">
        <v>363</v>
      </c>
      <c r="E73" s="30" t="s">
        <v>51</v>
      </c>
      <c r="F73" s="30" t="s">
        <v>136</v>
      </c>
      <c r="G73" s="30" t="s">
        <v>53</v>
      </c>
      <c r="H73" s="30" t="s">
        <v>54</v>
      </c>
      <c r="I73" s="30"/>
      <c r="J73" s="46">
        <v>45370</v>
      </c>
      <c r="K73" s="68">
        <f t="shared" ca="1" si="4"/>
        <v>2.4219178082191779</v>
      </c>
      <c r="L73" s="46">
        <v>30507</v>
      </c>
      <c r="M73" s="51">
        <f t="shared" ca="1" si="5"/>
        <v>43</v>
      </c>
      <c r="N73" s="21"/>
      <c r="O73" s="30"/>
      <c r="P73" s="30" t="s">
        <v>56</v>
      </c>
      <c r="Q73" s="30"/>
      <c r="R73" s="30"/>
      <c r="S73" s="21" t="s">
        <v>94</v>
      </c>
      <c r="T73" s="30" t="s">
        <v>72</v>
      </c>
      <c r="U73" s="21">
        <v>9159307901</v>
      </c>
      <c r="V73" s="21" t="s">
        <v>73</v>
      </c>
      <c r="W73" s="30"/>
      <c r="X73" s="65">
        <v>5610477443</v>
      </c>
      <c r="Y73" s="21" t="s">
        <v>888</v>
      </c>
      <c r="Z73" s="47"/>
      <c r="AA73" s="21" t="s">
        <v>75</v>
      </c>
      <c r="AB73" s="21" t="s">
        <v>76</v>
      </c>
      <c r="AC73" s="21" t="s">
        <v>77</v>
      </c>
      <c r="AD73" s="21" t="s">
        <v>78</v>
      </c>
      <c r="AE73" s="21" t="s">
        <v>79</v>
      </c>
      <c r="AF73" s="21" t="s">
        <v>79</v>
      </c>
      <c r="AG73" s="38">
        <v>7060</v>
      </c>
      <c r="AH73" s="38">
        <v>7981</v>
      </c>
      <c r="AI73" s="30"/>
      <c r="AJ73" s="30"/>
      <c r="AK73" s="30"/>
      <c r="AL73" s="38">
        <v>15041</v>
      </c>
      <c r="AM73" s="38">
        <v>15000</v>
      </c>
      <c r="AN73" s="38">
        <v>1950</v>
      </c>
      <c r="AO73" s="38">
        <v>488.83249999999998</v>
      </c>
      <c r="AP73" s="38">
        <v>1253.4166666666699</v>
      </c>
      <c r="AQ73" s="30"/>
      <c r="AR73" s="30"/>
      <c r="AS73" s="40">
        <v>1203.28</v>
      </c>
      <c r="AT73" s="69">
        <f t="shared" si="6"/>
        <v>19936.529166666671</v>
      </c>
    </row>
    <row r="74" spans="1:46" s="70" customFormat="1" ht="24">
      <c r="A74" s="52">
        <f t="shared" si="7"/>
        <v>72</v>
      </c>
      <c r="B74" s="65" t="s">
        <v>889</v>
      </c>
      <c r="C74" s="66" t="s">
        <v>890</v>
      </c>
      <c r="D74" s="67" t="s">
        <v>363</v>
      </c>
      <c r="E74" s="30" t="s">
        <v>51</v>
      </c>
      <c r="F74" s="30"/>
      <c r="G74" s="30" t="s">
        <v>53</v>
      </c>
      <c r="H74" s="30" t="s">
        <v>54</v>
      </c>
      <c r="I74" s="30"/>
      <c r="J74" s="46">
        <v>45372</v>
      </c>
      <c r="K74" s="68">
        <f t="shared" ca="1" si="4"/>
        <v>2.4164383561643836</v>
      </c>
      <c r="L74" s="46" t="s">
        <v>891</v>
      </c>
      <c r="M74" s="51">
        <f t="shared" ca="1" si="5"/>
        <v>34</v>
      </c>
      <c r="N74" s="21"/>
      <c r="O74" s="30"/>
      <c r="P74" s="30" t="s">
        <v>56</v>
      </c>
      <c r="Q74" s="30"/>
      <c r="R74" s="30"/>
      <c r="S74" s="21" t="s">
        <v>94</v>
      </c>
      <c r="T74" s="30" t="s">
        <v>892</v>
      </c>
      <c r="U74" s="21">
        <v>8391931889</v>
      </c>
      <c r="V74" s="21" t="s">
        <v>893</v>
      </c>
      <c r="W74" s="30"/>
      <c r="X74" s="65">
        <v>5610313643</v>
      </c>
      <c r="Y74" s="21" t="s">
        <v>894</v>
      </c>
      <c r="Z74" s="47"/>
      <c r="AA74" s="21" t="s">
        <v>895</v>
      </c>
      <c r="AB74" s="21" t="s">
        <v>603</v>
      </c>
      <c r="AC74" s="21" t="s">
        <v>77</v>
      </c>
      <c r="AD74" s="21" t="s">
        <v>896</v>
      </c>
      <c r="AE74" s="21"/>
      <c r="AF74" s="21" t="s">
        <v>897</v>
      </c>
      <c r="AG74" s="38">
        <v>7060</v>
      </c>
      <c r="AH74" s="38">
        <v>7981</v>
      </c>
      <c r="AI74" s="30"/>
      <c r="AJ74" s="30"/>
      <c r="AK74" s="30"/>
      <c r="AL74" s="38">
        <v>15041</v>
      </c>
      <c r="AM74" s="38">
        <v>15000</v>
      </c>
      <c r="AN74" s="38">
        <v>1950</v>
      </c>
      <c r="AO74" s="38">
        <v>488.83249999999998</v>
      </c>
      <c r="AP74" s="38">
        <v>1253.4166666666699</v>
      </c>
      <c r="AQ74" s="30"/>
      <c r="AR74" s="30"/>
      <c r="AS74" s="40">
        <v>1203.28</v>
      </c>
      <c r="AT74" s="69">
        <f t="shared" si="6"/>
        <v>19936.529166666671</v>
      </c>
    </row>
    <row r="75" spans="1:46" s="70" customFormat="1" ht="24">
      <c r="A75" s="52">
        <f t="shared" si="7"/>
        <v>73</v>
      </c>
      <c r="B75" s="65" t="s">
        <v>898</v>
      </c>
      <c r="C75" s="66" t="s">
        <v>899</v>
      </c>
      <c r="D75" s="67" t="s">
        <v>117</v>
      </c>
      <c r="E75" s="30" t="s">
        <v>51</v>
      </c>
      <c r="F75" s="70" t="s">
        <v>136</v>
      </c>
      <c r="G75" s="30" t="s">
        <v>53</v>
      </c>
      <c r="H75" s="30" t="s">
        <v>54</v>
      </c>
      <c r="I75" s="30"/>
      <c r="J75" s="46">
        <v>45393</v>
      </c>
      <c r="K75" s="68">
        <f t="shared" ca="1" si="4"/>
        <v>2.3589041095890413</v>
      </c>
      <c r="L75" s="46">
        <v>37131</v>
      </c>
      <c r="M75" s="51">
        <f t="shared" ca="1" si="5"/>
        <v>24</v>
      </c>
      <c r="N75" s="21"/>
      <c r="O75" s="30"/>
      <c r="P75" s="30" t="s">
        <v>56</v>
      </c>
      <c r="Q75" s="30" t="s">
        <v>900</v>
      </c>
      <c r="R75" s="30"/>
      <c r="S75" s="21" t="s">
        <v>256</v>
      </c>
      <c r="T75" s="30"/>
      <c r="U75" s="21">
        <v>9003679726</v>
      </c>
      <c r="V75" s="21" t="s">
        <v>901</v>
      </c>
      <c r="W75" s="30"/>
      <c r="X75" s="65">
        <v>5610511737</v>
      </c>
      <c r="Y75" s="21" t="s">
        <v>902</v>
      </c>
      <c r="Z75" s="47"/>
      <c r="AA75" s="21" t="s">
        <v>903</v>
      </c>
      <c r="AB75" s="21" t="s">
        <v>904</v>
      </c>
      <c r="AC75" s="21" t="s">
        <v>905</v>
      </c>
      <c r="AD75" s="21" t="s">
        <v>136</v>
      </c>
      <c r="AE75" s="21" t="s">
        <v>906</v>
      </c>
      <c r="AF75" s="21" t="s">
        <v>906</v>
      </c>
      <c r="AG75" s="38">
        <v>7060</v>
      </c>
      <c r="AH75" s="38">
        <v>7981</v>
      </c>
      <c r="AI75" s="30"/>
      <c r="AJ75" s="30"/>
      <c r="AK75" s="30"/>
      <c r="AL75" s="38">
        <v>15041</v>
      </c>
      <c r="AM75" s="38">
        <v>15000</v>
      </c>
      <c r="AN75" s="38">
        <v>1950</v>
      </c>
      <c r="AO75" s="38">
        <v>488.83249999999998</v>
      </c>
      <c r="AP75" s="38">
        <v>1253.4166666666699</v>
      </c>
      <c r="AQ75" s="30"/>
      <c r="AR75" s="30"/>
      <c r="AS75" s="40">
        <v>1203.28</v>
      </c>
      <c r="AT75" s="69">
        <f t="shared" si="6"/>
        <v>19936.529166666671</v>
      </c>
    </row>
    <row r="76" spans="1:46" s="70" customFormat="1" ht="24">
      <c r="A76" s="52">
        <f t="shared" si="7"/>
        <v>74</v>
      </c>
      <c r="B76" s="65" t="s">
        <v>907</v>
      </c>
      <c r="C76" s="66" t="s">
        <v>892</v>
      </c>
      <c r="D76" s="67" t="s">
        <v>117</v>
      </c>
      <c r="E76" s="30" t="s">
        <v>51</v>
      </c>
      <c r="F76" s="30"/>
      <c r="G76" s="30" t="s">
        <v>53</v>
      </c>
      <c r="H76" s="30" t="s">
        <v>54</v>
      </c>
      <c r="I76" s="30"/>
      <c r="J76" s="46">
        <v>45372</v>
      </c>
      <c r="K76" s="68">
        <f t="shared" ca="1" si="4"/>
        <v>2.4164383561643836</v>
      </c>
      <c r="L76" s="46">
        <v>31478</v>
      </c>
      <c r="M76" s="51">
        <f t="shared" ca="1" si="5"/>
        <v>40</v>
      </c>
      <c r="N76" s="21"/>
      <c r="O76" s="30"/>
      <c r="P76" s="30" t="s">
        <v>56</v>
      </c>
      <c r="Q76" s="30"/>
      <c r="R76" s="30"/>
      <c r="S76" s="21" t="s">
        <v>94</v>
      </c>
      <c r="T76" s="30" t="s">
        <v>908</v>
      </c>
      <c r="U76" s="21">
        <v>9883302905</v>
      </c>
      <c r="V76" s="21" t="s">
        <v>909</v>
      </c>
      <c r="W76" s="30"/>
      <c r="X76" s="65">
        <v>5610313624</v>
      </c>
      <c r="Y76" s="21" t="s">
        <v>910</v>
      </c>
      <c r="Z76" s="47"/>
      <c r="AA76" s="21" t="s">
        <v>911</v>
      </c>
      <c r="AB76" s="21" t="s">
        <v>603</v>
      </c>
      <c r="AC76" s="21" t="s">
        <v>77</v>
      </c>
      <c r="AD76" s="21" t="s">
        <v>896</v>
      </c>
      <c r="AE76" s="21"/>
      <c r="AF76" s="21" t="s">
        <v>897</v>
      </c>
      <c r="AG76" s="38">
        <v>7060</v>
      </c>
      <c r="AH76" s="38">
        <v>7981</v>
      </c>
      <c r="AI76" s="30"/>
      <c r="AJ76" s="30"/>
      <c r="AK76" s="30"/>
      <c r="AL76" s="38">
        <v>15041</v>
      </c>
      <c r="AM76" s="38">
        <v>15000</v>
      </c>
      <c r="AN76" s="38">
        <v>1950</v>
      </c>
      <c r="AO76" s="38">
        <v>488.83249999999998</v>
      </c>
      <c r="AP76" s="38">
        <v>1253.4166666666699</v>
      </c>
      <c r="AQ76" s="30"/>
      <c r="AR76" s="30"/>
      <c r="AS76" s="40">
        <v>1203.28</v>
      </c>
      <c r="AT76" s="69">
        <f t="shared" si="6"/>
        <v>19936.529166666671</v>
      </c>
    </row>
    <row r="77" spans="1:46" s="70" customFormat="1" ht="24">
      <c r="A77" s="52">
        <f t="shared" si="7"/>
        <v>75</v>
      </c>
      <c r="B77" s="65" t="s">
        <v>912</v>
      </c>
      <c r="C77" s="66" t="s">
        <v>913</v>
      </c>
      <c r="D77" s="67" t="s">
        <v>363</v>
      </c>
      <c r="E77" s="30" t="s">
        <v>51</v>
      </c>
      <c r="F77" s="30"/>
      <c r="G77" s="30" t="s">
        <v>53</v>
      </c>
      <c r="H77" s="30" t="s">
        <v>54</v>
      </c>
      <c r="I77" s="30"/>
      <c r="J77" s="46">
        <v>45481</v>
      </c>
      <c r="K77" s="68">
        <f t="shared" ca="1" si="4"/>
        <v>2.117808219178082</v>
      </c>
      <c r="L77" s="46">
        <v>37622</v>
      </c>
      <c r="M77" s="51">
        <f t="shared" ca="1" si="5"/>
        <v>23</v>
      </c>
      <c r="N77" s="21"/>
      <c r="O77" s="30"/>
      <c r="P77" s="30" t="s">
        <v>56</v>
      </c>
      <c r="Q77" s="30" t="s">
        <v>819</v>
      </c>
      <c r="R77" s="30"/>
      <c r="S77" s="21" t="s">
        <v>256</v>
      </c>
      <c r="T77" s="30"/>
      <c r="U77" s="21">
        <v>9962361210</v>
      </c>
      <c r="V77" s="21" t="s">
        <v>820</v>
      </c>
      <c r="W77" s="30"/>
      <c r="X77" s="65">
        <v>5610293296</v>
      </c>
      <c r="Y77" s="21" t="s">
        <v>821</v>
      </c>
      <c r="Z77" s="47"/>
      <c r="AA77" s="21" t="s">
        <v>822</v>
      </c>
      <c r="AB77" s="21" t="s">
        <v>642</v>
      </c>
      <c r="AC77" s="21" t="s">
        <v>643</v>
      </c>
      <c r="AD77" s="21" t="s">
        <v>644</v>
      </c>
      <c r="AE77" s="21"/>
      <c r="AF77" s="21" t="s">
        <v>823</v>
      </c>
      <c r="AG77" s="38">
        <v>7060</v>
      </c>
      <c r="AH77" s="38">
        <v>7981</v>
      </c>
      <c r="AI77" s="30"/>
      <c r="AJ77" s="30"/>
      <c r="AK77" s="30"/>
      <c r="AL77" s="38">
        <v>15041</v>
      </c>
      <c r="AM77" s="38">
        <v>15000</v>
      </c>
      <c r="AN77" s="38">
        <v>1950</v>
      </c>
      <c r="AO77" s="38">
        <v>488.83249999999998</v>
      </c>
      <c r="AP77" s="38">
        <v>1253.4166666666699</v>
      </c>
      <c r="AQ77" s="30"/>
      <c r="AR77" s="30"/>
      <c r="AS77" s="40">
        <v>1203.28</v>
      </c>
      <c r="AT77" s="69">
        <f t="shared" si="6"/>
        <v>19936.529166666671</v>
      </c>
    </row>
    <row r="78" spans="1:46" s="70" customFormat="1" ht="24">
      <c r="A78" s="52">
        <f t="shared" si="7"/>
        <v>76</v>
      </c>
      <c r="B78" s="65" t="s">
        <v>914</v>
      </c>
      <c r="C78" s="66" t="s">
        <v>915</v>
      </c>
      <c r="D78" s="67" t="s">
        <v>117</v>
      </c>
      <c r="E78" s="30" t="s">
        <v>51</v>
      </c>
      <c r="F78" s="30"/>
      <c r="G78" s="30" t="s">
        <v>53</v>
      </c>
      <c r="H78" s="30" t="s">
        <v>916</v>
      </c>
      <c r="I78" s="30"/>
      <c r="J78" s="46">
        <v>45329</v>
      </c>
      <c r="K78" s="68">
        <f t="shared" ca="1" si="4"/>
        <v>2.5342465753424657</v>
      </c>
      <c r="L78" s="46">
        <v>36244</v>
      </c>
      <c r="M78" s="51">
        <f t="shared" ca="1" si="5"/>
        <v>27</v>
      </c>
      <c r="N78" s="21" t="s">
        <v>207</v>
      </c>
      <c r="O78" s="30"/>
      <c r="P78" s="30" t="s">
        <v>56</v>
      </c>
      <c r="Q78" s="30"/>
      <c r="R78" s="30"/>
      <c r="S78" s="21" t="s">
        <v>94</v>
      </c>
      <c r="T78" s="30" t="s">
        <v>917</v>
      </c>
      <c r="U78" s="21">
        <v>6204288201</v>
      </c>
      <c r="V78" s="21" t="s">
        <v>918</v>
      </c>
      <c r="W78" s="30"/>
      <c r="X78" s="65">
        <v>5610424437</v>
      </c>
      <c r="Y78" s="21" t="s">
        <v>919</v>
      </c>
      <c r="Z78" s="47"/>
      <c r="AA78" s="21" t="s">
        <v>920</v>
      </c>
      <c r="AB78" s="21" t="s">
        <v>921</v>
      </c>
      <c r="AC78" s="21" t="s">
        <v>461</v>
      </c>
      <c r="AD78" s="21" t="s">
        <v>922</v>
      </c>
      <c r="AE78" s="21"/>
      <c r="AF78" s="21" t="s">
        <v>923</v>
      </c>
      <c r="AG78" s="38">
        <v>7060</v>
      </c>
      <c r="AH78" s="38">
        <v>7981</v>
      </c>
      <c r="AI78" s="30"/>
      <c r="AJ78" s="30"/>
      <c r="AK78" s="30"/>
      <c r="AL78" s="38">
        <v>15041</v>
      </c>
      <c r="AM78" s="38">
        <v>15000</v>
      </c>
      <c r="AN78" s="38">
        <v>1950</v>
      </c>
      <c r="AO78" s="38">
        <v>488.83249999999998</v>
      </c>
      <c r="AP78" s="38">
        <v>1253.4166666666699</v>
      </c>
      <c r="AQ78" s="30"/>
      <c r="AR78" s="30"/>
      <c r="AS78" s="40">
        <v>1203.28</v>
      </c>
      <c r="AT78" s="69">
        <f t="shared" si="6"/>
        <v>19936.529166666671</v>
      </c>
    </row>
    <row r="79" spans="1:46" s="70" customFormat="1" ht="24">
      <c r="A79" s="52">
        <f t="shared" si="7"/>
        <v>77</v>
      </c>
      <c r="B79" s="65" t="s">
        <v>924</v>
      </c>
      <c r="C79" s="66" t="s">
        <v>925</v>
      </c>
      <c r="D79" s="67" t="s">
        <v>117</v>
      </c>
      <c r="E79" s="30" t="s">
        <v>51</v>
      </c>
      <c r="F79" s="30"/>
      <c r="G79" s="30" t="s">
        <v>53</v>
      </c>
      <c r="H79" s="30" t="s">
        <v>54</v>
      </c>
      <c r="I79" s="30"/>
      <c r="J79" s="46">
        <v>45523</v>
      </c>
      <c r="K79" s="68">
        <f t="shared" ca="1" si="4"/>
        <v>2.0027397260273974</v>
      </c>
      <c r="L79" s="46">
        <v>38541</v>
      </c>
      <c r="M79" s="51">
        <f t="shared" ca="1" si="5"/>
        <v>21</v>
      </c>
      <c r="N79" s="21" t="s">
        <v>207</v>
      </c>
      <c r="O79" s="30"/>
      <c r="P79" s="30" t="s">
        <v>56</v>
      </c>
      <c r="Q79" s="30" t="s">
        <v>926</v>
      </c>
      <c r="R79" s="30"/>
      <c r="S79" s="21" t="s">
        <v>256</v>
      </c>
      <c r="T79" s="30"/>
      <c r="U79" s="21">
        <v>7209973746</v>
      </c>
      <c r="V79" s="21" t="s">
        <v>927</v>
      </c>
      <c r="W79" s="30"/>
      <c r="X79" s="65">
        <v>5610740041</v>
      </c>
      <c r="Y79" s="21" t="s">
        <v>928</v>
      </c>
      <c r="Z79" s="47"/>
      <c r="AA79" s="21" t="s">
        <v>929</v>
      </c>
      <c r="AB79" s="21" t="s">
        <v>930</v>
      </c>
      <c r="AC79" s="21" t="s">
        <v>931</v>
      </c>
      <c r="AD79" s="21" t="s">
        <v>932</v>
      </c>
      <c r="AE79" s="21"/>
      <c r="AF79" s="21" t="s">
        <v>933</v>
      </c>
      <c r="AG79" s="38">
        <v>7060</v>
      </c>
      <c r="AH79" s="38">
        <v>7981</v>
      </c>
      <c r="AI79" s="30"/>
      <c r="AJ79" s="30"/>
      <c r="AK79" s="30"/>
      <c r="AL79" s="38">
        <v>15041</v>
      </c>
      <c r="AM79" s="38">
        <v>15000</v>
      </c>
      <c r="AN79" s="38">
        <v>1950</v>
      </c>
      <c r="AO79" s="38">
        <v>488.83249999999998</v>
      </c>
      <c r="AP79" s="38">
        <v>1253.4166666666699</v>
      </c>
      <c r="AQ79" s="30"/>
      <c r="AR79" s="30"/>
      <c r="AS79" s="40">
        <v>1203.28</v>
      </c>
      <c r="AT79" s="69">
        <f t="shared" si="6"/>
        <v>19936.529166666671</v>
      </c>
    </row>
    <row r="80" spans="1:46" s="70" customFormat="1" ht="24">
      <c r="A80" s="52">
        <f t="shared" si="7"/>
        <v>78</v>
      </c>
      <c r="B80" s="65" t="s">
        <v>934</v>
      </c>
      <c r="C80" s="66" t="s">
        <v>935</v>
      </c>
      <c r="D80" s="67" t="s">
        <v>117</v>
      </c>
      <c r="E80" s="30" t="s">
        <v>51</v>
      </c>
      <c r="F80" s="30"/>
      <c r="G80" s="30" t="s">
        <v>53</v>
      </c>
      <c r="H80" s="30" t="s">
        <v>54</v>
      </c>
      <c r="I80" s="30"/>
      <c r="J80" s="46">
        <v>45523</v>
      </c>
      <c r="K80" s="68">
        <f t="shared" ca="1" si="4"/>
        <v>2.0027397260273974</v>
      </c>
      <c r="L80" s="46">
        <v>36526</v>
      </c>
      <c r="M80" s="51">
        <f t="shared" ca="1" si="5"/>
        <v>26</v>
      </c>
      <c r="N80" s="21" t="s">
        <v>414</v>
      </c>
      <c r="O80" s="30"/>
      <c r="P80" s="30" t="s">
        <v>56</v>
      </c>
      <c r="Q80" s="30"/>
      <c r="R80" s="30"/>
      <c r="S80" s="21" t="s">
        <v>94</v>
      </c>
      <c r="T80" s="30" t="s">
        <v>936</v>
      </c>
      <c r="U80" s="21">
        <v>7461865188</v>
      </c>
      <c r="V80" s="21" t="s">
        <v>937</v>
      </c>
      <c r="W80" s="30"/>
      <c r="X80" s="65">
        <v>5610740097</v>
      </c>
      <c r="Y80" s="21" t="s">
        <v>938</v>
      </c>
      <c r="Z80" s="47"/>
      <c r="AA80" s="21" t="s">
        <v>939</v>
      </c>
      <c r="AB80" s="21" t="s">
        <v>930</v>
      </c>
      <c r="AC80" s="21" t="s">
        <v>931</v>
      </c>
      <c r="AD80" s="21" t="s">
        <v>932</v>
      </c>
      <c r="AE80" s="21"/>
      <c r="AF80" s="21" t="s">
        <v>940</v>
      </c>
      <c r="AG80" s="38">
        <v>7060</v>
      </c>
      <c r="AH80" s="38">
        <v>7981</v>
      </c>
      <c r="AI80" s="30"/>
      <c r="AJ80" s="30"/>
      <c r="AK80" s="30"/>
      <c r="AL80" s="38">
        <v>15041</v>
      </c>
      <c r="AM80" s="38">
        <v>15000</v>
      </c>
      <c r="AN80" s="38">
        <v>1950</v>
      </c>
      <c r="AO80" s="38">
        <v>488.83249999999998</v>
      </c>
      <c r="AP80" s="38">
        <v>1253.4166666666699</v>
      </c>
      <c r="AQ80" s="30"/>
      <c r="AR80" s="30"/>
      <c r="AS80" s="40">
        <v>1203.28</v>
      </c>
      <c r="AT80" s="69">
        <f t="shared" si="6"/>
        <v>19936.529166666671</v>
      </c>
    </row>
    <row r="81" spans="1:46" s="70" customFormat="1" ht="24">
      <c r="A81" s="52">
        <f t="shared" si="7"/>
        <v>79</v>
      </c>
      <c r="B81" s="65" t="s">
        <v>941</v>
      </c>
      <c r="C81" s="66" t="s">
        <v>942</v>
      </c>
      <c r="D81" s="67" t="s">
        <v>117</v>
      </c>
      <c r="E81" s="30" t="s">
        <v>51</v>
      </c>
      <c r="F81" s="30"/>
      <c r="G81" s="30" t="s">
        <v>53</v>
      </c>
      <c r="H81" s="30" t="s">
        <v>54</v>
      </c>
      <c r="I81" s="30"/>
      <c r="J81" s="46">
        <v>45523</v>
      </c>
      <c r="K81" s="68">
        <f t="shared" ca="1" si="4"/>
        <v>2.0027397260273974</v>
      </c>
      <c r="L81" s="46">
        <v>38353</v>
      </c>
      <c r="M81" s="51">
        <f t="shared" ca="1" si="5"/>
        <v>21</v>
      </c>
      <c r="N81" s="21" t="s">
        <v>943</v>
      </c>
      <c r="O81" s="30"/>
      <c r="P81" s="30" t="s">
        <v>56</v>
      </c>
      <c r="Q81" s="30" t="s">
        <v>944</v>
      </c>
      <c r="R81" s="30"/>
      <c r="S81" s="21" t="s">
        <v>256</v>
      </c>
      <c r="T81" s="30"/>
      <c r="U81" s="21">
        <v>7462995036</v>
      </c>
      <c r="V81" s="21" t="s">
        <v>945</v>
      </c>
      <c r="W81" s="30"/>
      <c r="X81" s="65">
        <v>5610740063</v>
      </c>
      <c r="Y81" s="21" t="s">
        <v>946</v>
      </c>
      <c r="Z81" s="47"/>
      <c r="AA81" s="21" t="s">
        <v>947</v>
      </c>
      <c r="AB81" s="21" t="s">
        <v>930</v>
      </c>
      <c r="AC81" s="21" t="s">
        <v>931</v>
      </c>
      <c r="AD81" s="21" t="s">
        <v>932</v>
      </c>
      <c r="AE81" s="21"/>
      <c r="AF81" s="21" t="s">
        <v>940</v>
      </c>
      <c r="AG81" s="38">
        <v>7060</v>
      </c>
      <c r="AH81" s="38">
        <v>7981</v>
      </c>
      <c r="AI81" s="30"/>
      <c r="AJ81" s="30"/>
      <c r="AK81" s="30"/>
      <c r="AL81" s="38">
        <v>15041</v>
      </c>
      <c r="AM81" s="38">
        <v>15000</v>
      </c>
      <c r="AN81" s="38">
        <v>1950</v>
      </c>
      <c r="AO81" s="38">
        <v>488.83249999999998</v>
      </c>
      <c r="AP81" s="38">
        <v>1253.4166666666699</v>
      </c>
      <c r="AQ81" s="30"/>
      <c r="AR81" s="30"/>
      <c r="AS81" s="40">
        <v>1203.28</v>
      </c>
      <c r="AT81" s="69">
        <f t="shared" si="6"/>
        <v>19936.529166666671</v>
      </c>
    </row>
    <row r="82" spans="1:46" s="70" customFormat="1" ht="24">
      <c r="A82" s="52">
        <f t="shared" si="7"/>
        <v>80</v>
      </c>
      <c r="B82" s="65" t="s">
        <v>948</v>
      </c>
      <c r="C82" s="66" t="s">
        <v>949</v>
      </c>
      <c r="D82" s="67" t="s">
        <v>117</v>
      </c>
      <c r="E82" s="30" t="s">
        <v>51</v>
      </c>
      <c r="F82" s="30"/>
      <c r="G82" s="30" t="s">
        <v>53</v>
      </c>
      <c r="H82" s="30" t="s">
        <v>54</v>
      </c>
      <c r="I82" s="30"/>
      <c r="J82" s="46">
        <v>45579</v>
      </c>
      <c r="K82" s="68">
        <f t="shared" ca="1" si="4"/>
        <v>1.8493150684931507</v>
      </c>
      <c r="L82" s="46">
        <v>37015</v>
      </c>
      <c r="M82" s="51">
        <f t="shared" ca="1" si="5"/>
        <v>25</v>
      </c>
      <c r="N82" s="21" t="s">
        <v>119</v>
      </c>
      <c r="O82" s="30"/>
      <c r="P82" s="30" t="s">
        <v>56</v>
      </c>
      <c r="Q82" s="30"/>
      <c r="R82" s="30"/>
      <c r="S82" s="21" t="s">
        <v>94</v>
      </c>
      <c r="T82" s="30" t="s">
        <v>950</v>
      </c>
      <c r="U82" s="21">
        <v>8144436031</v>
      </c>
      <c r="V82" s="21" t="s">
        <v>951</v>
      </c>
      <c r="W82" s="30"/>
      <c r="X82" s="65">
        <v>5610722175</v>
      </c>
      <c r="Y82" s="21" t="s">
        <v>952</v>
      </c>
      <c r="Z82" s="47"/>
      <c r="AA82" s="21" t="s">
        <v>953</v>
      </c>
      <c r="AB82" s="21" t="s">
        <v>954</v>
      </c>
      <c r="AC82" s="21" t="s">
        <v>100</v>
      </c>
      <c r="AD82" s="21" t="s">
        <v>955</v>
      </c>
      <c r="AE82" s="21"/>
      <c r="AF82" s="21" t="s">
        <v>956</v>
      </c>
      <c r="AG82" s="38">
        <v>7060</v>
      </c>
      <c r="AH82" s="38">
        <v>7981</v>
      </c>
      <c r="AI82" s="30"/>
      <c r="AJ82" s="30"/>
      <c r="AK82" s="30"/>
      <c r="AL82" s="38">
        <v>15041</v>
      </c>
      <c r="AM82" s="38">
        <v>15000</v>
      </c>
      <c r="AN82" s="38">
        <v>1950</v>
      </c>
      <c r="AO82" s="38">
        <v>488.83249999999998</v>
      </c>
      <c r="AP82" s="38">
        <v>1253.4166666666699</v>
      </c>
      <c r="AQ82" s="30"/>
      <c r="AR82" s="30"/>
      <c r="AS82" s="40">
        <v>1203.28</v>
      </c>
      <c r="AT82" s="69">
        <f t="shared" si="6"/>
        <v>19936.529166666671</v>
      </c>
    </row>
    <row r="83" spans="1:46" s="70" customFormat="1" ht="24">
      <c r="A83" s="52">
        <f t="shared" si="7"/>
        <v>81</v>
      </c>
      <c r="B83" s="65" t="s">
        <v>957</v>
      </c>
      <c r="C83" s="66" t="s">
        <v>958</v>
      </c>
      <c r="D83" s="67" t="s">
        <v>363</v>
      </c>
      <c r="E83" s="30" t="s">
        <v>51</v>
      </c>
      <c r="F83" s="30" t="s">
        <v>105</v>
      </c>
      <c r="G83" s="30" t="s">
        <v>53</v>
      </c>
      <c r="H83" s="30" t="s">
        <v>54</v>
      </c>
      <c r="I83" s="30"/>
      <c r="J83" s="46">
        <v>45479</v>
      </c>
      <c r="K83" s="68">
        <f t="shared" ca="1" si="4"/>
        <v>2.1232876712328768</v>
      </c>
      <c r="L83" s="46">
        <v>32710</v>
      </c>
      <c r="M83" s="51">
        <f t="shared" ca="1" si="5"/>
        <v>37</v>
      </c>
      <c r="N83" s="21" t="s">
        <v>119</v>
      </c>
      <c r="O83" s="30"/>
      <c r="P83" s="30" t="s">
        <v>56</v>
      </c>
      <c r="Q83" s="30"/>
      <c r="R83" s="30"/>
      <c r="S83" s="21" t="s">
        <v>94</v>
      </c>
      <c r="T83" s="30" t="s">
        <v>791</v>
      </c>
      <c r="U83" s="21">
        <v>8489160631</v>
      </c>
      <c r="V83" s="21" t="s">
        <v>813</v>
      </c>
      <c r="W83" s="30"/>
      <c r="X83" s="65">
        <v>5610293255</v>
      </c>
      <c r="Y83" s="21" t="s">
        <v>814</v>
      </c>
      <c r="Z83" s="47"/>
      <c r="AA83" s="21" t="s">
        <v>815</v>
      </c>
      <c r="AB83" s="21" t="s">
        <v>99</v>
      </c>
      <c r="AC83" s="21" t="s">
        <v>461</v>
      </c>
      <c r="AD83" s="21" t="s">
        <v>462</v>
      </c>
      <c r="AE83" s="21" t="s">
        <v>816</v>
      </c>
      <c r="AF83" s="21" t="s">
        <v>816</v>
      </c>
      <c r="AG83" s="38">
        <v>7060</v>
      </c>
      <c r="AH83" s="38">
        <v>7981</v>
      </c>
      <c r="AI83" s="30"/>
      <c r="AJ83" s="30"/>
      <c r="AK83" s="30"/>
      <c r="AL83" s="38">
        <v>15041</v>
      </c>
      <c r="AM83" s="38">
        <v>15000</v>
      </c>
      <c r="AN83" s="38">
        <v>1950</v>
      </c>
      <c r="AO83" s="38">
        <v>488.83249999999998</v>
      </c>
      <c r="AP83" s="38">
        <v>1253.4166666666699</v>
      </c>
      <c r="AQ83" s="30"/>
      <c r="AR83" s="30"/>
      <c r="AS83" s="40">
        <v>1203.28</v>
      </c>
      <c r="AT83" s="69">
        <f t="shared" si="6"/>
        <v>19936.529166666671</v>
      </c>
    </row>
    <row r="84" spans="1:46" s="70" customFormat="1" ht="24">
      <c r="A84" s="52">
        <f t="shared" si="7"/>
        <v>82</v>
      </c>
      <c r="B84" s="65" t="s">
        <v>959</v>
      </c>
      <c r="C84" s="66" t="s">
        <v>960</v>
      </c>
      <c r="D84" s="67" t="s">
        <v>117</v>
      </c>
      <c r="E84" s="30" t="s">
        <v>51</v>
      </c>
      <c r="F84" s="30"/>
      <c r="G84" s="30" t="s">
        <v>53</v>
      </c>
      <c r="H84" s="30" t="s">
        <v>54</v>
      </c>
      <c r="I84" s="30"/>
      <c r="J84" s="46">
        <v>45523</v>
      </c>
      <c r="K84" s="68">
        <f t="shared" ca="1" si="4"/>
        <v>2.0027397260273974</v>
      </c>
      <c r="L84" s="46">
        <v>28126</v>
      </c>
      <c r="M84" s="51">
        <f t="shared" ca="1" si="5"/>
        <v>49</v>
      </c>
      <c r="N84" s="21" t="s">
        <v>961</v>
      </c>
      <c r="O84" s="30"/>
      <c r="P84" s="30" t="s">
        <v>56</v>
      </c>
      <c r="Q84" s="30"/>
      <c r="R84" s="30"/>
      <c r="S84" s="21" t="s">
        <v>94</v>
      </c>
      <c r="T84" s="30" t="s">
        <v>962</v>
      </c>
      <c r="U84" s="21">
        <v>8434209487</v>
      </c>
      <c r="V84" s="21" t="s">
        <v>963</v>
      </c>
      <c r="W84" s="30"/>
      <c r="X84" s="65" t="s">
        <v>964</v>
      </c>
      <c r="Y84" s="21" t="s">
        <v>965</v>
      </c>
      <c r="Z84" s="47"/>
      <c r="AA84" s="21" t="s">
        <v>966</v>
      </c>
      <c r="AB84" s="21" t="s">
        <v>63</v>
      </c>
      <c r="AC84" s="21" t="s">
        <v>64</v>
      </c>
      <c r="AD84" s="21" t="s">
        <v>65</v>
      </c>
      <c r="AE84" s="21"/>
      <c r="AF84" s="21" t="s">
        <v>967</v>
      </c>
      <c r="AG84" s="38">
        <v>7060</v>
      </c>
      <c r="AH84" s="38">
        <v>7981</v>
      </c>
      <c r="AI84" s="30"/>
      <c r="AJ84" s="30"/>
      <c r="AK84" s="30"/>
      <c r="AL84" s="38">
        <v>15041</v>
      </c>
      <c r="AM84" s="38">
        <v>15000</v>
      </c>
      <c r="AN84" s="38">
        <v>1950</v>
      </c>
      <c r="AO84" s="38">
        <v>488.83249999999998</v>
      </c>
      <c r="AP84" s="38">
        <v>1253.4166666666699</v>
      </c>
      <c r="AQ84" s="30"/>
      <c r="AR84" s="30"/>
      <c r="AS84" s="40">
        <v>1203.28</v>
      </c>
      <c r="AT84" s="69">
        <f t="shared" si="6"/>
        <v>19936.529166666671</v>
      </c>
    </row>
    <row r="85" spans="1:46" s="70" customFormat="1" ht="24">
      <c r="A85" s="52">
        <f t="shared" si="7"/>
        <v>83</v>
      </c>
      <c r="B85" s="65" t="s">
        <v>968</v>
      </c>
      <c r="C85" s="66" t="s">
        <v>969</v>
      </c>
      <c r="D85" s="67" t="s">
        <v>117</v>
      </c>
      <c r="E85" s="30" t="s">
        <v>51</v>
      </c>
      <c r="F85" s="30" t="s">
        <v>970</v>
      </c>
      <c r="G85" s="30" t="s">
        <v>53</v>
      </c>
      <c r="H85" s="30" t="s">
        <v>54</v>
      </c>
      <c r="I85" s="30"/>
      <c r="J85" s="46">
        <v>45335</v>
      </c>
      <c r="K85" s="68">
        <f t="shared" ca="1" si="4"/>
        <v>2.5178082191780824</v>
      </c>
      <c r="L85" s="46">
        <v>38527</v>
      </c>
      <c r="M85" s="51">
        <f t="shared" ca="1" si="5"/>
        <v>21</v>
      </c>
      <c r="N85" s="21" t="s">
        <v>106</v>
      </c>
      <c r="O85" s="30"/>
      <c r="P85" s="30" t="s">
        <v>56</v>
      </c>
      <c r="Q85" s="30" t="s">
        <v>971</v>
      </c>
      <c r="R85" s="30"/>
      <c r="S85" s="21" t="s">
        <v>773</v>
      </c>
      <c r="T85" s="30"/>
      <c r="U85" s="21">
        <v>9629924103</v>
      </c>
      <c r="V85" s="21" t="s">
        <v>972</v>
      </c>
      <c r="W85" s="30"/>
      <c r="X85" s="65">
        <v>5610425514</v>
      </c>
      <c r="Y85" s="21" t="s">
        <v>973</v>
      </c>
      <c r="Z85" s="47"/>
      <c r="AA85" s="21" t="s">
        <v>974</v>
      </c>
      <c r="AB85" s="21" t="s">
        <v>975</v>
      </c>
      <c r="AC85" s="21" t="s">
        <v>112</v>
      </c>
      <c r="AD85" s="21" t="s">
        <v>976</v>
      </c>
      <c r="AE85" s="21" t="s">
        <v>977</v>
      </c>
      <c r="AF85" s="21" t="s">
        <v>977</v>
      </c>
      <c r="AG85" s="38">
        <v>7060</v>
      </c>
      <c r="AH85" s="38">
        <v>7981</v>
      </c>
      <c r="AI85" s="30"/>
      <c r="AJ85" s="30"/>
      <c r="AK85" s="30"/>
      <c r="AL85" s="38">
        <v>15041</v>
      </c>
      <c r="AM85" s="38">
        <v>15000</v>
      </c>
      <c r="AN85" s="38">
        <v>1950</v>
      </c>
      <c r="AO85" s="38">
        <v>488.83249999999998</v>
      </c>
      <c r="AP85" s="38">
        <v>1253.4166666666699</v>
      </c>
      <c r="AQ85" s="30"/>
      <c r="AR85" s="30"/>
      <c r="AS85" s="40">
        <v>1203.28</v>
      </c>
      <c r="AT85" s="69">
        <f t="shared" si="6"/>
        <v>19936.529166666671</v>
      </c>
    </row>
    <row r="86" spans="1:46" s="70" customFormat="1" ht="24">
      <c r="A86" s="52">
        <f t="shared" si="7"/>
        <v>84</v>
      </c>
      <c r="B86" s="65" t="s">
        <v>978</v>
      </c>
      <c r="C86" s="66" t="s">
        <v>979</v>
      </c>
      <c r="D86" s="67" t="s">
        <v>117</v>
      </c>
      <c r="E86" s="30" t="s">
        <v>51</v>
      </c>
      <c r="F86" s="30" t="s">
        <v>970</v>
      </c>
      <c r="G86" s="30" t="s">
        <v>53</v>
      </c>
      <c r="H86" s="30" t="s">
        <v>54</v>
      </c>
      <c r="I86" s="30"/>
      <c r="J86" s="46">
        <v>45607</v>
      </c>
      <c r="K86" s="68">
        <f t="shared" ca="1" si="4"/>
        <v>1.7726027397260273</v>
      </c>
      <c r="L86" s="46">
        <v>35367</v>
      </c>
      <c r="M86" s="51">
        <f t="shared" ca="1" si="5"/>
        <v>29</v>
      </c>
      <c r="N86" s="21" t="s">
        <v>106</v>
      </c>
      <c r="O86" s="30"/>
      <c r="P86" s="30" t="s">
        <v>56</v>
      </c>
      <c r="Q86" s="30" t="s">
        <v>980</v>
      </c>
      <c r="R86" s="30"/>
      <c r="S86" s="21" t="s">
        <v>256</v>
      </c>
      <c r="U86" s="21">
        <v>9500849324</v>
      </c>
      <c r="V86" s="21" t="s">
        <v>981</v>
      </c>
      <c r="W86" s="30"/>
      <c r="X86" s="65">
        <v>5610900476</v>
      </c>
      <c r="Y86" s="21" t="s">
        <v>982</v>
      </c>
      <c r="Z86" s="47"/>
      <c r="AA86" s="21" t="s">
        <v>983</v>
      </c>
      <c r="AB86" s="21" t="s">
        <v>984</v>
      </c>
      <c r="AC86" s="21" t="s">
        <v>985</v>
      </c>
      <c r="AD86" s="21" t="s">
        <v>136</v>
      </c>
      <c r="AE86" s="21" t="s">
        <v>986</v>
      </c>
      <c r="AF86" s="21" t="s">
        <v>986</v>
      </c>
      <c r="AG86" s="38">
        <v>7060</v>
      </c>
      <c r="AH86" s="38">
        <v>7981</v>
      </c>
      <c r="AI86" s="30"/>
      <c r="AJ86" s="30"/>
      <c r="AK86" s="30"/>
      <c r="AL86" s="38">
        <v>15041</v>
      </c>
      <c r="AM86" s="38">
        <v>15000</v>
      </c>
      <c r="AN86" s="38">
        <v>1950</v>
      </c>
      <c r="AO86" s="38">
        <v>488.83249999999998</v>
      </c>
      <c r="AP86" s="38">
        <v>1253.4166666666699</v>
      </c>
      <c r="AQ86" s="30"/>
      <c r="AR86" s="30"/>
      <c r="AS86" s="40">
        <v>1203.28</v>
      </c>
      <c r="AT86" s="69">
        <f t="shared" si="6"/>
        <v>19936.529166666671</v>
      </c>
    </row>
    <row r="87" spans="1:46" s="70" customFormat="1" ht="24">
      <c r="A87" s="52">
        <f t="shared" si="7"/>
        <v>85</v>
      </c>
      <c r="B87" s="65" t="s">
        <v>987</v>
      </c>
      <c r="C87" s="66" t="s">
        <v>988</v>
      </c>
      <c r="D87" s="67" t="s">
        <v>363</v>
      </c>
      <c r="E87" s="30" t="s">
        <v>51</v>
      </c>
      <c r="F87" s="30"/>
      <c r="G87" s="30" t="s">
        <v>53</v>
      </c>
      <c r="H87" s="30" t="s">
        <v>54</v>
      </c>
      <c r="I87" s="30"/>
      <c r="J87" s="46">
        <v>45482</v>
      </c>
      <c r="K87" s="68">
        <f t="shared" ca="1" si="4"/>
        <v>2.1150684931506851</v>
      </c>
      <c r="L87" s="46">
        <v>37391</v>
      </c>
      <c r="M87" s="51">
        <f t="shared" ca="1" si="5"/>
        <v>24</v>
      </c>
      <c r="N87" s="21" t="s">
        <v>414</v>
      </c>
      <c r="O87" s="30"/>
      <c r="P87" s="30" t="s">
        <v>56</v>
      </c>
      <c r="Q87" s="30" t="s">
        <v>989</v>
      </c>
      <c r="R87" s="30"/>
      <c r="S87" s="21" t="s">
        <v>256</v>
      </c>
      <c r="T87" s="30"/>
      <c r="U87" s="21">
        <v>7205176987</v>
      </c>
      <c r="V87" s="21" t="s">
        <v>990</v>
      </c>
      <c r="W87" s="30"/>
      <c r="X87" s="65">
        <v>5610633628</v>
      </c>
      <c r="Y87" s="21" t="s">
        <v>991</v>
      </c>
      <c r="Z87" s="47"/>
      <c r="AA87" s="21" t="s">
        <v>992</v>
      </c>
      <c r="AB87" s="21" t="s">
        <v>993</v>
      </c>
      <c r="AC87" s="21" t="s">
        <v>300</v>
      </c>
      <c r="AD87" s="21" t="s">
        <v>994</v>
      </c>
      <c r="AE87" s="21"/>
      <c r="AF87" s="21" t="s">
        <v>995</v>
      </c>
      <c r="AG87" s="38">
        <v>7060</v>
      </c>
      <c r="AH87" s="38">
        <v>7981</v>
      </c>
      <c r="AI87" s="30"/>
      <c r="AJ87" s="30"/>
      <c r="AK87" s="30"/>
      <c r="AL87" s="38">
        <v>15041</v>
      </c>
      <c r="AM87" s="38">
        <v>15000</v>
      </c>
      <c r="AN87" s="38">
        <v>1950</v>
      </c>
      <c r="AO87" s="38">
        <v>488.83249999999998</v>
      </c>
      <c r="AP87" s="38">
        <v>1253.4166666666699</v>
      </c>
      <c r="AQ87" s="30"/>
      <c r="AR87" s="30"/>
      <c r="AS87" s="40">
        <v>1203.28</v>
      </c>
      <c r="AT87" s="69">
        <f t="shared" si="6"/>
        <v>19936.529166666671</v>
      </c>
    </row>
    <row r="88" spans="1:46" s="70" customFormat="1" ht="24">
      <c r="A88" s="52">
        <f t="shared" si="7"/>
        <v>86</v>
      </c>
      <c r="B88" s="65" t="s">
        <v>996</v>
      </c>
      <c r="C88" s="66" t="s">
        <v>997</v>
      </c>
      <c r="D88" s="67" t="s">
        <v>117</v>
      </c>
      <c r="E88" s="30" t="s">
        <v>51</v>
      </c>
      <c r="F88" s="30"/>
      <c r="G88" s="30" t="s">
        <v>53</v>
      </c>
      <c r="H88" s="30" t="s">
        <v>54</v>
      </c>
      <c r="I88" s="30"/>
      <c r="J88" s="46">
        <v>45607</v>
      </c>
      <c r="K88" s="68">
        <f t="shared" ca="1" si="4"/>
        <v>1.7726027397260273</v>
      </c>
      <c r="L88" s="46">
        <v>38667</v>
      </c>
      <c r="M88" s="51">
        <f t="shared" ca="1" si="5"/>
        <v>20</v>
      </c>
      <c r="N88" s="21" t="s">
        <v>106</v>
      </c>
      <c r="O88" s="30"/>
      <c r="P88" s="30" t="s">
        <v>56</v>
      </c>
      <c r="Q88" s="30" t="s">
        <v>998</v>
      </c>
      <c r="R88" s="30"/>
      <c r="S88" s="21" t="s">
        <v>256</v>
      </c>
      <c r="U88" s="21">
        <v>9842775942</v>
      </c>
      <c r="V88" s="21" t="s">
        <v>999</v>
      </c>
      <c r="W88" s="30"/>
      <c r="X88" s="65">
        <v>5610607338</v>
      </c>
      <c r="Y88" s="21" t="s">
        <v>1000</v>
      </c>
      <c r="Z88" s="47"/>
      <c r="AA88" s="21" t="s">
        <v>1001</v>
      </c>
      <c r="AB88" s="21" t="s">
        <v>260</v>
      </c>
      <c r="AC88" s="21"/>
      <c r="AD88" s="21"/>
      <c r="AE88" s="21"/>
      <c r="AF88" s="21" t="s">
        <v>1002</v>
      </c>
      <c r="AG88" s="38">
        <v>7060</v>
      </c>
      <c r="AH88" s="38">
        <v>7981</v>
      </c>
      <c r="AI88" s="30"/>
      <c r="AJ88" s="30"/>
      <c r="AK88" s="30"/>
      <c r="AL88" s="38">
        <v>15041</v>
      </c>
      <c r="AM88" s="38">
        <v>15000</v>
      </c>
      <c r="AN88" s="38">
        <v>1950</v>
      </c>
      <c r="AO88" s="38">
        <v>488.83249999999998</v>
      </c>
      <c r="AP88" s="38">
        <v>1253.4166666666699</v>
      </c>
      <c r="AQ88" s="30"/>
      <c r="AR88" s="30"/>
      <c r="AS88" s="40">
        <v>1203.28</v>
      </c>
      <c r="AT88" s="69">
        <f t="shared" si="6"/>
        <v>19936.529166666671</v>
      </c>
    </row>
    <row r="89" spans="1:46" s="70" customFormat="1" ht="24">
      <c r="A89" s="52">
        <f t="shared" si="7"/>
        <v>87</v>
      </c>
      <c r="B89" s="65" t="s">
        <v>1003</v>
      </c>
      <c r="C89" s="66" t="s">
        <v>1004</v>
      </c>
      <c r="D89" s="67" t="s">
        <v>117</v>
      </c>
      <c r="E89" s="30" t="s">
        <v>51</v>
      </c>
      <c r="F89" s="30"/>
      <c r="G89" s="30" t="s">
        <v>53</v>
      </c>
      <c r="H89" s="30" t="s">
        <v>54</v>
      </c>
      <c r="I89" s="30"/>
      <c r="J89" s="46">
        <v>45607</v>
      </c>
      <c r="K89" s="68">
        <f t="shared" ca="1" si="4"/>
        <v>1.7726027397260273</v>
      </c>
      <c r="L89" s="46">
        <v>38522</v>
      </c>
      <c r="M89" s="51">
        <f t="shared" ca="1" si="5"/>
        <v>21</v>
      </c>
      <c r="N89" s="21"/>
      <c r="O89" s="30"/>
      <c r="P89" s="30" t="s">
        <v>56</v>
      </c>
      <c r="Q89" s="30" t="s">
        <v>1005</v>
      </c>
      <c r="R89" s="30"/>
      <c r="S89" s="21" t="s">
        <v>256</v>
      </c>
      <c r="U89" s="21">
        <v>7397565297</v>
      </c>
      <c r="V89" s="21" t="s">
        <v>1006</v>
      </c>
      <c r="W89" s="30"/>
      <c r="X89" s="65">
        <v>5610607381</v>
      </c>
      <c r="Y89" s="21" t="s">
        <v>1007</v>
      </c>
      <c r="Z89" s="47"/>
      <c r="AA89" s="21" t="s">
        <v>1008</v>
      </c>
      <c r="AB89" s="21" t="s">
        <v>1009</v>
      </c>
      <c r="AC89" s="21" t="s">
        <v>100</v>
      </c>
      <c r="AD89" s="21" t="s">
        <v>1010</v>
      </c>
      <c r="AE89" s="21"/>
      <c r="AF89" s="21" t="s">
        <v>1011</v>
      </c>
      <c r="AG89" s="38">
        <v>7060</v>
      </c>
      <c r="AH89" s="38">
        <v>7981</v>
      </c>
      <c r="AI89" s="30"/>
      <c r="AJ89" s="30"/>
      <c r="AK89" s="30"/>
      <c r="AL89" s="38">
        <v>15041</v>
      </c>
      <c r="AM89" s="38">
        <v>15000</v>
      </c>
      <c r="AN89" s="38">
        <v>1950</v>
      </c>
      <c r="AO89" s="38">
        <v>488.83249999999998</v>
      </c>
      <c r="AP89" s="38">
        <v>1253.4166666666699</v>
      </c>
      <c r="AQ89" s="30"/>
      <c r="AR89" s="30"/>
      <c r="AS89" s="40">
        <v>1203.28</v>
      </c>
      <c r="AT89" s="69">
        <f t="shared" si="6"/>
        <v>19936.529166666671</v>
      </c>
    </row>
    <row r="90" spans="1:46" s="70" customFormat="1" ht="24">
      <c r="A90" s="52">
        <f t="shared" si="7"/>
        <v>88</v>
      </c>
      <c r="B90" s="65" t="s">
        <v>1012</v>
      </c>
      <c r="C90" s="66" t="s">
        <v>1013</v>
      </c>
      <c r="D90" s="67" t="s">
        <v>117</v>
      </c>
      <c r="E90" s="30" t="s">
        <v>51</v>
      </c>
      <c r="F90" s="30"/>
      <c r="G90" s="30" t="s">
        <v>53</v>
      </c>
      <c r="H90" s="30" t="s">
        <v>54</v>
      </c>
      <c r="I90" s="30"/>
      <c r="J90" s="46">
        <v>45523</v>
      </c>
      <c r="K90" s="68">
        <f t="shared" ca="1" si="4"/>
        <v>2.0027397260273974</v>
      </c>
      <c r="L90" s="46">
        <v>35525</v>
      </c>
      <c r="M90" s="51">
        <f t="shared" ca="1" si="5"/>
        <v>29</v>
      </c>
      <c r="N90" s="21" t="s">
        <v>207</v>
      </c>
      <c r="O90" s="30"/>
      <c r="P90" s="30" t="s">
        <v>56</v>
      </c>
      <c r="Q90" s="30"/>
      <c r="R90" s="30"/>
      <c r="S90" s="21" t="s">
        <v>94</v>
      </c>
      <c r="T90" s="30" t="s">
        <v>1014</v>
      </c>
      <c r="U90" s="21">
        <v>9345618063</v>
      </c>
      <c r="V90" s="21" t="s">
        <v>1015</v>
      </c>
      <c r="W90" s="30"/>
      <c r="X90" s="65" t="s">
        <v>1016</v>
      </c>
      <c r="Y90" s="21" t="s">
        <v>1017</v>
      </c>
      <c r="Z90" s="47"/>
      <c r="AA90" s="21" t="s">
        <v>1018</v>
      </c>
      <c r="AB90" s="21" t="s">
        <v>954</v>
      </c>
      <c r="AC90" s="21" t="s">
        <v>100</v>
      </c>
      <c r="AD90" s="21" t="s">
        <v>955</v>
      </c>
      <c r="AE90" s="21"/>
      <c r="AF90" s="21" t="s">
        <v>1019</v>
      </c>
      <c r="AG90" s="38">
        <v>7060</v>
      </c>
      <c r="AH90" s="38">
        <v>7981</v>
      </c>
      <c r="AI90" s="30"/>
      <c r="AJ90" s="30"/>
      <c r="AK90" s="30"/>
      <c r="AL90" s="38">
        <v>15041</v>
      </c>
      <c r="AM90" s="38">
        <v>15000</v>
      </c>
      <c r="AN90" s="38">
        <v>1950</v>
      </c>
      <c r="AO90" s="38">
        <v>488.83249999999998</v>
      </c>
      <c r="AP90" s="38">
        <v>1253.4166666666699</v>
      </c>
      <c r="AQ90" s="30"/>
      <c r="AR90" s="30"/>
      <c r="AS90" s="40">
        <v>1203.28</v>
      </c>
      <c r="AT90" s="69">
        <f t="shared" si="6"/>
        <v>19936.529166666671</v>
      </c>
    </row>
    <row r="91" spans="1:46" s="70" customFormat="1" ht="24">
      <c r="A91" s="52">
        <f t="shared" si="7"/>
        <v>89</v>
      </c>
      <c r="B91" s="65" t="s">
        <v>1020</v>
      </c>
      <c r="C91" s="66" t="s">
        <v>1021</v>
      </c>
      <c r="D91" s="67" t="s">
        <v>363</v>
      </c>
      <c r="E91" s="30" t="s">
        <v>51</v>
      </c>
      <c r="F91" s="30" t="s">
        <v>113</v>
      </c>
      <c r="G91" s="30" t="s">
        <v>53</v>
      </c>
      <c r="H91" s="30" t="s">
        <v>54</v>
      </c>
      <c r="I91" s="30"/>
      <c r="J91" s="46">
        <v>45604</v>
      </c>
      <c r="K91" s="68">
        <f t="shared" ca="1" si="4"/>
        <v>1.7808219178082192</v>
      </c>
      <c r="L91" s="46">
        <v>30143</v>
      </c>
      <c r="M91" s="51">
        <f t="shared" ca="1" si="5"/>
        <v>44</v>
      </c>
      <c r="N91" s="21"/>
      <c r="O91" s="30"/>
      <c r="P91" s="30" t="s">
        <v>56</v>
      </c>
      <c r="Q91" s="30"/>
      <c r="R91" s="30"/>
      <c r="S91" s="21" t="s">
        <v>94</v>
      </c>
      <c r="T91" s="30" t="s">
        <v>1022</v>
      </c>
      <c r="U91" s="21">
        <v>9150747399</v>
      </c>
      <c r="V91" s="21" t="s">
        <v>1023</v>
      </c>
      <c r="W91" s="30"/>
      <c r="X91" s="65">
        <v>5610886790</v>
      </c>
      <c r="Y91" s="21" t="s">
        <v>1024</v>
      </c>
      <c r="Z91" s="47"/>
      <c r="AA91" s="21" t="s">
        <v>1025</v>
      </c>
      <c r="AB91" s="21" t="s">
        <v>99</v>
      </c>
      <c r="AC91" s="21" t="s">
        <v>100</v>
      </c>
      <c r="AD91" s="21" t="s">
        <v>101</v>
      </c>
      <c r="AE91" s="21" t="s">
        <v>1026</v>
      </c>
      <c r="AF91" s="21" t="s">
        <v>1026</v>
      </c>
      <c r="AG91" s="38">
        <v>7060</v>
      </c>
      <c r="AH91" s="38">
        <v>7981</v>
      </c>
      <c r="AI91" s="30"/>
      <c r="AJ91" s="30"/>
      <c r="AK91" s="30"/>
      <c r="AL91" s="38">
        <v>15041</v>
      </c>
      <c r="AM91" s="38">
        <v>15000</v>
      </c>
      <c r="AN91" s="38">
        <v>1950</v>
      </c>
      <c r="AO91" s="38">
        <v>488.83249999999998</v>
      </c>
      <c r="AP91" s="38">
        <v>1253.4166666666699</v>
      </c>
      <c r="AQ91" s="30"/>
      <c r="AR91" s="30"/>
      <c r="AS91" s="40">
        <v>1203.28</v>
      </c>
      <c r="AT91" s="69">
        <f t="shared" si="6"/>
        <v>19936.529166666671</v>
      </c>
    </row>
    <row r="92" spans="1:46" s="70" customFormat="1" ht="24">
      <c r="A92" s="52">
        <f t="shared" si="7"/>
        <v>90</v>
      </c>
      <c r="B92" s="65" t="s">
        <v>1027</v>
      </c>
      <c r="C92" s="66" t="s">
        <v>1028</v>
      </c>
      <c r="D92" s="67" t="s">
        <v>363</v>
      </c>
      <c r="E92" s="30" t="s">
        <v>51</v>
      </c>
      <c r="F92" s="30" t="s">
        <v>105</v>
      </c>
      <c r="G92" s="30" t="s">
        <v>53</v>
      </c>
      <c r="H92" s="30" t="s">
        <v>54</v>
      </c>
      <c r="I92" s="30"/>
      <c r="J92" s="46">
        <v>45604</v>
      </c>
      <c r="K92" s="68">
        <f t="shared" ca="1" si="4"/>
        <v>1.7808219178082192</v>
      </c>
      <c r="L92" s="46">
        <v>36371</v>
      </c>
      <c r="M92" s="51">
        <f t="shared" ca="1" si="5"/>
        <v>27</v>
      </c>
      <c r="N92" s="21"/>
      <c r="O92" s="30"/>
      <c r="P92" s="30" t="s">
        <v>56</v>
      </c>
      <c r="Q92" s="30"/>
      <c r="R92" s="30"/>
      <c r="S92" s="21" t="s">
        <v>94</v>
      </c>
      <c r="T92" s="30" t="s">
        <v>783</v>
      </c>
      <c r="U92" s="21">
        <v>9361054762</v>
      </c>
      <c r="V92" s="21" t="s">
        <v>1029</v>
      </c>
      <c r="W92" s="30"/>
      <c r="X92" s="65">
        <v>5608631306</v>
      </c>
      <c r="Y92" s="21" t="s">
        <v>1030</v>
      </c>
      <c r="Z92" s="47"/>
      <c r="AA92" s="21" t="s">
        <v>1031</v>
      </c>
      <c r="AB92" s="21" t="s">
        <v>1009</v>
      </c>
      <c r="AC92" s="21" t="s">
        <v>100</v>
      </c>
      <c r="AD92" s="21" t="s">
        <v>1010</v>
      </c>
      <c r="AE92" s="21" t="s">
        <v>1032</v>
      </c>
      <c r="AF92" s="21" t="s">
        <v>1032</v>
      </c>
      <c r="AG92" s="38">
        <v>7060</v>
      </c>
      <c r="AH92" s="38">
        <v>7981</v>
      </c>
      <c r="AI92" s="30"/>
      <c r="AJ92" s="30"/>
      <c r="AK92" s="30"/>
      <c r="AL92" s="38">
        <v>15041</v>
      </c>
      <c r="AM92" s="38">
        <v>15000</v>
      </c>
      <c r="AN92" s="38">
        <v>1950</v>
      </c>
      <c r="AO92" s="38">
        <v>488.83249999999998</v>
      </c>
      <c r="AP92" s="38">
        <v>1253.4166666666699</v>
      </c>
      <c r="AQ92" s="30"/>
      <c r="AR92" s="30"/>
      <c r="AS92" s="40">
        <v>1203.28</v>
      </c>
      <c r="AT92" s="69">
        <f t="shared" si="6"/>
        <v>19936.529166666671</v>
      </c>
    </row>
    <row r="93" spans="1:46" s="70" customFormat="1" ht="24">
      <c r="A93" s="52">
        <f t="shared" si="7"/>
        <v>91</v>
      </c>
      <c r="B93" s="65" t="s">
        <v>1033</v>
      </c>
      <c r="C93" s="66" t="s">
        <v>1034</v>
      </c>
      <c r="D93" s="67" t="s">
        <v>363</v>
      </c>
      <c r="E93" s="30" t="s">
        <v>51</v>
      </c>
      <c r="F93" s="30" t="s">
        <v>1035</v>
      </c>
      <c r="G93" s="30" t="s">
        <v>53</v>
      </c>
      <c r="H93" s="30" t="s">
        <v>54</v>
      </c>
      <c r="I93" s="30"/>
      <c r="J93" s="46">
        <v>45610</v>
      </c>
      <c r="K93" s="68">
        <f t="shared" ca="1" si="4"/>
        <v>1.7643835616438357</v>
      </c>
      <c r="L93" s="46">
        <v>36824</v>
      </c>
      <c r="M93" s="51">
        <f t="shared" ca="1" si="5"/>
        <v>25</v>
      </c>
      <c r="N93" s="21"/>
      <c r="O93" s="30"/>
      <c r="P93" s="30" t="s">
        <v>56</v>
      </c>
      <c r="Q93" s="30"/>
      <c r="R93" s="30"/>
      <c r="S93" s="21" t="s">
        <v>94</v>
      </c>
      <c r="T93" s="30" t="s">
        <v>1036</v>
      </c>
      <c r="U93" s="21"/>
      <c r="V93" s="21" t="s">
        <v>1037</v>
      </c>
      <c r="W93" s="30"/>
      <c r="X93" s="65">
        <v>5610900521</v>
      </c>
      <c r="Y93" s="21" t="s">
        <v>1038</v>
      </c>
      <c r="Z93" s="47"/>
      <c r="AA93" s="21" t="s">
        <v>1039</v>
      </c>
      <c r="AB93" s="21" t="s">
        <v>1040</v>
      </c>
      <c r="AC93" s="21" t="s">
        <v>1041</v>
      </c>
      <c r="AD93" s="21" t="s">
        <v>1035</v>
      </c>
      <c r="AE93" s="21" t="s">
        <v>1042</v>
      </c>
      <c r="AF93" s="21" t="s">
        <v>1042</v>
      </c>
      <c r="AG93" s="38">
        <v>7060</v>
      </c>
      <c r="AH93" s="38">
        <v>7981</v>
      </c>
      <c r="AI93" s="30"/>
      <c r="AJ93" s="30"/>
      <c r="AK93" s="30"/>
      <c r="AL93" s="38">
        <v>15041</v>
      </c>
      <c r="AM93" s="38">
        <v>15000</v>
      </c>
      <c r="AN93" s="38">
        <v>1950</v>
      </c>
      <c r="AO93" s="38">
        <v>488.83249999999998</v>
      </c>
      <c r="AP93" s="38">
        <v>1253.4166666666699</v>
      </c>
      <c r="AQ93" s="30"/>
      <c r="AR93" s="30"/>
      <c r="AS93" s="40">
        <v>1203.28</v>
      </c>
      <c r="AT93" s="69">
        <f t="shared" si="6"/>
        <v>19936.529166666671</v>
      </c>
    </row>
    <row r="94" spans="1:46" s="70" customFormat="1" ht="24">
      <c r="A94" s="52">
        <f t="shared" si="7"/>
        <v>92</v>
      </c>
      <c r="B94" s="65" t="s">
        <v>1043</v>
      </c>
      <c r="C94" s="71" t="s">
        <v>1044</v>
      </c>
      <c r="D94" s="67" t="s">
        <v>117</v>
      </c>
      <c r="E94" s="30" t="s">
        <v>51</v>
      </c>
      <c r="F94" s="30" t="s">
        <v>136</v>
      </c>
      <c r="G94" s="30" t="s">
        <v>245</v>
      </c>
      <c r="H94" s="30" t="s">
        <v>916</v>
      </c>
      <c r="I94" s="30"/>
      <c r="J94" s="46">
        <v>45356</v>
      </c>
      <c r="K94" s="68">
        <f t="shared" ca="1" si="4"/>
        <v>2.4602739726027396</v>
      </c>
      <c r="L94" s="46">
        <v>37192</v>
      </c>
      <c r="M94" s="51">
        <f t="shared" ca="1" si="5"/>
        <v>24</v>
      </c>
      <c r="N94" s="21" t="s">
        <v>1045</v>
      </c>
      <c r="O94" s="30"/>
      <c r="P94" s="30" t="s">
        <v>56</v>
      </c>
      <c r="Q94" s="30"/>
      <c r="R94" s="30"/>
      <c r="S94" s="21" t="s">
        <v>94</v>
      </c>
      <c r="T94" s="30" t="s">
        <v>1046</v>
      </c>
      <c r="U94" s="21">
        <v>8270179817</v>
      </c>
      <c r="V94" s="21" t="s">
        <v>1047</v>
      </c>
      <c r="W94" s="30"/>
      <c r="X94" s="65">
        <v>5610449495</v>
      </c>
      <c r="Y94" s="21" t="s">
        <v>1048</v>
      </c>
      <c r="Z94" s="47"/>
      <c r="AA94" s="21" t="s">
        <v>1049</v>
      </c>
      <c r="AB94" s="21" t="s">
        <v>904</v>
      </c>
      <c r="AC94" s="21" t="s">
        <v>905</v>
      </c>
      <c r="AD94" s="21" t="s">
        <v>136</v>
      </c>
      <c r="AE94" s="21" t="s">
        <v>1050</v>
      </c>
      <c r="AF94" s="21" t="s">
        <v>1050</v>
      </c>
      <c r="AG94" s="38"/>
      <c r="AH94" s="38"/>
      <c r="AI94" s="30"/>
      <c r="AJ94" s="30"/>
      <c r="AK94" s="30"/>
      <c r="AL94" s="38"/>
      <c r="AM94" s="38"/>
      <c r="AN94" s="38"/>
      <c r="AO94" s="38"/>
      <c r="AP94" s="38"/>
      <c r="AQ94" s="30"/>
      <c r="AR94" s="30"/>
      <c r="AS94" s="40"/>
      <c r="AT94" s="69">
        <f t="shared" si="6"/>
        <v>0</v>
      </c>
    </row>
    <row r="95" spans="1:46" s="70" customFormat="1" ht="24">
      <c r="A95" s="52">
        <f t="shared" si="7"/>
        <v>93</v>
      </c>
      <c r="B95" s="65" t="s">
        <v>1051</v>
      </c>
      <c r="C95" s="66" t="s">
        <v>832</v>
      </c>
      <c r="D95" s="67" t="s">
        <v>363</v>
      </c>
      <c r="E95" s="30" t="s">
        <v>51</v>
      </c>
      <c r="F95" s="30"/>
      <c r="G95" s="30" t="s">
        <v>53</v>
      </c>
      <c r="H95" s="30" t="s">
        <v>54</v>
      </c>
      <c r="I95" s="30"/>
      <c r="J95" s="46">
        <v>45481</v>
      </c>
      <c r="K95" s="68">
        <f t="shared" ca="1" si="4"/>
        <v>2.117808219178082</v>
      </c>
      <c r="L95" s="46">
        <v>36957</v>
      </c>
      <c r="M95" s="51">
        <f t="shared" ca="1" si="5"/>
        <v>25</v>
      </c>
      <c r="N95" s="21" t="s">
        <v>414</v>
      </c>
      <c r="O95" s="30"/>
      <c r="P95" s="30" t="s">
        <v>56</v>
      </c>
      <c r="Q95" s="30"/>
      <c r="R95" s="30"/>
      <c r="S95" s="21" t="s">
        <v>94</v>
      </c>
      <c r="T95" s="30" t="s">
        <v>833</v>
      </c>
      <c r="U95" s="21">
        <v>9078296677</v>
      </c>
      <c r="V95" s="21" t="s">
        <v>834</v>
      </c>
      <c r="W95" s="30"/>
      <c r="X95" s="65">
        <v>5610623739</v>
      </c>
      <c r="Y95" s="21" t="s">
        <v>835</v>
      </c>
      <c r="Z95" s="47"/>
      <c r="AA95" s="21" t="s">
        <v>836</v>
      </c>
      <c r="AB95" s="21" t="s">
        <v>442</v>
      </c>
      <c r="AC95" s="21" t="s">
        <v>162</v>
      </c>
      <c r="AD95" s="21" t="s">
        <v>838</v>
      </c>
      <c r="AE95" s="21"/>
      <c r="AF95" s="21" t="s">
        <v>839</v>
      </c>
      <c r="AG95" s="38">
        <v>7060</v>
      </c>
      <c r="AH95" s="38">
        <v>7981</v>
      </c>
      <c r="AI95" s="30"/>
      <c r="AJ95" s="30"/>
      <c r="AK95" s="30"/>
      <c r="AL95" s="38">
        <v>15041</v>
      </c>
      <c r="AM95" s="38">
        <v>15000</v>
      </c>
      <c r="AN95" s="38">
        <v>1950</v>
      </c>
      <c r="AO95" s="38">
        <v>488.83249999999998</v>
      </c>
      <c r="AP95" s="38">
        <v>1253.4166666666699</v>
      </c>
      <c r="AQ95" s="30"/>
      <c r="AR95" s="30"/>
      <c r="AS95" s="40">
        <v>1203.28</v>
      </c>
      <c r="AT95" s="69">
        <f t="shared" si="6"/>
        <v>19936.529166666671</v>
      </c>
    </row>
    <row r="96" spans="1:46" s="70" customFormat="1" ht="24">
      <c r="A96" s="52">
        <f t="shared" si="7"/>
        <v>94</v>
      </c>
      <c r="B96" s="65" t="s">
        <v>1052</v>
      </c>
      <c r="C96" s="66" t="s">
        <v>848</v>
      </c>
      <c r="D96" s="67" t="s">
        <v>363</v>
      </c>
      <c r="E96" s="30" t="s">
        <v>51</v>
      </c>
      <c r="F96" s="30" t="s">
        <v>69</v>
      </c>
      <c r="G96" s="30" t="s">
        <v>53</v>
      </c>
      <c r="H96" s="30" t="s">
        <v>54</v>
      </c>
      <c r="I96" s="30"/>
      <c r="J96" s="46">
        <v>45481</v>
      </c>
      <c r="K96" s="68">
        <f t="shared" ca="1" si="4"/>
        <v>2.117808219178082</v>
      </c>
      <c r="L96" s="46">
        <v>35255</v>
      </c>
      <c r="M96" s="51">
        <f t="shared" ca="1" si="5"/>
        <v>30</v>
      </c>
      <c r="N96" s="21" t="s">
        <v>1053</v>
      </c>
      <c r="O96" s="30"/>
      <c r="P96" s="30" t="s">
        <v>56</v>
      </c>
      <c r="Q96" s="30"/>
      <c r="R96" s="30"/>
      <c r="S96" s="21" t="s">
        <v>94</v>
      </c>
      <c r="T96" s="30" t="s">
        <v>849</v>
      </c>
      <c r="U96" s="21">
        <v>8940682358</v>
      </c>
      <c r="V96" s="21" t="s">
        <v>850</v>
      </c>
      <c r="W96" s="30"/>
      <c r="X96" s="65">
        <v>5610465963</v>
      </c>
      <c r="Y96" s="21" t="s">
        <v>851</v>
      </c>
      <c r="Z96" s="47"/>
      <c r="AA96" s="21" t="s">
        <v>1054</v>
      </c>
      <c r="AB96" s="21" t="s">
        <v>1055</v>
      </c>
      <c r="AC96" s="21" t="s">
        <v>215</v>
      </c>
      <c r="AD96" s="21" t="s">
        <v>932</v>
      </c>
      <c r="AE96" s="21" t="s">
        <v>853</v>
      </c>
      <c r="AF96" s="21" t="s">
        <v>853</v>
      </c>
      <c r="AG96" s="38">
        <v>7060</v>
      </c>
      <c r="AH96" s="38">
        <v>7981</v>
      </c>
      <c r="AI96" s="30"/>
      <c r="AJ96" s="30"/>
      <c r="AK96" s="30"/>
      <c r="AL96" s="38">
        <v>15041</v>
      </c>
      <c r="AM96" s="38">
        <v>15000</v>
      </c>
      <c r="AN96" s="38">
        <v>1950</v>
      </c>
      <c r="AO96" s="38">
        <v>488.83249999999998</v>
      </c>
      <c r="AP96" s="38">
        <v>1253.4166666666699</v>
      </c>
      <c r="AQ96" s="30"/>
      <c r="AR96" s="30"/>
      <c r="AS96" s="40">
        <v>1203.28</v>
      </c>
      <c r="AT96" s="69">
        <f t="shared" si="6"/>
        <v>19936.529166666671</v>
      </c>
    </row>
    <row r="97" spans="1:46" s="70" customFormat="1" ht="24">
      <c r="A97" s="52">
        <f t="shared" si="7"/>
        <v>95</v>
      </c>
      <c r="B97" s="65" t="s">
        <v>1056</v>
      </c>
      <c r="C97" s="66" t="s">
        <v>1057</v>
      </c>
      <c r="D97" s="67" t="s">
        <v>117</v>
      </c>
      <c r="E97" s="30" t="s">
        <v>51</v>
      </c>
      <c r="F97" s="30"/>
      <c r="G97" s="30" t="s">
        <v>53</v>
      </c>
      <c r="H97" s="30" t="s">
        <v>54</v>
      </c>
      <c r="I97" s="30"/>
      <c r="J97" s="46">
        <v>45631</v>
      </c>
      <c r="K97" s="68">
        <f t="shared" ca="1" si="4"/>
        <v>1.7068493150684931</v>
      </c>
      <c r="L97" s="46">
        <v>36161</v>
      </c>
      <c r="M97" s="51">
        <f t="shared" ca="1" si="5"/>
        <v>27</v>
      </c>
      <c r="N97" s="21" t="s">
        <v>414</v>
      </c>
      <c r="O97" s="30"/>
      <c r="P97" s="30" t="s">
        <v>56</v>
      </c>
      <c r="Q97" s="30" t="s">
        <v>1058</v>
      </c>
      <c r="R97" s="30"/>
      <c r="S97" s="21" t="s">
        <v>256</v>
      </c>
      <c r="T97" s="30" t="s">
        <v>1058</v>
      </c>
      <c r="U97" s="21">
        <v>9835001649</v>
      </c>
      <c r="V97" s="21" t="s">
        <v>1059</v>
      </c>
      <c r="W97" s="30"/>
      <c r="X97" s="65">
        <v>5610756486</v>
      </c>
      <c r="Y97" s="21" t="s">
        <v>1060</v>
      </c>
      <c r="Z97" s="47"/>
      <c r="AA97" s="21" t="s">
        <v>1061</v>
      </c>
      <c r="AB97" s="21" t="s">
        <v>1062</v>
      </c>
      <c r="AC97" s="21" t="s">
        <v>1063</v>
      </c>
      <c r="AD97" s="21" t="s">
        <v>1064</v>
      </c>
      <c r="AE97" s="21"/>
      <c r="AF97" s="21" t="s">
        <v>1065</v>
      </c>
      <c r="AG97" s="38">
        <v>7060</v>
      </c>
      <c r="AH97" s="38">
        <v>7981</v>
      </c>
      <c r="AI97" s="30"/>
      <c r="AJ97" s="30"/>
      <c r="AK97" s="30"/>
      <c r="AL97" s="38">
        <v>15041</v>
      </c>
      <c r="AM97" s="38">
        <v>15000</v>
      </c>
      <c r="AN97" s="38">
        <v>1950</v>
      </c>
      <c r="AO97" s="38">
        <v>488.83249999999998</v>
      </c>
      <c r="AP97" s="38">
        <v>1253.4166666666699</v>
      </c>
      <c r="AQ97" s="30"/>
      <c r="AR97" s="30"/>
      <c r="AS97" s="40">
        <v>1203.28</v>
      </c>
      <c r="AT97" s="69">
        <f t="shared" si="6"/>
        <v>19936.529166666671</v>
      </c>
    </row>
    <row r="98" spans="1:46" s="70" customFormat="1" ht="24">
      <c r="A98" s="52">
        <f t="shared" si="7"/>
        <v>96</v>
      </c>
      <c r="B98" s="65" t="s">
        <v>1066</v>
      </c>
      <c r="C98" s="66" t="s">
        <v>915</v>
      </c>
      <c r="D98" s="67" t="s">
        <v>117</v>
      </c>
      <c r="E98" s="30" t="s">
        <v>51</v>
      </c>
      <c r="F98" s="30"/>
      <c r="G98" s="30" t="s">
        <v>53</v>
      </c>
      <c r="H98" s="30" t="s">
        <v>54</v>
      </c>
      <c r="I98" s="30"/>
      <c r="J98" s="46">
        <v>45568</v>
      </c>
      <c r="K98" s="68">
        <f t="shared" ca="1" si="4"/>
        <v>1.8794520547945206</v>
      </c>
      <c r="L98" s="46">
        <v>36244</v>
      </c>
      <c r="M98" s="51">
        <f t="shared" ca="1" si="5"/>
        <v>27</v>
      </c>
      <c r="N98" s="21" t="s">
        <v>207</v>
      </c>
      <c r="O98" s="30"/>
      <c r="P98" s="30" t="s">
        <v>56</v>
      </c>
      <c r="Q98" s="30"/>
      <c r="R98" s="30"/>
      <c r="S98" s="21" t="s">
        <v>94</v>
      </c>
      <c r="T98" s="30" t="s">
        <v>917</v>
      </c>
      <c r="U98" s="21">
        <v>6204288201</v>
      </c>
      <c r="V98" s="21" t="s">
        <v>918</v>
      </c>
      <c r="W98" s="30"/>
      <c r="X98" s="65">
        <v>5610424437</v>
      </c>
      <c r="Y98" s="21" t="s">
        <v>1067</v>
      </c>
      <c r="Z98" s="47"/>
      <c r="AA98" s="21" t="s">
        <v>1068</v>
      </c>
      <c r="AB98" s="21" t="s">
        <v>1069</v>
      </c>
      <c r="AC98" s="21" t="s">
        <v>1070</v>
      </c>
      <c r="AD98" s="21" t="s">
        <v>1071</v>
      </c>
      <c r="AE98" s="21"/>
      <c r="AF98" s="21" t="s">
        <v>1072</v>
      </c>
      <c r="AG98" s="38">
        <v>7060</v>
      </c>
      <c r="AH98" s="38">
        <v>7981</v>
      </c>
      <c r="AI98" s="30"/>
      <c r="AJ98" s="30"/>
      <c r="AK98" s="30"/>
      <c r="AL98" s="38">
        <v>15041</v>
      </c>
      <c r="AM98" s="38">
        <v>15000</v>
      </c>
      <c r="AN98" s="38">
        <v>1950</v>
      </c>
      <c r="AO98" s="38">
        <v>488.83249999999998</v>
      </c>
      <c r="AP98" s="38">
        <v>1253.4166666666699</v>
      </c>
      <c r="AQ98" s="30"/>
      <c r="AR98" s="30"/>
      <c r="AS98" s="40">
        <v>1203.28</v>
      </c>
      <c r="AT98" s="69">
        <f t="shared" si="6"/>
        <v>19936.529166666671</v>
      </c>
    </row>
    <row r="99" spans="1:46" s="70" customFormat="1" ht="24">
      <c r="A99" s="52">
        <f t="shared" si="7"/>
        <v>97</v>
      </c>
      <c r="B99" s="65" t="s">
        <v>1073</v>
      </c>
      <c r="C99" s="66" t="s">
        <v>1074</v>
      </c>
      <c r="D99" s="67" t="s">
        <v>363</v>
      </c>
      <c r="E99" s="30" t="s">
        <v>51</v>
      </c>
      <c r="F99" s="30"/>
      <c r="G99" s="30" t="s">
        <v>53</v>
      </c>
      <c r="H99" s="30" t="s">
        <v>54</v>
      </c>
      <c r="I99" s="30"/>
      <c r="J99" s="46">
        <v>45609</v>
      </c>
      <c r="K99" s="68">
        <f t="shared" ca="1" si="4"/>
        <v>1.7671232876712328</v>
      </c>
      <c r="L99" s="46">
        <v>34700</v>
      </c>
      <c r="M99" s="51">
        <f t="shared" ca="1" si="5"/>
        <v>31</v>
      </c>
      <c r="N99" s="21"/>
      <c r="O99" s="30"/>
      <c r="P99" s="30" t="s">
        <v>56</v>
      </c>
      <c r="Q99" s="30" t="s">
        <v>1075</v>
      </c>
      <c r="R99" s="30"/>
      <c r="S99" s="21" t="s">
        <v>256</v>
      </c>
      <c r="T99" s="30" t="s">
        <v>1075</v>
      </c>
      <c r="U99" s="21">
        <v>9106845266</v>
      </c>
      <c r="V99" s="21" t="s">
        <v>1076</v>
      </c>
      <c r="W99" s="30"/>
      <c r="X99" s="65">
        <v>5610900502</v>
      </c>
      <c r="Y99" s="21" t="s">
        <v>1077</v>
      </c>
      <c r="Z99" s="47"/>
      <c r="AA99" s="21" t="s">
        <v>1078</v>
      </c>
      <c r="AB99" s="21" t="s">
        <v>1079</v>
      </c>
      <c r="AC99" s="21" t="s">
        <v>100</v>
      </c>
      <c r="AD99" s="21" t="s">
        <v>1080</v>
      </c>
      <c r="AE99" s="21"/>
      <c r="AF99" s="21" t="s">
        <v>1081</v>
      </c>
      <c r="AG99" s="38">
        <v>7060</v>
      </c>
      <c r="AH99" s="38">
        <v>7981</v>
      </c>
      <c r="AI99" s="30"/>
      <c r="AJ99" s="30"/>
      <c r="AK99" s="30"/>
      <c r="AL99" s="38">
        <v>15041</v>
      </c>
      <c r="AM99" s="38">
        <v>15000</v>
      </c>
      <c r="AN99" s="38">
        <v>1950</v>
      </c>
      <c r="AO99" s="38">
        <v>488.83249999999998</v>
      </c>
      <c r="AP99" s="38">
        <v>1253.4166666666699</v>
      </c>
      <c r="AQ99" s="30"/>
      <c r="AR99" s="30"/>
      <c r="AS99" s="40">
        <v>1203.28</v>
      </c>
      <c r="AT99" s="69">
        <f t="shared" si="6"/>
        <v>19936.529166666671</v>
      </c>
    </row>
    <row r="100" spans="1:46" s="70" customFormat="1" ht="24">
      <c r="A100" s="52">
        <f t="shared" si="7"/>
        <v>98</v>
      </c>
      <c r="B100" s="65" t="s">
        <v>1082</v>
      </c>
      <c r="C100" s="66" t="s">
        <v>1083</v>
      </c>
      <c r="D100" s="67" t="s">
        <v>363</v>
      </c>
      <c r="E100" s="30" t="s">
        <v>51</v>
      </c>
      <c r="F100" s="30" t="s">
        <v>1084</v>
      </c>
      <c r="G100" s="30" t="s">
        <v>53</v>
      </c>
      <c r="H100" s="30" t="s">
        <v>54</v>
      </c>
      <c r="I100" s="30"/>
      <c r="J100" s="46">
        <v>45369</v>
      </c>
      <c r="K100" s="68">
        <f t="shared" ca="1" si="4"/>
        <v>2.4246575342465753</v>
      </c>
      <c r="L100" s="46">
        <v>33393</v>
      </c>
      <c r="M100" s="51">
        <f t="shared" ca="1" si="5"/>
        <v>35</v>
      </c>
      <c r="N100" s="21" t="s">
        <v>1085</v>
      </c>
      <c r="O100" s="30"/>
      <c r="P100" s="30" t="s">
        <v>56</v>
      </c>
      <c r="Q100" s="30" t="s">
        <v>1086</v>
      </c>
      <c r="R100" s="30"/>
      <c r="S100" s="21" t="s">
        <v>256</v>
      </c>
      <c r="T100" s="30"/>
      <c r="U100" s="21">
        <v>9600699267</v>
      </c>
      <c r="V100" s="21" t="s">
        <v>1087</v>
      </c>
      <c r="W100" s="30"/>
      <c r="X100" s="65">
        <v>5610472552</v>
      </c>
      <c r="Y100" s="21" t="s">
        <v>1088</v>
      </c>
      <c r="Z100" s="47"/>
      <c r="AA100" s="21">
        <v>7541415023</v>
      </c>
      <c r="AB100" s="21" t="s">
        <v>1089</v>
      </c>
      <c r="AC100" s="21" t="s">
        <v>215</v>
      </c>
      <c r="AD100" s="21" t="s">
        <v>1090</v>
      </c>
      <c r="AE100" s="21" t="s">
        <v>1091</v>
      </c>
      <c r="AF100" s="21" t="s">
        <v>1091</v>
      </c>
      <c r="AG100" s="38">
        <v>7060</v>
      </c>
      <c r="AH100" s="38">
        <v>7981</v>
      </c>
      <c r="AI100" s="30"/>
      <c r="AJ100" s="30"/>
      <c r="AK100" s="30"/>
      <c r="AL100" s="38">
        <v>15041</v>
      </c>
      <c r="AM100" s="38">
        <v>15000</v>
      </c>
      <c r="AN100" s="38">
        <v>1950</v>
      </c>
      <c r="AO100" s="38">
        <v>488.83249999999998</v>
      </c>
      <c r="AP100" s="38">
        <v>1253.4166666666699</v>
      </c>
      <c r="AQ100" s="30"/>
      <c r="AR100" s="30"/>
      <c r="AS100" s="40">
        <v>1203.28</v>
      </c>
      <c r="AT100" s="69">
        <f t="shared" si="6"/>
        <v>19936.529166666671</v>
      </c>
    </row>
    <row r="101" spans="1:46" s="70" customFormat="1" ht="24">
      <c r="A101" s="52">
        <f t="shared" si="7"/>
        <v>99</v>
      </c>
      <c r="B101" s="65" t="s">
        <v>1092</v>
      </c>
      <c r="C101" s="66" t="s">
        <v>1093</v>
      </c>
      <c r="D101" s="67" t="s">
        <v>363</v>
      </c>
      <c r="E101" s="30" t="s">
        <v>51</v>
      </c>
      <c r="F101" s="30"/>
      <c r="G101" s="30" t="s">
        <v>53</v>
      </c>
      <c r="H101" s="30" t="s">
        <v>54</v>
      </c>
      <c r="I101" s="30"/>
      <c r="J101" s="46">
        <v>45367</v>
      </c>
      <c r="K101" s="68">
        <f t="shared" ca="1" si="4"/>
        <v>2.43013698630137</v>
      </c>
      <c r="L101" s="46">
        <v>31391</v>
      </c>
      <c r="M101" s="51">
        <f t="shared" ca="1" si="5"/>
        <v>40</v>
      </c>
      <c r="N101" s="21" t="s">
        <v>119</v>
      </c>
      <c r="O101" s="30"/>
      <c r="P101" s="30" t="s">
        <v>56</v>
      </c>
      <c r="Q101" s="30"/>
      <c r="R101" s="30"/>
      <c r="S101" s="21" t="s">
        <v>94</v>
      </c>
      <c r="T101" s="30" t="s">
        <v>1094</v>
      </c>
      <c r="U101" s="21">
        <v>9965224531</v>
      </c>
      <c r="V101" s="21" t="s">
        <v>1095</v>
      </c>
      <c r="W101" s="30"/>
      <c r="X101" s="65">
        <v>5610472257</v>
      </c>
      <c r="Y101" s="21" t="s">
        <v>1096</v>
      </c>
      <c r="Z101" s="47"/>
      <c r="AA101" s="21" t="s">
        <v>1097</v>
      </c>
      <c r="AB101" s="21" t="s">
        <v>1098</v>
      </c>
      <c r="AC101" s="21" t="s">
        <v>1099</v>
      </c>
      <c r="AD101" s="21" t="s">
        <v>787</v>
      </c>
      <c r="AE101" s="21"/>
      <c r="AF101" s="21" t="s">
        <v>1100</v>
      </c>
      <c r="AG101" s="38">
        <v>7060</v>
      </c>
      <c r="AH101" s="38">
        <v>7981</v>
      </c>
      <c r="AI101" s="30"/>
      <c r="AJ101" s="30"/>
      <c r="AK101" s="30"/>
      <c r="AL101" s="38">
        <v>15041</v>
      </c>
      <c r="AM101" s="38">
        <v>15000</v>
      </c>
      <c r="AN101" s="38">
        <v>1950</v>
      </c>
      <c r="AO101" s="38">
        <v>488.83249999999998</v>
      </c>
      <c r="AP101" s="38">
        <v>1253.4166666666699</v>
      </c>
      <c r="AQ101" s="30"/>
      <c r="AR101" s="30"/>
      <c r="AS101" s="40">
        <v>1203.28</v>
      </c>
      <c r="AT101" s="69">
        <f t="shared" si="6"/>
        <v>19936.529166666671</v>
      </c>
    </row>
    <row r="102" spans="1:46" s="70" customFormat="1" ht="24">
      <c r="A102" s="52">
        <f t="shared" si="7"/>
        <v>100</v>
      </c>
      <c r="B102" s="65" t="s">
        <v>1101</v>
      </c>
      <c r="C102" s="66" t="s">
        <v>1102</v>
      </c>
      <c r="D102" s="67" t="s">
        <v>117</v>
      </c>
      <c r="E102" s="30" t="s">
        <v>51</v>
      </c>
      <c r="F102" s="30"/>
      <c r="G102" s="30" t="s">
        <v>53</v>
      </c>
      <c r="H102" s="30" t="s">
        <v>54</v>
      </c>
      <c r="I102" s="30"/>
      <c r="J102" s="46">
        <v>45530</v>
      </c>
      <c r="K102" s="68">
        <f t="shared" ca="1" si="4"/>
        <v>1.9835616438356165</v>
      </c>
      <c r="L102" s="46">
        <v>36892</v>
      </c>
      <c r="M102" s="51">
        <f t="shared" ca="1" si="5"/>
        <v>25</v>
      </c>
      <c r="N102" s="21"/>
      <c r="O102" s="30"/>
      <c r="P102" s="30" t="s">
        <v>56</v>
      </c>
      <c r="Q102" s="30" t="s">
        <v>1103</v>
      </c>
      <c r="R102" s="30"/>
      <c r="S102" s="21" t="s">
        <v>256</v>
      </c>
      <c r="T102" s="30" t="s">
        <v>1103</v>
      </c>
      <c r="U102" s="21">
        <v>9835232153</v>
      </c>
      <c r="V102" s="21" t="s">
        <v>1104</v>
      </c>
      <c r="W102" s="30"/>
      <c r="X102" s="65" t="s">
        <v>1105</v>
      </c>
      <c r="Y102" s="21" t="s">
        <v>1106</v>
      </c>
      <c r="Z102" s="47"/>
      <c r="AA102" s="21" t="s">
        <v>1107</v>
      </c>
      <c r="AB102" s="21" t="s">
        <v>63</v>
      </c>
      <c r="AC102" s="21" t="s">
        <v>64</v>
      </c>
      <c r="AD102" s="21" t="s">
        <v>65</v>
      </c>
      <c r="AE102" s="21"/>
      <c r="AF102" s="21" t="s">
        <v>1108</v>
      </c>
      <c r="AG102" s="38">
        <v>7060</v>
      </c>
      <c r="AH102" s="38">
        <v>7981</v>
      </c>
      <c r="AI102" s="30"/>
      <c r="AJ102" s="30"/>
      <c r="AK102" s="30"/>
      <c r="AL102" s="38">
        <v>15041</v>
      </c>
      <c r="AM102" s="38">
        <v>15000</v>
      </c>
      <c r="AN102" s="38">
        <v>1950</v>
      </c>
      <c r="AO102" s="38">
        <v>488.83249999999998</v>
      </c>
      <c r="AP102" s="38">
        <v>1253.4166666666699</v>
      </c>
      <c r="AQ102" s="30"/>
      <c r="AR102" s="30"/>
      <c r="AS102" s="40">
        <v>1203.28</v>
      </c>
      <c r="AT102" s="69">
        <f t="shared" si="6"/>
        <v>19936.529166666671</v>
      </c>
    </row>
    <row r="103" spans="1:46" s="70" customFormat="1" ht="24">
      <c r="A103" s="52">
        <f t="shared" si="7"/>
        <v>101</v>
      </c>
      <c r="B103" s="65" t="s">
        <v>1109</v>
      </c>
      <c r="C103" s="66" t="s">
        <v>1110</v>
      </c>
      <c r="D103" s="67" t="s">
        <v>117</v>
      </c>
      <c r="E103" s="30" t="s">
        <v>51</v>
      </c>
      <c r="F103" s="30"/>
      <c r="G103" s="30" t="s">
        <v>53</v>
      </c>
      <c r="H103" s="30" t="s">
        <v>54</v>
      </c>
      <c r="I103" s="30"/>
      <c r="J103" s="46">
        <v>45530</v>
      </c>
      <c r="K103" s="68">
        <f t="shared" ca="1" si="4"/>
        <v>1.9835616438356165</v>
      </c>
      <c r="L103" s="46">
        <v>32509</v>
      </c>
      <c r="M103" s="51">
        <f t="shared" ca="1" si="5"/>
        <v>37</v>
      </c>
      <c r="N103" s="21"/>
      <c r="O103" s="30"/>
      <c r="P103" s="30" t="s">
        <v>56</v>
      </c>
      <c r="Q103" s="30" t="s">
        <v>1111</v>
      </c>
      <c r="R103" s="30"/>
      <c r="S103" s="21" t="s">
        <v>256</v>
      </c>
      <c r="T103" s="30" t="s">
        <v>1111</v>
      </c>
      <c r="U103" s="21">
        <v>7258956822</v>
      </c>
      <c r="V103" s="21" t="s">
        <v>1112</v>
      </c>
      <c r="W103" s="30"/>
      <c r="X103" s="65" t="s">
        <v>1113</v>
      </c>
      <c r="Y103" s="21" t="s">
        <v>1114</v>
      </c>
      <c r="Z103" s="47"/>
      <c r="AA103" s="21" t="s">
        <v>1115</v>
      </c>
      <c r="AB103" s="21" t="s">
        <v>63</v>
      </c>
      <c r="AC103" s="21" t="s">
        <v>64</v>
      </c>
      <c r="AD103" s="21" t="s">
        <v>65</v>
      </c>
      <c r="AE103" s="21"/>
      <c r="AF103" s="21" t="s">
        <v>1116</v>
      </c>
      <c r="AG103" s="38">
        <v>7060</v>
      </c>
      <c r="AH103" s="38">
        <v>7981</v>
      </c>
      <c r="AI103" s="30"/>
      <c r="AJ103" s="30"/>
      <c r="AK103" s="30"/>
      <c r="AL103" s="38">
        <v>15041</v>
      </c>
      <c r="AM103" s="38">
        <v>15000</v>
      </c>
      <c r="AN103" s="38">
        <v>1950</v>
      </c>
      <c r="AO103" s="38">
        <v>488.83249999999998</v>
      </c>
      <c r="AP103" s="38">
        <v>1253.4166666666699</v>
      </c>
      <c r="AQ103" s="30"/>
      <c r="AR103" s="30"/>
      <c r="AS103" s="40">
        <v>1203.28</v>
      </c>
      <c r="AT103" s="69">
        <f t="shared" si="6"/>
        <v>19936.529166666671</v>
      </c>
    </row>
    <row r="104" spans="1:46" s="70" customFormat="1" ht="24">
      <c r="A104" s="52">
        <f t="shared" si="7"/>
        <v>102</v>
      </c>
      <c r="B104" s="65" t="s">
        <v>1117</v>
      </c>
      <c r="C104" s="66" t="s">
        <v>1118</v>
      </c>
      <c r="D104" s="67" t="s">
        <v>117</v>
      </c>
      <c r="E104" s="30" t="s">
        <v>51</v>
      </c>
      <c r="F104" s="30"/>
      <c r="G104" s="30" t="s">
        <v>53</v>
      </c>
      <c r="H104" s="30" t="s">
        <v>54</v>
      </c>
      <c r="I104" s="30"/>
      <c r="J104" s="46">
        <v>45530</v>
      </c>
      <c r="K104" s="68">
        <f t="shared" ca="1" si="4"/>
        <v>1.9835616438356165</v>
      </c>
      <c r="L104" s="46">
        <v>37622</v>
      </c>
      <c r="M104" s="51">
        <f t="shared" ca="1" si="5"/>
        <v>23</v>
      </c>
      <c r="N104" s="21"/>
      <c r="O104" s="30"/>
      <c r="P104" s="30" t="s">
        <v>56</v>
      </c>
      <c r="Q104" s="30" t="s">
        <v>1119</v>
      </c>
      <c r="R104" s="30"/>
      <c r="S104" s="21" t="s">
        <v>256</v>
      </c>
      <c r="T104" s="30" t="s">
        <v>1119</v>
      </c>
      <c r="U104" s="21">
        <v>6206104283</v>
      </c>
      <c r="V104" s="21" t="s">
        <v>1120</v>
      </c>
      <c r="W104" s="30"/>
      <c r="X104" s="65" t="s">
        <v>1121</v>
      </c>
      <c r="Y104" s="21" t="s">
        <v>1122</v>
      </c>
      <c r="Z104" s="47"/>
      <c r="AA104" s="21" t="s">
        <v>1123</v>
      </c>
      <c r="AB104" s="21" t="s">
        <v>63</v>
      </c>
      <c r="AC104" s="21" t="s">
        <v>64</v>
      </c>
      <c r="AD104" s="21" t="s">
        <v>65</v>
      </c>
      <c r="AE104" s="21"/>
      <c r="AF104" s="21" t="s">
        <v>1116</v>
      </c>
      <c r="AG104" s="38">
        <v>7060</v>
      </c>
      <c r="AH104" s="38">
        <v>7981</v>
      </c>
      <c r="AI104" s="30"/>
      <c r="AJ104" s="30"/>
      <c r="AK104" s="30"/>
      <c r="AL104" s="38">
        <v>15041</v>
      </c>
      <c r="AM104" s="38">
        <v>15000</v>
      </c>
      <c r="AN104" s="38">
        <v>1950</v>
      </c>
      <c r="AO104" s="38">
        <v>488.83249999999998</v>
      </c>
      <c r="AP104" s="38">
        <v>1253.4166666666699</v>
      </c>
      <c r="AQ104" s="30"/>
      <c r="AR104" s="30"/>
      <c r="AS104" s="40">
        <v>1203.28</v>
      </c>
      <c r="AT104" s="69">
        <f t="shared" si="6"/>
        <v>19936.529166666671</v>
      </c>
    </row>
    <row r="105" spans="1:46" s="70" customFormat="1" ht="24">
      <c r="A105" s="52">
        <f t="shared" si="7"/>
        <v>103</v>
      </c>
      <c r="B105" s="65" t="s">
        <v>1124</v>
      </c>
      <c r="C105" s="66" t="s">
        <v>1125</v>
      </c>
      <c r="D105" s="67" t="s">
        <v>117</v>
      </c>
      <c r="E105" s="30" t="s">
        <v>51</v>
      </c>
      <c r="F105" s="30"/>
      <c r="G105" s="30" t="s">
        <v>53</v>
      </c>
      <c r="H105" s="30" t="s">
        <v>54</v>
      </c>
      <c r="I105" s="30"/>
      <c r="J105" s="46">
        <v>45530</v>
      </c>
      <c r="K105" s="68">
        <f t="shared" ca="1" si="4"/>
        <v>1.9835616438356165</v>
      </c>
      <c r="L105" s="46">
        <v>38889</v>
      </c>
      <c r="M105" s="51">
        <f t="shared" ca="1" si="5"/>
        <v>20</v>
      </c>
      <c r="N105" s="21"/>
      <c r="O105" s="30"/>
      <c r="P105" s="30" t="s">
        <v>56</v>
      </c>
      <c r="Q105" s="30" t="s">
        <v>1126</v>
      </c>
      <c r="R105" s="30"/>
      <c r="S105" s="21" t="s">
        <v>256</v>
      </c>
      <c r="T105" s="30" t="s">
        <v>1126</v>
      </c>
      <c r="U105" s="21">
        <v>9263108479</v>
      </c>
      <c r="V105" s="21" t="s">
        <v>1127</v>
      </c>
      <c r="W105" s="30"/>
      <c r="X105" s="65" t="s">
        <v>1128</v>
      </c>
      <c r="Y105" s="21" t="s">
        <v>1129</v>
      </c>
      <c r="Z105" s="47"/>
      <c r="AA105" s="21" t="s">
        <v>1130</v>
      </c>
      <c r="AB105" s="21" t="s">
        <v>63</v>
      </c>
      <c r="AC105" s="21" t="s">
        <v>64</v>
      </c>
      <c r="AD105" s="21" t="s">
        <v>65</v>
      </c>
      <c r="AE105" s="21"/>
      <c r="AF105" s="21" t="s">
        <v>1131</v>
      </c>
      <c r="AG105" s="38">
        <v>7060</v>
      </c>
      <c r="AH105" s="38">
        <v>7981</v>
      </c>
      <c r="AI105" s="30"/>
      <c r="AJ105" s="30"/>
      <c r="AK105" s="30"/>
      <c r="AL105" s="38">
        <v>15041</v>
      </c>
      <c r="AM105" s="38">
        <v>15000</v>
      </c>
      <c r="AN105" s="38">
        <v>1950</v>
      </c>
      <c r="AO105" s="38">
        <v>488.83249999999998</v>
      </c>
      <c r="AP105" s="38">
        <v>1253.4166666666699</v>
      </c>
      <c r="AQ105" s="30"/>
      <c r="AR105" s="30"/>
      <c r="AS105" s="40">
        <v>1203.28</v>
      </c>
      <c r="AT105" s="69">
        <f t="shared" si="6"/>
        <v>19936.529166666671</v>
      </c>
    </row>
    <row r="106" spans="1:46" s="70" customFormat="1" ht="24">
      <c r="A106" s="52">
        <f t="shared" si="7"/>
        <v>104</v>
      </c>
      <c r="B106" s="65" t="s">
        <v>1132</v>
      </c>
      <c r="C106" s="66" t="s">
        <v>1133</v>
      </c>
      <c r="D106" s="67" t="s">
        <v>117</v>
      </c>
      <c r="E106" s="30" t="s">
        <v>51</v>
      </c>
      <c r="F106" s="30"/>
      <c r="G106" s="30" t="s">
        <v>53</v>
      </c>
      <c r="H106" s="30" t="s">
        <v>54</v>
      </c>
      <c r="I106" s="30"/>
      <c r="J106" s="46">
        <v>45530</v>
      </c>
      <c r="K106" s="68">
        <f t="shared" ca="1" si="4"/>
        <v>1.9835616438356165</v>
      </c>
      <c r="L106" s="46">
        <v>33970</v>
      </c>
      <c r="M106" s="51">
        <f t="shared" ca="1" si="5"/>
        <v>33</v>
      </c>
      <c r="N106" s="21"/>
      <c r="O106" s="30"/>
      <c r="P106" s="30" t="s">
        <v>56</v>
      </c>
      <c r="Q106" s="30" t="s">
        <v>1119</v>
      </c>
      <c r="R106" s="30"/>
      <c r="S106" s="21" t="s">
        <v>256</v>
      </c>
      <c r="T106" s="30" t="s">
        <v>1119</v>
      </c>
      <c r="U106" s="21">
        <v>8294806551</v>
      </c>
      <c r="V106" s="21" t="s">
        <v>1134</v>
      </c>
      <c r="W106" s="30"/>
      <c r="X106" s="65" t="s">
        <v>1135</v>
      </c>
      <c r="Y106" s="21" t="s">
        <v>1136</v>
      </c>
      <c r="Z106" s="47"/>
      <c r="AA106" s="21" t="s">
        <v>1137</v>
      </c>
      <c r="AB106" s="21" t="s">
        <v>63</v>
      </c>
      <c r="AC106" s="21" t="s">
        <v>64</v>
      </c>
      <c r="AD106" s="21" t="s">
        <v>65</v>
      </c>
      <c r="AE106" s="21"/>
      <c r="AF106" s="21" t="s">
        <v>1116</v>
      </c>
      <c r="AG106" s="38">
        <v>7060</v>
      </c>
      <c r="AH106" s="38">
        <v>7981</v>
      </c>
      <c r="AI106" s="30"/>
      <c r="AJ106" s="30"/>
      <c r="AK106" s="30"/>
      <c r="AL106" s="38">
        <v>15041</v>
      </c>
      <c r="AM106" s="38">
        <v>15000</v>
      </c>
      <c r="AN106" s="38">
        <v>1950</v>
      </c>
      <c r="AO106" s="38">
        <v>488.83249999999998</v>
      </c>
      <c r="AP106" s="38">
        <v>1253.4166666666699</v>
      </c>
      <c r="AQ106" s="30"/>
      <c r="AR106" s="30"/>
      <c r="AS106" s="40">
        <v>1203.28</v>
      </c>
      <c r="AT106" s="69">
        <f t="shared" si="6"/>
        <v>19936.529166666671</v>
      </c>
    </row>
    <row r="107" spans="1:46" s="70" customFormat="1" ht="24">
      <c r="A107" s="52">
        <f t="shared" si="7"/>
        <v>105</v>
      </c>
      <c r="B107" s="65" t="s">
        <v>1138</v>
      </c>
      <c r="C107" s="66" t="s">
        <v>1139</v>
      </c>
      <c r="D107" s="67" t="s">
        <v>363</v>
      </c>
      <c r="E107" s="30" t="s">
        <v>51</v>
      </c>
      <c r="F107" s="30"/>
      <c r="G107" s="30" t="s">
        <v>53</v>
      </c>
      <c r="H107" s="30" t="s">
        <v>54</v>
      </c>
      <c r="I107" s="30"/>
      <c r="J107" s="46">
        <v>45603</v>
      </c>
      <c r="K107" s="68">
        <f t="shared" ca="1" si="4"/>
        <v>1.7835616438356163</v>
      </c>
      <c r="L107" s="46">
        <v>37988</v>
      </c>
      <c r="M107" s="51">
        <f t="shared" ca="1" si="5"/>
        <v>22</v>
      </c>
      <c r="N107" s="21" t="s">
        <v>414</v>
      </c>
      <c r="O107" s="30"/>
      <c r="P107" s="30" t="s">
        <v>56</v>
      </c>
      <c r="Q107" s="30" t="s">
        <v>833</v>
      </c>
      <c r="R107" s="30"/>
      <c r="S107" s="21" t="s">
        <v>256</v>
      </c>
      <c r="T107" s="30"/>
      <c r="U107" s="21">
        <v>8457855650</v>
      </c>
      <c r="V107" s="21" t="s">
        <v>1140</v>
      </c>
      <c r="W107" s="30"/>
      <c r="X107" s="65">
        <v>5610886740</v>
      </c>
      <c r="Y107" s="21" t="s">
        <v>1141</v>
      </c>
      <c r="Z107" s="47"/>
      <c r="AA107" s="21" t="s">
        <v>836</v>
      </c>
      <c r="AB107" s="21" t="s">
        <v>442</v>
      </c>
      <c r="AC107" s="21" t="s">
        <v>162</v>
      </c>
      <c r="AD107" s="21" t="s">
        <v>838</v>
      </c>
      <c r="AE107" s="21"/>
      <c r="AF107" s="21" t="s">
        <v>1142</v>
      </c>
      <c r="AG107" s="38">
        <v>7060</v>
      </c>
      <c r="AH107" s="38">
        <v>7981</v>
      </c>
      <c r="AI107" s="30"/>
      <c r="AJ107" s="30"/>
      <c r="AK107" s="30"/>
      <c r="AL107" s="38">
        <v>15041</v>
      </c>
      <c r="AM107" s="38">
        <v>15000</v>
      </c>
      <c r="AN107" s="38">
        <v>1950</v>
      </c>
      <c r="AO107" s="38">
        <v>488.83249999999998</v>
      </c>
      <c r="AP107" s="38">
        <v>1253.4166666666699</v>
      </c>
      <c r="AQ107" s="30"/>
      <c r="AR107" s="30"/>
      <c r="AS107" s="40">
        <v>1203.28</v>
      </c>
      <c r="AT107" s="69">
        <f t="shared" si="6"/>
        <v>19936.529166666671</v>
      </c>
    </row>
    <row r="108" spans="1:46" s="70" customFormat="1" ht="24">
      <c r="A108" s="52">
        <f t="shared" si="7"/>
        <v>106</v>
      </c>
      <c r="B108" s="65" t="s">
        <v>1143</v>
      </c>
      <c r="C108" s="66" t="s">
        <v>1144</v>
      </c>
      <c r="D108" s="67" t="s">
        <v>363</v>
      </c>
      <c r="E108" s="30" t="s">
        <v>51</v>
      </c>
      <c r="F108" s="30" t="s">
        <v>105</v>
      </c>
      <c r="G108" s="30" t="s">
        <v>53</v>
      </c>
      <c r="H108" s="30" t="s">
        <v>54</v>
      </c>
      <c r="I108" s="30"/>
      <c r="J108" s="46">
        <v>45604</v>
      </c>
      <c r="K108" s="68">
        <f t="shared" ca="1" si="4"/>
        <v>1.7808219178082192</v>
      </c>
      <c r="L108" s="46">
        <v>32236</v>
      </c>
      <c r="M108" s="51">
        <f t="shared" ca="1" si="5"/>
        <v>38</v>
      </c>
      <c r="N108" s="21"/>
      <c r="O108" s="30"/>
      <c r="P108" s="30" t="s">
        <v>56</v>
      </c>
      <c r="Q108" s="30" t="s">
        <v>783</v>
      </c>
      <c r="R108" s="30"/>
      <c r="S108" s="21" t="s">
        <v>256</v>
      </c>
      <c r="T108" s="30" t="s">
        <v>783</v>
      </c>
      <c r="U108" s="21">
        <v>9655943154</v>
      </c>
      <c r="V108" s="21" t="s">
        <v>1145</v>
      </c>
      <c r="W108" s="30"/>
      <c r="X108" s="65">
        <v>5610900470</v>
      </c>
      <c r="Y108" s="21" t="s">
        <v>1146</v>
      </c>
      <c r="Z108" s="47"/>
      <c r="AA108" s="21" t="s">
        <v>1147</v>
      </c>
      <c r="AB108" s="21" t="s">
        <v>111</v>
      </c>
      <c r="AC108" s="21" t="s">
        <v>1148</v>
      </c>
      <c r="AD108" s="21" t="s">
        <v>113</v>
      </c>
      <c r="AE108" s="21" t="s">
        <v>1149</v>
      </c>
      <c r="AF108" s="21" t="s">
        <v>1149</v>
      </c>
      <c r="AG108" s="38">
        <v>7060</v>
      </c>
      <c r="AH108" s="38">
        <v>7981</v>
      </c>
      <c r="AI108" s="30"/>
      <c r="AJ108" s="30"/>
      <c r="AK108" s="30"/>
      <c r="AL108" s="38">
        <v>15041</v>
      </c>
      <c r="AM108" s="38">
        <v>15000</v>
      </c>
      <c r="AN108" s="38">
        <v>1950</v>
      </c>
      <c r="AO108" s="38">
        <v>488.83249999999998</v>
      </c>
      <c r="AP108" s="38">
        <v>1253.4166666666699</v>
      </c>
      <c r="AQ108" s="30"/>
      <c r="AR108" s="30"/>
      <c r="AS108" s="40">
        <v>1203.28</v>
      </c>
      <c r="AT108" s="69">
        <f t="shared" si="6"/>
        <v>19936.529166666671</v>
      </c>
    </row>
    <row r="109" spans="1:46" s="70" customFormat="1" ht="24">
      <c r="A109" s="52">
        <f t="shared" si="7"/>
        <v>107</v>
      </c>
      <c r="B109" s="65" t="s">
        <v>1150</v>
      </c>
      <c r="C109" s="66" t="s">
        <v>1151</v>
      </c>
      <c r="D109" s="67" t="s">
        <v>363</v>
      </c>
      <c r="E109" s="30" t="s">
        <v>51</v>
      </c>
      <c r="F109" s="30" t="s">
        <v>105</v>
      </c>
      <c r="G109" s="30" t="s">
        <v>53</v>
      </c>
      <c r="H109" s="30" t="s">
        <v>54</v>
      </c>
      <c r="I109" s="30"/>
      <c r="J109" s="46">
        <v>45607</v>
      </c>
      <c r="K109" s="68">
        <f t="shared" ca="1" si="4"/>
        <v>1.7726027397260273</v>
      </c>
      <c r="L109" s="46">
        <v>31559</v>
      </c>
      <c r="M109" s="51">
        <f t="shared" ca="1" si="5"/>
        <v>40</v>
      </c>
      <c r="N109" s="21"/>
      <c r="O109" s="30"/>
      <c r="P109" s="30" t="s">
        <v>56</v>
      </c>
      <c r="Q109" s="30"/>
      <c r="R109" s="30"/>
      <c r="S109" s="21" t="s">
        <v>94</v>
      </c>
      <c r="T109" s="30" t="s">
        <v>1152</v>
      </c>
      <c r="U109" s="21">
        <v>9361044252</v>
      </c>
      <c r="V109" s="21" t="s">
        <v>1153</v>
      </c>
      <c r="W109" s="30"/>
      <c r="X109" s="65">
        <v>5610900484</v>
      </c>
      <c r="Y109" s="21" t="s">
        <v>1154</v>
      </c>
      <c r="Z109" s="47"/>
      <c r="AA109" s="21" t="s">
        <v>1155</v>
      </c>
      <c r="AB109" s="21" t="s">
        <v>111</v>
      </c>
      <c r="AC109" s="21" t="s">
        <v>1148</v>
      </c>
      <c r="AD109" s="21" t="s">
        <v>113</v>
      </c>
      <c r="AE109" s="21" t="s">
        <v>1156</v>
      </c>
      <c r="AF109" s="21" t="s">
        <v>1156</v>
      </c>
      <c r="AG109" s="38">
        <v>7060</v>
      </c>
      <c r="AH109" s="38">
        <v>7981</v>
      </c>
      <c r="AI109" s="30"/>
      <c r="AJ109" s="30"/>
      <c r="AK109" s="30"/>
      <c r="AL109" s="38">
        <v>15041</v>
      </c>
      <c r="AM109" s="38">
        <v>15000</v>
      </c>
      <c r="AN109" s="38">
        <v>1950</v>
      </c>
      <c r="AO109" s="38">
        <v>488.83249999999998</v>
      </c>
      <c r="AP109" s="38">
        <v>1253.4166666666699</v>
      </c>
      <c r="AQ109" s="30"/>
      <c r="AR109" s="30"/>
      <c r="AS109" s="40">
        <v>1203.28</v>
      </c>
      <c r="AT109" s="69">
        <f t="shared" si="6"/>
        <v>19936.529166666671</v>
      </c>
    </row>
    <row r="110" spans="1:46" s="70" customFormat="1" ht="24">
      <c r="A110" s="52">
        <f t="shared" si="7"/>
        <v>108</v>
      </c>
      <c r="B110" s="65" t="s">
        <v>1157</v>
      </c>
      <c r="C110" s="66" t="s">
        <v>1158</v>
      </c>
      <c r="D110" s="67" t="s">
        <v>363</v>
      </c>
      <c r="E110" s="30" t="s">
        <v>51</v>
      </c>
      <c r="F110" s="30" t="s">
        <v>113</v>
      </c>
      <c r="G110" s="30" t="s">
        <v>53</v>
      </c>
      <c r="H110" s="30" t="s">
        <v>54</v>
      </c>
      <c r="I110" s="30"/>
      <c r="J110" s="46">
        <v>45609</v>
      </c>
      <c r="K110" s="68">
        <f t="shared" ca="1" si="4"/>
        <v>1.7671232876712328</v>
      </c>
      <c r="L110" s="46">
        <v>36228</v>
      </c>
      <c r="M110" s="51">
        <f t="shared" ca="1" si="5"/>
        <v>27</v>
      </c>
      <c r="N110" s="21"/>
      <c r="O110" s="30"/>
      <c r="P110" s="30" t="s">
        <v>56</v>
      </c>
      <c r="Q110" s="30" t="s">
        <v>1159</v>
      </c>
      <c r="R110" s="30"/>
      <c r="S110" s="21" t="s">
        <v>256</v>
      </c>
      <c r="T110" s="30" t="s">
        <v>1159</v>
      </c>
      <c r="U110" s="21">
        <v>9940872859</v>
      </c>
      <c r="V110" s="21" t="s">
        <v>1160</v>
      </c>
      <c r="W110" s="30"/>
      <c r="X110" s="65">
        <v>5610900491</v>
      </c>
      <c r="Y110" s="21" t="s">
        <v>1161</v>
      </c>
      <c r="Z110" s="47"/>
      <c r="AA110" s="21" t="s">
        <v>1162</v>
      </c>
      <c r="AB110" s="21" t="s">
        <v>1163</v>
      </c>
      <c r="AC110" s="21" t="s">
        <v>162</v>
      </c>
      <c r="AD110" s="21" t="s">
        <v>1164</v>
      </c>
      <c r="AE110" s="21" t="s">
        <v>1165</v>
      </c>
      <c r="AF110" s="21" t="s">
        <v>1165</v>
      </c>
      <c r="AG110" s="38">
        <v>7060</v>
      </c>
      <c r="AH110" s="38">
        <v>7981</v>
      </c>
      <c r="AI110" s="30"/>
      <c r="AJ110" s="30"/>
      <c r="AK110" s="30"/>
      <c r="AL110" s="38">
        <v>15041</v>
      </c>
      <c r="AM110" s="38">
        <v>15000</v>
      </c>
      <c r="AN110" s="38">
        <v>1950</v>
      </c>
      <c r="AO110" s="38">
        <v>488.83249999999998</v>
      </c>
      <c r="AP110" s="38">
        <v>1253.4166666666699</v>
      </c>
      <c r="AQ110" s="30"/>
      <c r="AR110" s="30"/>
      <c r="AS110" s="40">
        <v>1203.28</v>
      </c>
      <c r="AT110" s="69">
        <f t="shared" si="6"/>
        <v>19936.529166666671</v>
      </c>
    </row>
    <row r="111" spans="1:46" s="70" customFormat="1" ht="24">
      <c r="A111" s="52">
        <f t="shared" si="7"/>
        <v>109</v>
      </c>
      <c r="B111" s="65" t="s">
        <v>1166</v>
      </c>
      <c r="C111" s="66" t="s">
        <v>156</v>
      </c>
      <c r="D111" s="67" t="s">
        <v>363</v>
      </c>
      <c r="E111" s="30" t="s">
        <v>51</v>
      </c>
      <c r="F111" s="30"/>
      <c r="G111" s="30" t="s">
        <v>53</v>
      </c>
      <c r="H111" s="30" t="s">
        <v>54</v>
      </c>
      <c r="I111" s="30"/>
      <c r="J111" s="46">
        <v>45610</v>
      </c>
      <c r="K111" s="68">
        <f t="shared" ca="1" si="4"/>
        <v>1.7643835616438357</v>
      </c>
      <c r="L111" s="46">
        <v>35753</v>
      </c>
      <c r="M111" s="51">
        <f t="shared" ca="1" si="5"/>
        <v>28</v>
      </c>
      <c r="N111" s="21" t="s">
        <v>106</v>
      </c>
      <c r="O111" s="30"/>
      <c r="P111" s="30" t="s">
        <v>56</v>
      </c>
      <c r="Q111" s="30"/>
      <c r="R111" s="30"/>
      <c r="S111" s="21" t="s">
        <v>94</v>
      </c>
      <c r="T111" s="30" t="s">
        <v>157</v>
      </c>
      <c r="U111" s="21">
        <v>8248087395</v>
      </c>
      <c r="V111" s="21" t="s">
        <v>158</v>
      </c>
      <c r="W111" s="30"/>
      <c r="X111" s="65">
        <v>5610900530</v>
      </c>
      <c r="Y111" s="21" t="s">
        <v>159</v>
      </c>
      <c r="Z111" s="47"/>
      <c r="AA111" s="21" t="s">
        <v>160</v>
      </c>
      <c r="AB111" s="21" t="s">
        <v>161</v>
      </c>
      <c r="AC111" s="21" t="s">
        <v>162</v>
      </c>
      <c r="AD111" s="21" t="s">
        <v>78</v>
      </c>
      <c r="AE111" s="21"/>
      <c r="AF111" s="21" t="s">
        <v>164</v>
      </c>
      <c r="AG111" s="38">
        <v>7060</v>
      </c>
      <c r="AH111" s="38">
        <v>7981</v>
      </c>
      <c r="AI111" s="30"/>
      <c r="AJ111" s="30"/>
      <c r="AK111" s="30"/>
      <c r="AL111" s="38">
        <v>15041</v>
      </c>
      <c r="AM111" s="38">
        <v>15000</v>
      </c>
      <c r="AN111" s="38">
        <v>1950</v>
      </c>
      <c r="AO111" s="38">
        <v>488.83249999999998</v>
      </c>
      <c r="AP111" s="38">
        <v>1253.4166666666699</v>
      </c>
      <c r="AQ111" s="30"/>
      <c r="AR111" s="30"/>
      <c r="AS111" s="40">
        <v>1203.28</v>
      </c>
      <c r="AT111" s="69">
        <f t="shared" si="6"/>
        <v>19936.529166666671</v>
      </c>
    </row>
    <row r="112" spans="1:46" s="70" customFormat="1" ht="24">
      <c r="A112" s="52">
        <f t="shared" si="7"/>
        <v>110</v>
      </c>
      <c r="B112" s="65" t="s">
        <v>1167</v>
      </c>
      <c r="C112" s="66" t="s">
        <v>1168</v>
      </c>
      <c r="D112" s="67" t="s">
        <v>363</v>
      </c>
      <c r="E112" s="30" t="s">
        <v>51</v>
      </c>
      <c r="F112" s="30"/>
      <c r="G112" s="30" t="s">
        <v>53</v>
      </c>
      <c r="H112" s="30" t="s">
        <v>54</v>
      </c>
      <c r="I112" s="30"/>
      <c r="J112" s="46">
        <v>45631</v>
      </c>
      <c r="K112" s="68">
        <f t="shared" ca="1" si="4"/>
        <v>1.7068493150684931</v>
      </c>
      <c r="L112" s="46">
        <v>38022</v>
      </c>
      <c r="M112" s="51">
        <f t="shared" ca="1" si="5"/>
        <v>22</v>
      </c>
      <c r="N112" s="21" t="s">
        <v>414</v>
      </c>
      <c r="O112" s="30"/>
      <c r="P112" s="30" t="s">
        <v>56</v>
      </c>
      <c r="Q112" s="30" t="s">
        <v>1169</v>
      </c>
      <c r="R112" s="30"/>
      <c r="S112" s="21" t="s">
        <v>256</v>
      </c>
      <c r="T112" s="30" t="s">
        <v>1169</v>
      </c>
      <c r="U112" s="21">
        <v>7848049055</v>
      </c>
      <c r="V112" s="21" t="s">
        <v>1170</v>
      </c>
      <c r="W112" s="30"/>
      <c r="X112" s="65">
        <v>5610940023</v>
      </c>
      <c r="Y112" s="21" t="s">
        <v>1171</v>
      </c>
      <c r="Z112" s="47"/>
      <c r="AA112" s="21" t="s">
        <v>641</v>
      </c>
      <c r="AB112" s="21" t="s">
        <v>642</v>
      </c>
      <c r="AC112" s="21" t="s">
        <v>643</v>
      </c>
      <c r="AD112" s="21" t="s">
        <v>644</v>
      </c>
      <c r="AE112" s="21"/>
      <c r="AF112" s="21" t="s">
        <v>1172</v>
      </c>
      <c r="AG112" s="38">
        <v>7060</v>
      </c>
      <c r="AH112" s="38">
        <v>7981</v>
      </c>
      <c r="AI112" s="30"/>
      <c r="AJ112" s="30"/>
      <c r="AK112" s="30"/>
      <c r="AL112" s="38">
        <v>15041</v>
      </c>
      <c r="AM112" s="38">
        <v>15000</v>
      </c>
      <c r="AN112" s="38">
        <v>1950</v>
      </c>
      <c r="AO112" s="38">
        <v>488.83249999999998</v>
      </c>
      <c r="AP112" s="38">
        <v>1253.4166666666699</v>
      </c>
      <c r="AQ112" s="30"/>
      <c r="AR112" s="30"/>
      <c r="AS112" s="40">
        <v>1203.28</v>
      </c>
      <c r="AT112" s="69">
        <f t="shared" si="6"/>
        <v>19936.529166666671</v>
      </c>
    </row>
    <row r="113" spans="1:46" s="70" customFormat="1" ht="24">
      <c r="A113" s="52">
        <f t="shared" si="7"/>
        <v>111</v>
      </c>
      <c r="B113" s="65" t="s">
        <v>1173</v>
      </c>
      <c r="C113" s="66" t="s">
        <v>1174</v>
      </c>
      <c r="D113" s="67" t="s">
        <v>363</v>
      </c>
      <c r="E113" s="30" t="s">
        <v>51</v>
      </c>
      <c r="F113" s="30" t="s">
        <v>105</v>
      </c>
      <c r="G113" s="30" t="s">
        <v>53</v>
      </c>
      <c r="H113" s="30" t="s">
        <v>54</v>
      </c>
      <c r="I113" s="30"/>
      <c r="J113" s="46">
        <v>45674</v>
      </c>
      <c r="K113" s="68">
        <f t="shared" ca="1" si="4"/>
        <v>1.5890410958904109</v>
      </c>
      <c r="L113" s="46">
        <v>36073</v>
      </c>
      <c r="M113" s="51">
        <f t="shared" ca="1" si="5"/>
        <v>27</v>
      </c>
      <c r="N113" s="21" t="s">
        <v>119</v>
      </c>
      <c r="O113" s="30"/>
      <c r="P113" s="30" t="s">
        <v>56</v>
      </c>
      <c r="Q113" s="30"/>
      <c r="R113" s="30"/>
      <c r="S113" s="21" t="s">
        <v>94</v>
      </c>
      <c r="T113" s="30" t="s">
        <v>1175</v>
      </c>
      <c r="U113" s="21">
        <v>9003317697</v>
      </c>
      <c r="V113" s="21" t="s">
        <v>1176</v>
      </c>
      <c r="W113" s="30"/>
      <c r="X113" s="65">
        <v>5610995103</v>
      </c>
      <c r="Y113" s="21" t="s">
        <v>1177</v>
      </c>
      <c r="Z113" s="47"/>
      <c r="AA113" s="21" t="s">
        <v>1178</v>
      </c>
      <c r="AB113" s="21" t="s">
        <v>111</v>
      </c>
      <c r="AC113" s="21" t="s">
        <v>1148</v>
      </c>
      <c r="AD113" s="21" t="s">
        <v>113</v>
      </c>
      <c r="AE113" s="21" t="s">
        <v>1179</v>
      </c>
      <c r="AF113" s="21" t="s">
        <v>1179</v>
      </c>
      <c r="AG113" s="38">
        <v>7060</v>
      </c>
      <c r="AH113" s="38">
        <v>7981</v>
      </c>
      <c r="AI113" s="30"/>
      <c r="AJ113" s="30"/>
      <c r="AK113" s="30"/>
      <c r="AL113" s="38">
        <v>15041</v>
      </c>
      <c r="AM113" s="38">
        <v>15000</v>
      </c>
      <c r="AN113" s="38">
        <v>1950</v>
      </c>
      <c r="AO113" s="38">
        <v>488.83249999999998</v>
      </c>
      <c r="AP113" s="38">
        <v>1253.4166666666699</v>
      </c>
      <c r="AQ113" s="30"/>
      <c r="AR113" s="30"/>
      <c r="AS113" s="40">
        <v>1203.28</v>
      </c>
      <c r="AT113" s="69">
        <f t="shared" si="6"/>
        <v>19936.529166666671</v>
      </c>
    </row>
    <row r="114" spans="1:46" s="70" customFormat="1" ht="24">
      <c r="A114" s="52">
        <f t="shared" si="7"/>
        <v>112</v>
      </c>
      <c r="B114" s="65" t="s">
        <v>1180</v>
      </c>
      <c r="C114" s="66" t="s">
        <v>58</v>
      </c>
      <c r="D114" s="67" t="s">
        <v>363</v>
      </c>
      <c r="E114" s="30" t="s">
        <v>51</v>
      </c>
      <c r="F114" s="30" t="s">
        <v>136</v>
      </c>
      <c r="G114" s="30" t="s">
        <v>53</v>
      </c>
      <c r="H114" s="30" t="s">
        <v>54</v>
      </c>
      <c r="I114" s="30"/>
      <c r="J114" s="46">
        <v>45247</v>
      </c>
      <c r="K114" s="68">
        <f t="shared" ca="1" si="4"/>
        <v>2.7589041095890412</v>
      </c>
      <c r="L114" s="46">
        <v>38416</v>
      </c>
      <c r="M114" s="51">
        <f t="shared" ca="1" si="5"/>
        <v>21</v>
      </c>
      <c r="N114" s="21" t="s">
        <v>106</v>
      </c>
      <c r="O114" s="30"/>
      <c r="P114" s="30" t="s">
        <v>56</v>
      </c>
      <c r="Q114" s="30"/>
      <c r="R114" s="30" t="s">
        <v>1181</v>
      </c>
      <c r="S114" s="21" t="s">
        <v>94</v>
      </c>
      <c r="T114" s="30"/>
      <c r="U114" s="21">
        <v>7708622392</v>
      </c>
      <c r="V114" s="21" t="s">
        <v>1182</v>
      </c>
      <c r="W114" s="30"/>
      <c r="X114" s="65">
        <v>5610275269</v>
      </c>
      <c r="Y114" s="21" t="s">
        <v>1183</v>
      </c>
      <c r="Z114" s="47"/>
      <c r="AA114" s="21" t="s">
        <v>1184</v>
      </c>
      <c r="AB114" s="21" t="s">
        <v>111</v>
      </c>
      <c r="AC114" s="21" t="s">
        <v>713</v>
      </c>
      <c r="AD114" s="21" t="s">
        <v>516</v>
      </c>
      <c r="AE114" s="21" t="s">
        <v>1185</v>
      </c>
      <c r="AF114" s="21" t="s">
        <v>1185</v>
      </c>
      <c r="AG114" s="38">
        <v>7060</v>
      </c>
      <c r="AH114" s="38">
        <v>7981</v>
      </c>
      <c r="AI114" s="30"/>
      <c r="AJ114" s="30"/>
      <c r="AK114" s="30"/>
      <c r="AL114" s="38">
        <v>15041</v>
      </c>
      <c r="AM114" s="38">
        <v>15000</v>
      </c>
      <c r="AN114" s="38">
        <v>1950</v>
      </c>
      <c r="AO114" s="38">
        <v>488.83249999999998</v>
      </c>
      <c r="AP114" s="38">
        <v>1253.4166666666699</v>
      </c>
      <c r="AQ114" s="30"/>
      <c r="AR114" s="30"/>
      <c r="AS114" s="40">
        <v>1203.28</v>
      </c>
      <c r="AT114" s="69">
        <f t="shared" si="6"/>
        <v>19936.529166666671</v>
      </c>
    </row>
    <row r="115" spans="1:46" s="70" customFormat="1" ht="24">
      <c r="A115" s="52">
        <f t="shared" si="7"/>
        <v>113</v>
      </c>
      <c r="B115" s="65" t="s">
        <v>1186</v>
      </c>
      <c r="C115" s="66" t="s">
        <v>841</v>
      </c>
      <c r="D115" s="67" t="s">
        <v>363</v>
      </c>
      <c r="E115" s="30" t="s">
        <v>51</v>
      </c>
      <c r="F115" s="30" t="s">
        <v>105</v>
      </c>
      <c r="G115" s="30" t="s">
        <v>53</v>
      </c>
      <c r="H115" s="30" t="s">
        <v>54</v>
      </c>
      <c r="I115" s="30"/>
      <c r="J115" s="46">
        <v>45497</v>
      </c>
      <c r="K115" s="68">
        <f t="shared" ca="1" si="4"/>
        <v>2.0739726027397261</v>
      </c>
      <c r="L115" s="46">
        <v>30811</v>
      </c>
      <c r="M115" s="51">
        <f t="shared" ca="1" si="5"/>
        <v>42</v>
      </c>
      <c r="N115" s="21" t="s">
        <v>511</v>
      </c>
      <c r="O115" s="30"/>
      <c r="P115" s="30" t="s">
        <v>56</v>
      </c>
      <c r="Q115" s="30"/>
      <c r="R115" s="30"/>
      <c r="S115" s="21" t="s">
        <v>94</v>
      </c>
      <c r="T115" s="30" t="s">
        <v>783</v>
      </c>
      <c r="U115" s="21">
        <v>7373976768</v>
      </c>
      <c r="V115" s="21" t="s">
        <v>843</v>
      </c>
      <c r="W115" s="30"/>
      <c r="X115" s="65">
        <v>5610655034</v>
      </c>
      <c r="Y115" s="21" t="s">
        <v>1187</v>
      </c>
      <c r="Z115" s="47"/>
      <c r="AA115" s="21" t="s">
        <v>845</v>
      </c>
      <c r="AB115" s="21" t="s">
        <v>99</v>
      </c>
      <c r="AC115" s="21" t="s">
        <v>461</v>
      </c>
      <c r="AD115" s="21" t="s">
        <v>462</v>
      </c>
      <c r="AE115" s="21" t="s">
        <v>846</v>
      </c>
      <c r="AF115" s="21" t="s">
        <v>846</v>
      </c>
      <c r="AG115" s="38">
        <v>7060</v>
      </c>
      <c r="AH115" s="38">
        <v>7981</v>
      </c>
      <c r="AI115" s="30"/>
      <c r="AJ115" s="30"/>
      <c r="AK115" s="30"/>
      <c r="AL115" s="38">
        <v>15041</v>
      </c>
      <c r="AM115" s="38">
        <v>15000</v>
      </c>
      <c r="AN115" s="38">
        <v>1950</v>
      </c>
      <c r="AO115" s="38">
        <v>488.83249999999998</v>
      </c>
      <c r="AP115" s="38">
        <v>1253.4166666666699</v>
      </c>
      <c r="AQ115" s="30"/>
      <c r="AR115" s="30"/>
      <c r="AS115" s="40">
        <v>1203.28</v>
      </c>
      <c r="AT115" s="69">
        <f t="shared" si="6"/>
        <v>19936.529166666671</v>
      </c>
    </row>
    <row r="116" spans="1:46" s="70" customFormat="1" ht="24">
      <c r="A116" s="52">
        <f t="shared" si="7"/>
        <v>114</v>
      </c>
      <c r="B116" s="65" t="s">
        <v>1188</v>
      </c>
      <c r="C116" s="66" t="s">
        <v>1189</v>
      </c>
      <c r="D116" s="67" t="s">
        <v>363</v>
      </c>
      <c r="E116" s="30" t="s">
        <v>51</v>
      </c>
      <c r="F116" s="30"/>
      <c r="G116" s="30" t="s">
        <v>53</v>
      </c>
      <c r="H116" s="30" t="s">
        <v>54</v>
      </c>
      <c r="I116" s="30"/>
      <c r="J116" s="46">
        <v>45497</v>
      </c>
      <c r="K116" s="68">
        <f t="shared" ca="1" si="4"/>
        <v>2.0739726027397261</v>
      </c>
      <c r="L116" s="46">
        <v>38575</v>
      </c>
      <c r="M116" s="51">
        <f t="shared" ca="1" si="5"/>
        <v>21</v>
      </c>
      <c r="N116" s="21" t="s">
        <v>106</v>
      </c>
      <c r="O116" s="30"/>
      <c r="P116" s="30" t="s">
        <v>56</v>
      </c>
      <c r="Q116" s="30"/>
      <c r="R116" s="30"/>
      <c r="S116" s="21" t="s">
        <v>94</v>
      </c>
      <c r="T116" s="30" t="s">
        <v>1190</v>
      </c>
      <c r="U116" s="21">
        <v>8021523251</v>
      </c>
      <c r="V116" s="21" t="s">
        <v>639</v>
      </c>
      <c r="W116" s="30"/>
      <c r="X116" s="65">
        <v>5610544015</v>
      </c>
      <c r="Y116" s="21" t="s">
        <v>1191</v>
      </c>
      <c r="Z116" s="47"/>
      <c r="AA116" s="21" t="s">
        <v>641</v>
      </c>
      <c r="AB116" s="21" t="s">
        <v>642</v>
      </c>
      <c r="AC116" s="21" t="s">
        <v>643</v>
      </c>
      <c r="AD116" s="21" t="s">
        <v>644</v>
      </c>
      <c r="AE116" s="21"/>
      <c r="AF116" s="21" t="s">
        <v>645</v>
      </c>
      <c r="AG116" s="38">
        <v>7060</v>
      </c>
      <c r="AH116" s="38">
        <v>7981</v>
      </c>
      <c r="AI116" s="30"/>
      <c r="AJ116" s="30"/>
      <c r="AK116" s="30"/>
      <c r="AL116" s="38">
        <v>15041</v>
      </c>
      <c r="AM116" s="38">
        <v>15000</v>
      </c>
      <c r="AN116" s="38">
        <v>1950</v>
      </c>
      <c r="AO116" s="38">
        <v>488.83249999999998</v>
      </c>
      <c r="AP116" s="38">
        <v>1253.4166666666699</v>
      </c>
      <c r="AQ116" s="30"/>
      <c r="AR116" s="30"/>
      <c r="AS116" s="40">
        <v>1203.28</v>
      </c>
      <c r="AT116" s="69">
        <f t="shared" si="6"/>
        <v>19936.529166666671</v>
      </c>
    </row>
    <row r="117" spans="1:46" s="70" customFormat="1" ht="24">
      <c r="A117" s="52">
        <f t="shared" si="7"/>
        <v>115</v>
      </c>
      <c r="B117" s="65" t="s">
        <v>1192</v>
      </c>
      <c r="C117" s="66" t="s">
        <v>1193</v>
      </c>
      <c r="D117" s="67" t="s">
        <v>363</v>
      </c>
      <c r="E117" s="30" t="s">
        <v>51</v>
      </c>
      <c r="F117" s="30" t="s">
        <v>69</v>
      </c>
      <c r="G117" s="30" t="s">
        <v>53</v>
      </c>
      <c r="H117" s="30" t="s">
        <v>54</v>
      </c>
      <c r="I117" s="30"/>
      <c r="J117" s="46">
        <v>45611</v>
      </c>
      <c r="K117" s="68">
        <f t="shared" ca="1" si="4"/>
        <v>1.7616438356164383</v>
      </c>
      <c r="L117" s="46">
        <v>37291</v>
      </c>
      <c r="M117" s="51">
        <f t="shared" ca="1" si="5"/>
        <v>24</v>
      </c>
      <c r="N117" s="21" t="s">
        <v>106</v>
      </c>
      <c r="O117" s="30"/>
      <c r="P117" s="30" t="s">
        <v>56</v>
      </c>
      <c r="Q117" s="30" t="s">
        <v>1194</v>
      </c>
      <c r="R117" s="30"/>
      <c r="S117" s="21" t="s">
        <v>256</v>
      </c>
      <c r="T117" s="30" t="s">
        <v>1194</v>
      </c>
      <c r="U117" s="21">
        <v>9790138401</v>
      </c>
      <c r="V117" s="21" t="s">
        <v>1195</v>
      </c>
      <c r="W117" s="30"/>
      <c r="X117" s="65">
        <v>5610900562</v>
      </c>
      <c r="Y117" s="21" t="s">
        <v>1196</v>
      </c>
      <c r="Z117" s="47"/>
      <c r="AA117" s="21" t="s">
        <v>1197</v>
      </c>
      <c r="AB117" s="21" t="s">
        <v>270</v>
      </c>
      <c r="AC117" s="21" t="s">
        <v>100</v>
      </c>
      <c r="AD117" s="21" t="s">
        <v>271</v>
      </c>
      <c r="AE117" s="21" t="s">
        <v>1198</v>
      </c>
      <c r="AF117" s="21" t="s">
        <v>1198</v>
      </c>
      <c r="AG117" s="38">
        <v>7060</v>
      </c>
      <c r="AH117" s="38">
        <v>7981</v>
      </c>
      <c r="AI117" s="30"/>
      <c r="AJ117" s="30"/>
      <c r="AK117" s="30"/>
      <c r="AL117" s="38">
        <v>15041</v>
      </c>
      <c r="AM117" s="38">
        <v>15000</v>
      </c>
      <c r="AN117" s="38">
        <v>1950</v>
      </c>
      <c r="AO117" s="38">
        <v>488.83249999999998</v>
      </c>
      <c r="AP117" s="38">
        <v>1253.4166666666699</v>
      </c>
      <c r="AQ117" s="30"/>
      <c r="AR117" s="30"/>
      <c r="AS117" s="40">
        <v>1203.28</v>
      </c>
      <c r="AT117" s="69">
        <f t="shared" si="6"/>
        <v>19936.529166666671</v>
      </c>
    </row>
    <row r="118" spans="1:46" s="70" customFormat="1" ht="24">
      <c r="A118" s="52">
        <f t="shared" si="7"/>
        <v>116</v>
      </c>
      <c r="B118" s="65" t="s">
        <v>1199</v>
      </c>
      <c r="C118" s="66" t="s">
        <v>1144</v>
      </c>
      <c r="D118" s="67" t="s">
        <v>363</v>
      </c>
      <c r="E118" s="30" t="s">
        <v>51</v>
      </c>
      <c r="F118" s="30" t="s">
        <v>105</v>
      </c>
      <c r="G118" s="30" t="s">
        <v>53</v>
      </c>
      <c r="H118" s="30" t="s">
        <v>54</v>
      </c>
      <c r="I118" s="30"/>
      <c r="J118" s="46">
        <v>45705</v>
      </c>
      <c r="K118" s="68">
        <f t="shared" ca="1" si="4"/>
        <v>1.5041095890410958</v>
      </c>
      <c r="L118" s="46">
        <v>32236</v>
      </c>
      <c r="M118" s="51">
        <f t="shared" ca="1" si="5"/>
        <v>38</v>
      </c>
      <c r="N118" s="21"/>
      <c r="O118" s="30"/>
      <c r="P118" s="30" t="s">
        <v>56</v>
      </c>
      <c r="Q118" s="30" t="s">
        <v>783</v>
      </c>
      <c r="R118" s="30"/>
      <c r="S118" s="21" t="s">
        <v>256</v>
      </c>
      <c r="T118" s="30" t="s">
        <v>783</v>
      </c>
      <c r="U118" s="21">
        <v>9655943154</v>
      </c>
      <c r="V118" s="21" t="s">
        <v>1145</v>
      </c>
      <c r="W118" s="30"/>
      <c r="X118" s="65">
        <v>5610900470</v>
      </c>
      <c r="Y118" s="21" t="s">
        <v>1146</v>
      </c>
      <c r="Z118" s="47"/>
      <c r="AA118" s="21" t="s">
        <v>1147</v>
      </c>
      <c r="AB118" s="21" t="s">
        <v>111</v>
      </c>
      <c r="AC118" s="21" t="s">
        <v>1148</v>
      </c>
      <c r="AD118" s="21" t="s">
        <v>113</v>
      </c>
      <c r="AE118" s="21" t="s">
        <v>1149</v>
      </c>
      <c r="AF118" s="21" t="s">
        <v>1149</v>
      </c>
      <c r="AG118" s="38">
        <v>7060</v>
      </c>
      <c r="AH118" s="38">
        <v>7981</v>
      </c>
      <c r="AI118" s="30"/>
      <c r="AJ118" s="30"/>
      <c r="AK118" s="30"/>
      <c r="AL118" s="38">
        <v>15041</v>
      </c>
      <c r="AM118" s="38">
        <v>15000</v>
      </c>
      <c r="AN118" s="38">
        <v>1950</v>
      </c>
      <c r="AO118" s="38">
        <v>488.83249999999998</v>
      </c>
      <c r="AP118" s="38">
        <v>1253.4166666666699</v>
      </c>
      <c r="AQ118" s="30"/>
      <c r="AR118" s="30"/>
      <c r="AS118" s="40">
        <v>1203.28</v>
      </c>
      <c r="AT118" s="69">
        <f t="shared" si="6"/>
        <v>19936.529166666671</v>
      </c>
    </row>
    <row r="119" spans="1:46" s="70" customFormat="1" ht="24">
      <c r="A119" s="52">
        <f t="shared" si="7"/>
        <v>117</v>
      </c>
      <c r="B119" s="65" t="s">
        <v>1200</v>
      </c>
      <c r="C119" s="66" t="s">
        <v>1201</v>
      </c>
      <c r="D119" s="67" t="s">
        <v>363</v>
      </c>
      <c r="E119" s="30" t="s">
        <v>51</v>
      </c>
      <c r="F119" s="30"/>
      <c r="G119" s="30" t="s">
        <v>53</v>
      </c>
      <c r="H119" s="30" t="s">
        <v>54</v>
      </c>
      <c r="I119" s="30"/>
      <c r="J119" s="46">
        <v>45482</v>
      </c>
      <c r="K119" s="68">
        <f t="shared" ca="1" si="4"/>
        <v>2.1150684931506851</v>
      </c>
      <c r="L119" s="46">
        <v>36504</v>
      </c>
      <c r="M119" s="51">
        <f t="shared" ca="1" si="5"/>
        <v>26</v>
      </c>
      <c r="N119" s="21" t="s">
        <v>119</v>
      </c>
      <c r="O119" s="30"/>
      <c r="P119" s="30" t="s">
        <v>56</v>
      </c>
      <c r="Q119" s="30"/>
      <c r="R119" s="30"/>
      <c r="S119" s="21" t="s">
        <v>94</v>
      </c>
      <c r="T119" s="30" t="s">
        <v>677</v>
      </c>
      <c r="U119" s="21">
        <v>8260505219</v>
      </c>
      <c r="V119" s="21" t="s">
        <v>678</v>
      </c>
      <c r="W119" s="30"/>
      <c r="X119" s="65">
        <v>5610283745</v>
      </c>
      <c r="Y119" s="21" t="s">
        <v>1202</v>
      </c>
      <c r="Z119" s="47"/>
      <c r="AA119" s="21" t="s">
        <v>1203</v>
      </c>
      <c r="AB119" s="21" t="s">
        <v>63</v>
      </c>
      <c r="AC119" s="21" t="s">
        <v>64</v>
      </c>
      <c r="AD119" s="21" t="s">
        <v>65</v>
      </c>
      <c r="AE119" s="21"/>
      <c r="AF119" s="21" t="s">
        <v>681</v>
      </c>
      <c r="AG119" s="38">
        <v>7060</v>
      </c>
      <c r="AH119" s="38">
        <v>7981</v>
      </c>
      <c r="AI119" s="30"/>
      <c r="AJ119" s="30"/>
      <c r="AK119" s="30"/>
      <c r="AL119" s="38">
        <v>15041</v>
      </c>
      <c r="AM119" s="38">
        <v>15000</v>
      </c>
      <c r="AN119" s="38">
        <v>1950</v>
      </c>
      <c r="AO119" s="38">
        <v>488.83249999999998</v>
      </c>
      <c r="AP119" s="38">
        <v>1253.4166666666699</v>
      </c>
      <c r="AQ119" s="30"/>
      <c r="AR119" s="30"/>
      <c r="AS119" s="40">
        <v>1203.28</v>
      </c>
      <c r="AT119" s="69">
        <f t="shared" si="6"/>
        <v>19936.529166666671</v>
      </c>
    </row>
    <row r="120" spans="1:46" s="70" customFormat="1" ht="24">
      <c r="A120" s="52">
        <f t="shared" si="7"/>
        <v>118</v>
      </c>
      <c r="B120" s="65" t="s">
        <v>1204</v>
      </c>
      <c r="C120" s="66" t="s">
        <v>1205</v>
      </c>
      <c r="D120" s="67" t="s">
        <v>117</v>
      </c>
      <c r="E120" s="30" t="s">
        <v>51</v>
      </c>
      <c r="F120" s="30" t="s">
        <v>69</v>
      </c>
      <c r="G120" s="30" t="s">
        <v>53</v>
      </c>
      <c r="H120" s="30" t="s">
        <v>54</v>
      </c>
      <c r="I120" s="30"/>
      <c r="J120" s="46">
        <v>45525</v>
      </c>
      <c r="K120" s="68">
        <f t="shared" ca="1" si="4"/>
        <v>1.9972602739726026</v>
      </c>
      <c r="L120" s="46">
        <v>38764</v>
      </c>
      <c r="M120" s="51">
        <f t="shared" ca="1" si="5"/>
        <v>20</v>
      </c>
      <c r="N120" s="21" t="s">
        <v>119</v>
      </c>
      <c r="O120" s="30"/>
      <c r="P120" s="30" t="s">
        <v>56</v>
      </c>
      <c r="Q120" s="30" t="s">
        <v>1206</v>
      </c>
      <c r="R120" s="30"/>
      <c r="S120" s="21" t="s">
        <v>256</v>
      </c>
      <c r="T120" s="30"/>
      <c r="U120" s="21">
        <v>8122379100</v>
      </c>
      <c r="V120" s="21" t="s">
        <v>1207</v>
      </c>
      <c r="W120" s="30"/>
      <c r="X120" s="65">
        <v>5610761746</v>
      </c>
      <c r="Y120" s="21" t="s">
        <v>1208</v>
      </c>
      <c r="Z120" s="47"/>
      <c r="AA120" s="21" t="s">
        <v>1209</v>
      </c>
      <c r="AB120" s="21" t="s">
        <v>1210</v>
      </c>
      <c r="AC120" s="21" t="s">
        <v>1211</v>
      </c>
      <c r="AD120" s="21" t="s">
        <v>1212</v>
      </c>
      <c r="AE120" s="21" t="s">
        <v>1213</v>
      </c>
      <c r="AF120" s="21" t="s">
        <v>1213</v>
      </c>
      <c r="AG120" s="38">
        <v>7060</v>
      </c>
      <c r="AH120" s="38">
        <v>7981</v>
      </c>
      <c r="AI120" s="30"/>
      <c r="AJ120" s="30"/>
      <c r="AK120" s="30"/>
      <c r="AL120" s="38">
        <v>15041</v>
      </c>
      <c r="AM120" s="38">
        <v>15000</v>
      </c>
      <c r="AN120" s="38">
        <v>1950</v>
      </c>
      <c r="AO120" s="38">
        <v>488.83249999999998</v>
      </c>
      <c r="AP120" s="38">
        <v>1253.4166666666699</v>
      </c>
      <c r="AQ120" s="30"/>
      <c r="AR120" s="30"/>
      <c r="AS120" s="40">
        <v>1203.28</v>
      </c>
      <c r="AT120" s="69">
        <f t="shared" si="6"/>
        <v>19936.529166666671</v>
      </c>
    </row>
    <row r="121" spans="1:46" s="70" customFormat="1" ht="24">
      <c r="A121" s="52">
        <f t="shared" si="7"/>
        <v>119</v>
      </c>
      <c r="B121" s="65" t="s">
        <v>1214</v>
      </c>
      <c r="C121" s="66" t="s">
        <v>1215</v>
      </c>
      <c r="D121" s="67" t="s">
        <v>363</v>
      </c>
      <c r="E121" s="30" t="s">
        <v>51</v>
      </c>
      <c r="F121" s="30" t="s">
        <v>105</v>
      </c>
      <c r="G121" s="30" t="s">
        <v>53</v>
      </c>
      <c r="H121" s="30" t="s">
        <v>54</v>
      </c>
      <c r="I121" s="30"/>
      <c r="J121" s="46">
        <v>45246</v>
      </c>
      <c r="K121" s="68">
        <f t="shared" ca="1" si="4"/>
        <v>2.7616438356164386</v>
      </c>
      <c r="L121" s="46">
        <v>30792</v>
      </c>
      <c r="M121" s="51">
        <f t="shared" ca="1" si="5"/>
        <v>42</v>
      </c>
      <c r="N121" s="21" t="s">
        <v>106</v>
      </c>
      <c r="O121" s="30"/>
      <c r="P121" s="30" t="s">
        <v>56</v>
      </c>
      <c r="Q121" s="30"/>
      <c r="R121" s="30"/>
      <c r="S121" s="21" t="s">
        <v>94</v>
      </c>
      <c r="T121" s="30" t="s">
        <v>1216</v>
      </c>
      <c r="U121" s="21">
        <v>8870672378</v>
      </c>
      <c r="V121" s="21" t="s">
        <v>1217</v>
      </c>
      <c r="W121" s="30"/>
      <c r="X121" s="65">
        <v>5610275190</v>
      </c>
      <c r="Y121" s="21" t="s">
        <v>1218</v>
      </c>
      <c r="Z121" s="47"/>
      <c r="AA121" s="21" t="s">
        <v>1219</v>
      </c>
      <c r="AB121" s="21" t="s">
        <v>99</v>
      </c>
      <c r="AC121" s="21" t="s">
        <v>389</v>
      </c>
      <c r="AD121" s="21" t="s">
        <v>462</v>
      </c>
      <c r="AE121" s="21" t="s">
        <v>762</v>
      </c>
      <c r="AF121" s="21" t="s">
        <v>762</v>
      </c>
      <c r="AG121" s="38">
        <v>7060</v>
      </c>
      <c r="AH121" s="38">
        <v>7981</v>
      </c>
      <c r="AI121" s="30"/>
      <c r="AJ121" s="30"/>
      <c r="AK121" s="30"/>
      <c r="AL121" s="38">
        <v>15041</v>
      </c>
      <c r="AM121" s="38">
        <v>15000</v>
      </c>
      <c r="AN121" s="38">
        <v>1950</v>
      </c>
      <c r="AO121" s="38">
        <v>488.83249999999998</v>
      </c>
      <c r="AP121" s="38">
        <v>1253.4166666666699</v>
      </c>
      <c r="AQ121" s="30"/>
      <c r="AR121" s="30"/>
      <c r="AS121" s="40">
        <v>1203.28</v>
      </c>
      <c r="AT121" s="69">
        <f t="shared" si="6"/>
        <v>19936.529166666671</v>
      </c>
    </row>
    <row r="122" spans="1:46" s="70" customFormat="1" ht="24">
      <c r="A122" s="52">
        <f t="shared" si="7"/>
        <v>120</v>
      </c>
      <c r="B122" s="65" t="s">
        <v>1220</v>
      </c>
      <c r="C122" s="66" t="s">
        <v>915</v>
      </c>
      <c r="D122" s="67" t="s">
        <v>117</v>
      </c>
      <c r="E122" s="30" t="s">
        <v>51</v>
      </c>
      <c r="F122" s="30"/>
      <c r="G122" s="30" t="s">
        <v>53</v>
      </c>
      <c r="H122" s="30" t="s">
        <v>916</v>
      </c>
      <c r="I122" s="30"/>
      <c r="J122" s="46">
        <v>45497</v>
      </c>
      <c r="K122" s="68">
        <f t="shared" ca="1" si="4"/>
        <v>2.0739726027397261</v>
      </c>
      <c r="L122" s="46">
        <v>36244</v>
      </c>
      <c r="M122" s="51">
        <f t="shared" ca="1" si="5"/>
        <v>27</v>
      </c>
      <c r="N122" s="21" t="s">
        <v>207</v>
      </c>
      <c r="O122" s="30"/>
      <c r="P122" s="30" t="s">
        <v>56</v>
      </c>
      <c r="Q122" s="30"/>
      <c r="R122" s="30"/>
      <c r="S122" s="21" t="s">
        <v>94</v>
      </c>
      <c r="T122" s="30" t="s">
        <v>917</v>
      </c>
      <c r="U122" s="21">
        <v>8021523251</v>
      </c>
      <c r="V122" s="21" t="s">
        <v>639</v>
      </c>
      <c r="W122" s="30"/>
      <c r="X122" s="65">
        <v>5610544015</v>
      </c>
      <c r="Y122" s="21" t="s">
        <v>1191</v>
      </c>
      <c r="Z122" s="47"/>
      <c r="AA122" s="21" t="s">
        <v>920</v>
      </c>
      <c r="AB122" s="21" t="s">
        <v>921</v>
      </c>
      <c r="AC122" s="21" t="s">
        <v>643</v>
      </c>
      <c r="AD122" s="21" t="s">
        <v>644</v>
      </c>
      <c r="AE122" s="21"/>
      <c r="AF122" s="21" t="s">
        <v>923</v>
      </c>
      <c r="AG122" s="38">
        <v>7060</v>
      </c>
      <c r="AH122" s="38">
        <v>7981</v>
      </c>
      <c r="AI122" s="30"/>
      <c r="AJ122" s="30"/>
      <c r="AK122" s="30"/>
      <c r="AL122" s="38">
        <v>15041</v>
      </c>
      <c r="AM122" s="38">
        <v>15000</v>
      </c>
      <c r="AN122" s="38">
        <v>1950</v>
      </c>
      <c r="AO122" s="38">
        <v>488.83249999999998</v>
      </c>
      <c r="AP122" s="38">
        <v>1253.4166666666699</v>
      </c>
      <c r="AQ122" s="30"/>
      <c r="AR122" s="30"/>
      <c r="AS122" s="40">
        <v>1203.28</v>
      </c>
      <c r="AT122" s="69">
        <f t="shared" si="6"/>
        <v>19936.529166666671</v>
      </c>
    </row>
    <row r="123" spans="1:46" s="70" customFormat="1" ht="24">
      <c r="A123" s="52">
        <f t="shared" si="7"/>
        <v>121</v>
      </c>
      <c r="B123" s="65" t="s">
        <v>1221</v>
      </c>
      <c r="C123" s="66" t="s">
        <v>1222</v>
      </c>
      <c r="D123" s="67" t="s">
        <v>363</v>
      </c>
      <c r="E123" s="30" t="s">
        <v>51</v>
      </c>
      <c r="F123" s="30"/>
      <c r="G123" s="30" t="s">
        <v>53</v>
      </c>
      <c r="H123" s="30" t="s">
        <v>54</v>
      </c>
      <c r="I123" s="30"/>
      <c r="J123" s="46">
        <v>45482</v>
      </c>
      <c r="K123" s="68">
        <f t="shared" ca="1" si="4"/>
        <v>2.1150684931506851</v>
      </c>
      <c r="L123" s="46">
        <v>36595</v>
      </c>
      <c r="M123" s="51">
        <f t="shared" ca="1" si="5"/>
        <v>26</v>
      </c>
      <c r="N123" s="21" t="s">
        <v>119</v>
      </c>
      <c r="O123" s="30"/>
      <c r="P123" s="30" t="s">
        <v>56</v>
      </c>
      <c r="Q123" s="30" t="s">
        <v>1223</v>
      </c>
      <c r="R123" s="30"/>
      <c r="S123" s="21" t="s">
        <v>256</v>
      </c>
      <c r="T123" s="30"/>
      <c r="U123" s="21">
        <v>7609078766</v>
      </c>
      <c r="V123" s="21" t="s">
        <v>1224</v>
      </c>
      <c r="W123" s="30"/>
      <c r="X123" s="65">
        <v>5610722477</v>
      </c>
      <c r="Y123" s="21" t="s">
        <v>1225</v>
      </c>
      <c r="Z123" s="47"/>
      <c r="AA123" s="21" t="s">
        <v>1226</v>
      </c>
      <c r="AB123" s="21" t="s">
        <v>1227</v>
      </c>
      <c r="AC123" s="21" t="s">
        <v>162</v>
      </c>
      <c r="AD123" s="21" t="s">
        <v>1228</v>
      </c>
      <c r="AE123" s="21"/>
      <c r="AF123" s="21" t="s">
        <v>1229</v>
      </c>
      <c r="AG123" s="38">
        <v>7060</v>
      </c>
      <c r="AH123" s="38">
        <v>7981</v>
      </c>
      <c r="AI123" s="30"/>
      <c r="AJ123" s="30"/>
      <c r="AK123" s="30"/>
      <c r="AL123" s="38">
        <v>15041</v>
      </c>
      <c r="AM123" s="38">
        <v>15000</v>
      </c>
      <c r="AN123" s="38">
        <v>1950</v>
      </c>
      <c r="AO123" s="38">
        <v>488.83249999999998</v>
      </c>
      <c r="AP123" s="38">
        <v>1253.4166666666699</v>
      </c>
      <c r="AQ123" s="30"/>
      <c r="AR123" s="30"/>
      <c r="AS123" s="40">
        <v>1203.28</v>
      </c>
      <c r="AT123" s="69">
        <f t="shared" si="6"/>
        <v>19936.529166666671</v>
      </c>
    </row>
    <row r="124" spans="1:46" s="70" customFormat="1" ht="24">
      <c r="A124" s="52">
        <f t="shared" si="7"/>
        <v>122</v>
      </c>
      <c r="B124" s="65" t="s">
        <v>1230</v>
      </c>
      <c r="C124" s="66" t="s">
        <v>1231</v>
      </c>
      <c r="D124" s="67" t="s">
        <v>363</v>
      </c>
      <c r="E124" s="30" t="s">
        <v>51</v>
      </c>
      <c r="F124" s="30" t="s">
        <v>136</v>
      </c>
      <c r="G124" s="30" t="s">
        <v>53</v>
      </c>
      <c r="H124" s="30" t="s">
        <v>54</v>
      </c>
      <c r="I124" s="30"/>
      <c r="J124" s="46">
        <v>45840</v>
      </c>
      <c r="K124" s="68">
        <f t="shared" ca="1" si="4"/>
        <v>1.1342465753424658</v>
      </c>
      <c r="L124" s="46">
        <v>35680</v>
      </c>
      <c r="M124" s="51">
        <f t="shared" ca="1" si="5"/>
        <v>28</v>
      </c>
      <c r="N124" s="21" t="s">
        <v>1232</v>
      </c>
      <c r="O124" s="30"/>
      <c r="P124" s="30" t="s">
        <v>56</v>
      </c>
      <c r="Q124" s="30"/>
      <c r="R124" s="30"/>
      <c r="S124" s="21" t="s">
        <v>1233</v>
      </c>
      <c r="T124" s="30" t="s">
        <v>1234</v>
      </c>
      <c r="U124" s="21">
        <v>6385848212</v>
      </c>
      <c r="V124" s="21" t="s">
        <v>1235</v>
      </c>
      <c r="W124" s="30"/>
      <c r="X124" s="65">
        <v>5611313268</v>
      </c>
      <c r="Y124" s="21" t="s">
        <v>1236</v>
      </c>
      <c r="Z124" s="47"/>
      <c r="AA124" s="21" t="s">
        <v>1237</v>
      </c>
      <c r="AB124" s="21" t="s">
        <v>1238</v>
      </c>
      <c r="AC124" s="21" t="s">
        <v>905</v>
      </c>
      <c r="AD124" s="21"/>
      <c r="AE124" s="21" t="s">
        <v>1239</v>
      </c>
      <c r="AF124" s="21" t="s">
        <v>1239</v>
      </c>
      <c r="AG124" s="38">
        <v>7060</v>
      </c>
      <c r="AH124" s="38">
        <v>7981</v>
      </c>
      <c r="AI124" s="30"/>
      <c r="AJ124" s="30"/>
      <c r="AK124" s="30"/>
      <c r="AL124" s="38">
        <v>15041</v>
      </c>
      <c r="AM124" s="38">
        <v>15000</v>
      </c>
      <c r="AN124" s="38">
        <v>1950</v>
      </c>
      <c r="AO124" s="38">
        <v>488.83249999999998</v>
      </c>
      <c r="AP124" s="38">
        <v>1253.4166666666699</v>
      </c>
      <c r="AQ124" s="30"/>
      <c r="AR124" s="30"/>
      <c r="AS124" s="40">
        <v>1203.28</v>
      </c>
      <c r="AT124" s="69">
        <f t="shared" si="6"/>
        <v>19936.529166666671</v>
      </c>
    </row>
    <row r="125" spans="1:46" s="70" customFormat="1" ht="24">
      <c r="A125" s="52">
        <f t="shared" si="7"/>
        <v>123</v>
      </c>
      <c r="B125" s="65" t="s">
        <v>1240</v>
      </c>
      <c r="C125" s="66" t="s">
        <v>1241</v>
      </c>
      <c r="D125" s="67" t="s">
        <v>363</v>
      </c>
      <c r="E125" s="30" t="s">
        <v>51</v>
      </c>
      <c r="F125" s="30" t="s">
        <v>136</v>
      </c>
      <c r="G125" s="30" t="s">
        <v>53</v>
      </c>
      <c r="H125" s="30" t="s">
        <v>54</v>
      </c>
      <c r="I125" s="30"/>
      <c r="J125" s="46">
        <v>45845</v>
      </c>
      <c r="K125" s="68">
        <f t="shared" ca="1" si="4"/>
        <v>1.1205479452054794</v>
      </c>
      <c r="L125" s="46">
        <v>31522</v>
      </c>
      <c r="M125" s="51">
        <f t="shared" ca="1" si="5"/>
        <v>40</v>
      </c>
      <c r="N125" s="21"/>
      <c r="O125" s="30"/>
      <c r="P125" s="30" t="s">
        <v>56</v>
      </c>
      <c r="Q125" s="30"/>
      <c r="R125" s="30"/>
      <c r="S125" s="21" t="s">
        <v>1233</v>
      </c>
      <c r="T125" s="30" t="s">
        <v>1242</v>
      </c>
      <c r="U125" s="21">
        <v>8531818248</v>
      </c>
      <c r="V125" s="21" t="s">
        <v>1243</v>
      </c>
      <c r="W125" s="30"/>
      <c r="X125" s="65">
        <v>5611313313</v>
      </c>
      <c r="Y125" s="21" t="s">
        <v>1244</v>
      </c>
      <c r="Z125" s="47"/>
      <c r="AA125" s="21" t="s">
        <v>1245</v>
      </c>
      <c r="AB125" s="21" t="s">
        <v>388</v>
      </c>
      <c r="AC125" s="21" t="s">
        <v>389</v>
      </c>
      <c r="AD125" s="21"/>
      <c r="AE125" s="21" t="s">
        <v>1246</v>
      </c>
      <c r="AF125" s="21" t="s">
        <v>1246</v>
      </c>
      <c r="AG125" s="38">
        <v>7060</v>
      </c>
      <c r="AH125" s="38">
        <v>7981</v>
      </c>
      <c r="AI125" s="30"/>
      <c r="AJ125" s="30"/>
      <c r="AK125" s="30"/>
      <c r="AL125" s="38">
        <v>15041</v>
      </c>
      <c r="AM125" s="38">
        <v>15000</v>
      </c>
      <c r="AN125" s="38">
        <v>1950</v>
      </c>
      <c r="AO125" s="38">
        <v>488.83249999999998</v>
      </c>
      <c r="AP125" s="38">
        <v>1253.4166666666699</v>
      </c>
      <c r="AQ125" s="30"/>
      <c r="AR125" s="30"/>
      <c r="AS125" s="40">
        <v>1203.28</v>
      </c>
      <c r="AT125" s="69">
        <f t="shared" si="6"/>
        <v>19936.529166666671</v>
      </c>
    </row>
    <row r="126" spans="1:46" s="70" customFormat="1" ht="24">
      <c r="A126" s="52">
        <f t="shared" si="7"/>
        <v>124</v>
      </c>
      <c r="B126" s="65" t="s">
        <v>1247</v>
      </c>
      <c r="C126" s="66" t="s">
        <v>1248</v>
      </c>
      <c r="D126" s="67" t="s">
        <v>363</v>
      </c>
      <c r="E126" s="30" t="s">
        <v>51</v>
      </c>
      <c r="F126" s="30" t="s">
        <v>695</v>
      </c>
      <c r="G126" s="30" t="s">
        <v>53</v>
      </c>
      <c r="H126" s="30" t="s">
        <v>54</v>
      </c>
      <c r="I126" s="30"/>
      <c r="J126" s="46">
        <v>45845</v>
      </c>
      <c r="K126" s="68">
        <f t="shared" ca="1" si="4"/>
        <v>1.1205479452054794</v>
      </c>
      <c r="L126" s="46">
        <v>30131</v>
      </c>
      <c r="M126" s="51">
        <f t="shared" ca="1" si="5"/>
        <v>44</v>
      </c>
      <c r="N126" s="21" t="s">
        <v>253</v>
      </c>
      <c r="O126" s="30"/>
      <c r="P126" s="30" t="s">
        <v>56</v>
      </c>
      <c r="Q126" s="30"/>
      <c r="R126" s="30"/>
      <c r="S126" s="21" t="s">
        <v>1233</v>
      </c>
      <c r="T126" s="30" t="s">
        <v>1249</v>
      </c>
      <c r="U126" s="21">
        <v>9944359295</v>
      </c>
      <c r="V126" s="21" t="s">
        <v>1250</v>
      </c>
      <c r="W126" s="30"/>
      <c r="X126" s="65">
        <v>5611313286</v>
      </c>
      <c r="Y126" s="21" t="s">
        <v>1251</v>
      </c>
      <c r="Z126" s="47"/>
      <c r="AA126" s="21" t="s">
        <v>1252</v>
      </c>
      <c r="AB126" s="21" t="s">
        <v>1253</v>
      </c>
      <c r="AC126" s="21" t="s">
        <v>1254</v>
      </c>
      <c r="AD126" s="21" t="s">
        <v>1255</v>
      </c>
      <c r="AE126" s="21" t="s">
        <v>1256</v>
      </c>
      <c r="AF126" s="21" t="s">
        <v>1256</v>
      </c>
      <c r="AG126" s="38">
        <v>7060</v>
      </c>
      <c r="AH126" s="38">
        <v>7981</v>
      </c>
      <c r="AI126" s="30"/>
      <c r="AJ126" s="30"/>
      <c r="AK126" s="30"/>
      <c r="AL126" s="38">
        <v>15041</v>
      </c>
      <c r="AM126" s="38">
        <v>15000</v>
      </c>
      <c r="AN126" s="38">
        <v>1950</v>
      </c>
      <c r="AO126" s="38">
        <v>488.83249999999998</v>
      </c>
      <c r="AP126" s="38">
        <v>1253.4166666666699</v>
      </c>
      <c r="AQ126" s="30"/>
      <c r="AR126" s="30"/>
      <c r="AS126" s="40">
        <v>1203.28</v>
      </c>
      <c r="AT126" s="69">
        <f t="shared" si="6"/>
        <v>19936.529166666671</v>
      </c>
    </row>
    <row r="127" spans="1:46" s="70" customFormat="1" ht="24">
      <c r="A127" s="52">
        <f t="shared" si="7"/>
        <v>125</v>
      </c>
      <c r="B127" s="65" t="s">
        <v>1257</v>
      </c>
      <c r="C127" s="66" t="s">
        <v>1258</v>
      </c>
      <c r="D127" s="67" t="s">
        <v>363</v>
      </c>
      <c r="E127" s="30" t="s">
        <v>51</v>
      </c>
      <c r="F127" s="30" t="s">
        <v>444</v>
      </c>
      <c r="G127" s="30" t="s">
        <v>53</v>
      </c>
      <c r="H127" s="30" t="s">
        <v>54</v>
      </c>
      <c r="I127" s="30"/>
      <c r="J127" s="46">
        <v>45846</v>
      </c>
      <c r="K127" s="68">
        <f t="shared" ca="1" si="4"/>
        <v>1.1178082191780823</v>
      </c>
      <c r="L127" s="46">
        <v>33666</v>
      </c>
      <c r="M127" s="51">
        <f t="shared" ca="1" si="5"/>
        <v>34</v>
      </c>
      <c r="N127" s="21" t="s">
        <v>253</v>
      </c>
      <c r="O127" s="30"/>
      <c r="P127" s="30" t="s">
        <v>56</v>
      </c>
      <c r="Q127" s="30"/>
      <c r="R127" s="30"/>
      <c r="S127" s="21" t="s">
        <v>1233</v>
      </c>
      <c r="T127" s="30"/>
      <c r="U127" s="21">
        <v>6382373396</v>
      </c>
      <c r="V127" s="21" t="s">
        <v>1259</v>
      </c>
      <c r="W127" s="30"/>
      <c r="X127" s="65">
        <v>5610286128</v>
      </c>
      <c r="Y127" s="21" t="s">
        <v>1260</v>
      </c>
      <c r="Z127" s="47"/>
      <c r="AA127" s="21" t="s">
        <v>1261</v>
      </c>
      <c r="AB127" s="21" t="s">
        <v>1163</v>
      </c>
      <c r="AC127" s="21" t="s">
        <v>1262</v>
      </c>
      <c r="AD127" s="21" t="s">
        <v>1255</v>
      </c>
      <c r="AE127" s="21" t="s">
        <v>1263</v>
      </c>
      <c r="AF127" s="21" t="s">
        <v>1263</v>
      </c>
      <c r="AG127" s="38">
        <v>7060</v>
      </c>
      <c r="AH127" s="38">
        <v>7981</v>
      </c>
      <c r="AI127" s="30"/>
      <c r="AJ127" s="30"/>
      <c r="AK127" s="30"/>
      <c r="AL127" s="38">
        <v>15041</v>
      </c>
      <c r="AM127" s="38">
        <v>15000</v>
      </c>
      <c r="AN127" s="38">
        <v>1950</v>
      </c>
      <c r="AO127" s="38">
        <v>488.83249999999998</v>
      </c>
      <c r="AP127" s="38">
        <v>1253.4166666666699</v>
      </c>
      <c r="AQ127" s="30"/>
      <c r="AR127" s="30"/>
      <c r="AS127" s="40">
        <v>1203.28</v>
      </c>
      <c r="AT127" s="69">
        <f t="shared" si="6"/>
        <v>19936.529166666671</v>
      </c>
    </row>
    <row r="128" spans="1:46" s="70" customFormat="1" ht="24">
      <c r="A128" s="52">
        <f t="shared" si="7"/>
        <v>126</v>
      </c>
      <c r="B128" s="65" t="s">
        <v>1264</v>
      </c>
      <c r="C128" s="66" t="s">
        <v>1265</v>
      </c>
      <c r="D128" s="67" t="s">
        <v>363</v>
      </c>
      <c r="E128" s="30" t="s">
        <v>51</v>
      </c>
      <c r="F128" s="30"/>
      <c r="G128" s="30" t="s">
        <v>53</v>
      </c>
      <c r="H128" s="30" t="s">
        <v>54</v>
      </c>
      <c r="I128" s="30"/>
      <c r="J128" s="46">
        <v>45846</v>
      </c>
      <c r="K128" s="68">
        <f t="shared" ca="1" si="4"/>
        <v>1.1178082191780823</v>
      </c>
      <c r="L128" s="46">
        <v>31544</v>
      </c>
      <c r="M128" s="51">
        <f t="shared" ca="1" si="5"/>
        <v>40</v>
      </c>
      <c r="N128" s="21" t="s">
        <v>93</v>
      </c>
      <c r="O128" s="30"/>
      <c r="P128" s="30" t="s">
        <v>56</v>
      </c>
      <c r="Q128" s="30"/>
      <c r="R128" s="30"/>
      <c r="S128" s="21" t="s">
        <v>1233</v>
      </c>
      <c r="T128" s="30" t="s">
        <v>1266</v>
      </c>
      <c r="U128" s="21">
        <v>9976317965</v>
      </c>
      <c r="V128" s="21" t="s">
        <v>1267</v>
      </c>
      <c r="W128" s="30"/>
      <c r="X128" s="65">
        <v>5611328126</v>
      </c>
      <c r="Y128" s="21" t="s">
        <v>1268</v>
      </c>
      <c r="Z128" s="47"/>
      <c r="AA128" s="21" t="s">
        <v>1269</v>
      </c>
      <c r="AB128" s="21" t="s">
        <v>1270</v>
      </c>
      <c r="AC128" s="21" t="s">
        <v>389</v>
      </c>
      <c r="AD128" s="21" t="s">
        <v>1271</v>
      </c>
      <c r="AE128" s="21"/>
      <c r="AF128" s="21" t="s">
        <v>1272</v>
      </c>
      <c r="AG128" s="38">
        <v>7060</v>
      </c>
      <c r="AH128" s="38">
        <v>7981</v>
      </c>
      <c r="AI128" s="30"/>
      <c r="AJ128" s="30"/>
      <c r="AK128" s="30"/>
      <c r="AL128" s="38">
        <v>15041</v>
      </c>
      <c r="AM128" s="38">
        <v>15000</v>
      </c>
      <c r="AN128" s="38">
        <v>1950</v>
      </c>
      <c r="AO128" s="38">
        <v>488.83249999999998</v>
      </c>
      <c r="AP128" s="38">
        <v>1253.4166666666699</v>
      </c>
      <c r="AQ128" s="30"/>
      <c r="AR128" s="30"/>
      <c r="AS128" s="40">
        <v>1203.28</v>
      </c>
      <c r="AT128" s="69">
        <f t="shared" si="6"/>
        <v>19936.529166666671</v>
      </c>
    </row>
    <row r="129" spans="1:46" s="70" customFormat="1" ht="24">
      <c r="A129" s="52">
        <f t="shared" si="7"/>
        <v>127</v>
      </c>
      <c r="B129" s="65" t="s">
        <v>1273</v>
      </c>
      <c r="C129" s="66" t="s">
        <v>1274</v>
      </c>
      <c r="D129" s="67" t="s">
        <v>363</v>
      </c>
      <c r="E129" s="30" t="s">
        <v>51</v>
      </c>
      <c r="F129" s="30" t="s">
        <v>1084</v>
      </c>
      <c r="G129" s="30" t="s">
        <v>53</v>
      </c>
      <c r="H129" s="30" t="s">
        <v>54</v>
      </c>
      <c r="I129" s="30"/>
      <c r="J129" s="46">
        <v>45845</v>
      </c>
      <c r="K129" s="68">
        <f t="shared" ca="1" si="4"/>
        <v>1.1205479452054794</v>
      </c>
      <c r="L129" s="46">
        <v>39133</v>
      </c>
      <c r="M129" s="51">
        <f t="shared" ca="1" si="5"/>
        <v>19</v>
      </c>
      <c r="N129" s="21" t="s">
        <v>253</v>
      </c>
      <c r="O129" s="30"/>
      <c r="P129" s="30" t="s">
        <v>56</v>
      </c>
      <c r="Q129" s="30" t="s">
        <v>1275</v>
      </c>
      <c r="R129" s="30"/>
      <c r="S129" s="21" t="s">
        <v>1276</v>
      </c>
      <c r="T129" s="30"/>
      <c r="U129" s="21">
        <v>9500213347</v>
      </c>
      <c r="V129" s="21" t="s">
        <v>1277</v>
      </c>
      <c r="W129" s="30"/>
      <c r="X129" s="65">
        <v>5611313260</v>
      </c>
      <c r="Y129" s="21" t="s">
        <v>1278</v>
      </c>
      <c r="Z129" s="47"/>
      <c r="AA129" s="21" t="s">
        <v>1279</v>
      </c>
      <c r="AB129" s="21" t="s">
        <v>1280</v>
      </c>
      <c r="AC129" s="21" t="s">
        <v>1281</v>
      </c>
      <c r="AD129" s="21" t="s">
        <v>1282</v>
      </c>
      <c r="AE129" s="21" t="s">
        <v>1283</v>
      </c>
      <c r="AF129" s="21" t="s">
        <v>1283</v>
      </c>
      <c r="AG129" s="38">
        <v>7060</v>
      </c>
      <c r="AH129" s="38">
        <v>7981</v>
      </c>
      <c r="AI129" s="30"/>
      <c r="AJ129" s="30"/>
      <c r="AK129" s="30"/>
      <c r="AL129" s="38">
        <v>15041</v>
      </c>
      <c r="AM129" s="38">
        <v>15000</v>
      </c>
      <c r="AN129" s="38">
        <v>1950</v>
      </c>
      <c r="AO129" s="38">
        <v>488.83249999999998</v>
      </c>
      <c r="AP129" s="38">
        <v>1253.4166666666699</v>
      </c>
      <c r="AQ129" s="30"/>
      <c r="AR129" s="30"/>
      <c r="AS129" s="40">
        <v>1203.28</v>
      </c>
      <c r="AT129" s="69">
        <f t="shared" si="6"/>
        <v>19936.529166666671</v>
      </c>
    </row>
    <row r="130" spans="1:46" s="70" customFormat="1" ht="24">
      <c r="A130" s="52">
        <f t="shared" si="7"/>
        <v>128</v>
      </c>
      <c r="B130" s="65" t="s">
        <v>1284</v>
      </c>
      <c r="C130" s="66" t="s">
        <v>825</v>
      </c>
      <c r="D130" s="67" t="s">
        <v>363</v>
      </c>
      <c r="E130" s="30" t="s">
        <v>51</v>
      </c>
      <c r="F130" s="30"/>
      <c r="G130" s="30" t="s">
        <v>53</v>
      </c>
      <c r="H130" s="30" t="s">
        <v>54</v>
      </c>
      <c r="I130" s="30"/>
      <c r="J130" s="46">
        <v>45481</v>
      </c>
      <c r="K130" s="68">
        <f t="shared" ca="1" si="4"/>
        <v>2.117808219178082</v>
      </c>
      <c r="L130" s="46">
        <v>38326</v>
      </c>
      <c r="M130" s="51">
        <f t="shared" ca="1" si="5"/>
        <v>21</v>
      </c>
      <c r="N130" s="21" t="s">
        <v>119</v>
      </c>
      <c r="O130" s="30"/>
      <c r="P130" s="30" t="s">
        <v>56</v>
      </c>
      <c r="Q130" s="30"/>
      <c r="R130" s="30"/>
      <c r="S130" s="21" t="s">
        <v>94</v>
      </c>
      <c r="T130" s="30" t="s">
        <v>826</v>
      </c>
      <c r="U130" s="21">
        <v>9692381489</v>
      </c>
      <c r="V130" s="21" t="s">
        <v>827</v>
      </c>
      <c r="W130" s="30"/>
      <c r="X130" s="65">
        <v>5610634886</v>
      </c>
      <c r="Y130" s="21" t="s">
        <v>1285</v>
      </c>
      <c r="Z130" s="47"/>
      <c r="AA130" s="21" t="s">
        <v>1286</v>
      </c>
      <c r="AB130" s="21" t="s">
        <v>63</v>
      </c>
      <c r="AC130" s="21" t="s">
        <v>64</v>
      </c>
      <c r="AD130" s="21" t="s">
        <v>65</v>
      </c>
      <c r="AE130" s="21"/>
      <c r="AF130" s="21" t="s">
        <v>830</v>
      </c>
      <c r="AG130" s="38">
        <v>7060</v>
      </c>
      <c r="AH130" s="38">
        <v>7981</v>
      </c>
      <c r="AI130" s="30"/>
      <c r="AJ130" s="30"/>
      <c r="AK130" s="30"/>
      <c r="AL130" s="38">
        <v>15041</v>
      </c>
      <c r="AM130" s="38">
        <v>15000</v>
      </c>
      <c r="AN130" s="38">
        <v>1950</v>
      </c>
      <c r="AO130" s="38">
        <v>488.83249999999998</v>
      </c>
      <c r="AP130" s="38">
        <v>1253.4166666666699</v>
      </c>
      <c r="AQ130" s="30"/>
      <c r="AR130" s="30"/>
      <c r="AS130" s="40">
        <v>1203.28</v>
      </c>
      <c r="AT130" s="69">
        <f t="shared" si="6"/>
        <v>19936.529166666671</v>
      </c>
    </row>
    <row r="131" spans="1:46" s="70" customFormat="1" ht="24">
      <c r="A131" s="52">
        <f t="shared" si="7"/>
        <v>129</v>
      </c>
      <c r="B131" s="65" t="s">
        <v>1287</v>
      </c>
      <c r="C131" s="66" t="s">
        <v>1189</v>
      </c>
      <c r="D131" s="67" t="s">
        <v>363</v>
      </c>
      <c r="E131" s="30" t="s">
        <v>51</v>
      </c>
      <c r="F131" s="30"/>
      <c r="G131" s="30" t="s">
        <v>53</v>
      </c>
      <c r="H131" s="30" t="s">
        <v>54</v>
      </c>
      <c r="I131" s="30"/>
      <c r="J131" s="46">
        <v>45497</v>
      </c>
      <c r="K131" s="68">
        <f t="shared" ref="K131:K194" ca="1" si="8">(TODAY()-J131)/365</f>
        <v>2.0739726027397261</v>
      </c>
      <c r="L131" s="46">
        <v>38575</v>
      </c>
      <c r="M131" s="51">
        <f t="shared" ref="M131:M194" ca="1" si="9">DATEDIF(L131,TODAY(),"y")</f>
        <v>21</v>
      </c>
      <c r="N131" s="21" t="s">
        <v>106</v>
      </c>
      <c r="O131" s="30"/>
      <c r="P131" s="30" t="s">
        <v>56</v>
      </c>
      <c r="Q131" s="30"/>
      <c r="R131" s="30"/>
      <c r="S131" s="21" t="s">
        <v>94</v>
      </c>
      <c r="T131" s="30" t="s">
        <v>1190</v>
      </c>
      <c r="U131" s="21">
        <v>8021523251</v>
      </c>
      <c r="V131" s="21" t="s">
        <v>639</v>
      </c>
      <c r="W131" s="30"/>
      <c r="X131" s="65">
        <v>5610544015</v>
      </c>
      <c r="Y131" s="21" t="s">
        <v>1191</v>
      </c>
      <c r="Z131" s="47"/>
      <c r="AA131" s="21" t="s">
        <v>641</v>
      </c>
      <c r="AB131" s="21" t="s">
        <v>642</v>
      </c>
      <c r="AC131" s="21" t="s">
        <v>643</v>
      </c>
      <c r="AD131" s="21" t="s">
        <v>644</v>
      </c>
      <c r="AE131" s="21"/>
      <c r="AF131" s="21" t="s">
        <v>645</v>
      </c>
      <c r="AG131" s="38">
        <v>7060</v>
      </c>
      <c r="AH131" s="38">
        <v>7981</v>
      </c>
      <c r="AI131" s="30"/>
      <c r="AJ131" s="30"/>
      <c r="AK131" s="30"/>
      <c r="AL131" s="38">
        <v>15041</v>
      </c>
      <c r="AM131" s="38">
        <v>15000</v>
      </c>
      <c r="AN131" s="38">
        <v>1950</v>
      </c>
      <c r="AO131" s="38">
        <v>488.83249999999998</v>
      </c>
      <c r="AP131" s="38">
        <v>1253.4166666666699</v>
      </c>
      <c r="AQ131" s="30"/>
      <c r="AR131" s="30"/>
      <c r="AS131" s="40">
        <v>1203.28</v>
      </c>
      <c r="AT131" s="69">
        <f t="shared" ref="AT131:AT194" si="10">AL131+AN131+AO131+AP131+AR131+AS131</f>
        <v>19936.529166666671</v>
      </c>
    </row>
    <row r="132" spans="1:46" s="70" customFormat="1" ht="24">
      <c r="A132" s="52">
        <f t="shared" ref="A132:A195" si="11">A131+1</f>
        <v>130</v>
      </c>
      <c r="B132" s="65" t="s">
        <v>1288</v>
      </c>
      <c r="C132" s="66" t="s">
        <v>1144</v>
      </c>
      <c r="D132" s="67" t="s">
        <v>363</v>
      </c>
      <c r="E132" s="30" t="s">
        <v>51</v>
      </c>
      <c r="F132" s="30" t="s">
        <v>105</v>
      </c>
      <c r="G132" s="30" t="s">
        <v>53</v>
      </c>
      <c r="H132" s="30" t="s">
        <v>54</v>
      </c>
      <c r="I132" s="30"/>
      <c r="J132" s="46">
        <v>45810</v>
      </c>
      <c r="K132" s="68">
        <f t="shared" ca="1" si="8"/>
        <v>1.2164383561643837</v>
      </c>
      <c r="L132" s="46">
        <v>32236</v>
      </c>
      <c r="M132" s="51">
        <f t="shared" ca="1" si="9"/>
        <v>38</v>
      </c>
      <c r="N132" s="21"/>
      <c r="O132" s="30"/>
      <c r="P132" s="30" t="s">
        <v>56</v>
      </c>
      <c r="Q132" s="30"/>
      <c r="R132" s="30"/>
      <c r="S132" s="21" t="s">
        <v>94</v>
      </c>
      <c r="T132" s="30" t="s">
        <v>783</v>
      </c>
      <c r="U132" s="21">
        <v>9655943154</v>
      </c>
      <c r="V132" s="21" t="s">
        <v>1145</v>
      </c>
      <c r="W132" s="30"/>
      <c r="X132" s="65">
        <v>5610900470</v>
      </c>
      <c r="Y132" s="21" t="s">
        <v>1146</v>
      </c>
      <c r="Z132" s="47"/>
      <c r="AA132" s="21" t="s">
        <v>1147</v>
      </c>
      <c r="AB132" s="21" t="s">
        <v>111</v>
      </c>
      <c r="AC132" s="21" t="s">
        <v>1148</v>
      </c>
      <c r="AD132" s="21" t="s">
        <v>113</v>
      </c>
      <c r="AE132" s="21" t="s">
        <v>1149</v>
      </c>
      <c r="AF132" s="21" t="s">
        <v>1149</v>
      </c>
      <c r="AG132" s="38">
        <v>7060</v>
      </c>
      <c r="AH132" s="38">
        <v>7981</v>
      </c>
      <c r="AI132" s="30"/>
      <c r="AJ132" s="30"/>
      <c r="AK132" s="30"/>
      <c r="AL132" s="38">
        <v>15041</v>
      </c>
      <c r="AM132" s="38">
        <v>15000</v>
      </c>
      <c r="AN132" s="38">
        <v>1950</v>
      </c>
      <c r="AO132" s="38">
        <v>488.83249999999998</v>
      </c>
      <c r="AP132" s="38">
        <v>1253.4166666666699</v>
      </c>
      <c r="AQ132" s="30"/>
      <c r="AR132" s="30"/>
      <c r="AS132" s="40">
        <v>1203.28</v>
      </c>
      <c r="AT132" s="69">
        <f t="shared" si="10"/>
        <v>19936.529166666671</v>
      </c>
    </row>
    <row r="133" spans="1:46" s="70" customFormat="1" ht="24">
      <c r="A133" s="52">
        <f t="shared" si="11"/>
        <v>131</v>
      </c>
      <c r="B133" s="65" t="s">
        <v>1289</v>
      </c>
      <c r="C133" s="66" t="s">
        <v>1021</v>
      </c>
      <c r="D133" s="67" t="s">
        <v>363</v>
      </c>
      <c r="E133" s="30" t="s">
        <v>51</v>
      </c>
      <c r="F133" s="30" t="s">
        <v>113</v>
      </c>
      <c r="G133" s="30" t="s">
        <v>53</v>
      </c>
      <c r="H133" s="30" t="s">
        <v>54</v>
      </c>
      <c r="I133" s="30"/>
      <c r="J133" s="46">
        <v>45810</v>
      </c>
      <c r="K133" s="68">
        <f t="shared" ca="1" si="8"/>
        <v>1.2164383561643837</v>
      </c>
      <c r="L133" s="46">
        <v>30143</v>
      </c>
      <c r="M133" s="51">
        <f t="shared" ca="1" si="9"/>
        <v>44</v>
      </c>
      <c r="N133" s="21"/>
      <c r="O133" s="30"/>
      <c r="P133" s="30" t="s">
        <v>56</v>
      </c>
      <c r="Q133" s="30"/>
      <c r="R133" s="30"/>
      <c r="S133" s="21" t="s">
        <v>94</v>
      </c>
      <c r="T133" s="30" t="s">
        <v>1022</v>
      </c>
      <c r="U133" s="21">
        <v>9150747399</v>
      </c>
      <c r="V133" s="21" t="s">
        <v>1023</v>
      </c>
      <c r="W133" s="30"/>
      <c r="X133" s="65">
        <v>5610886790</v>
      </c>
      <c r="Y133" s="21" t="s">
        <v>1024</v>
      </c>
      <c r="Z133" s="47"/>
      <c r="AA133" s="21" t="s">
        <v>1025</v>
      </c>
      <c r="AB133" s="21" t="s">
        <v>99</v>
      </c>
      <c r="AC133" s="21" t="s">
        <v>100</v>
      </c>
      <c r="AD133" s="21" t="s">
        <v>101</v>
      </c>
      <c r="AE133" s="21" t="s">
        <v>1026</v>
      </c>
      <c r="AF133" s="21" t="s">
        <v>1026</v>
      </c>
      <c r="AG133" s="38">
        <v>7060</v>
      </c>
      <c r="AH133" s="38">
        <v>7981</v>
      </c>
      <c r="AI133" s="30"/>
      <c r="AJ133" s="30"/>
      <c r="AK133" s="30"/>
      <c r="AL133" s="38">
        <v>15041</v>
      </c>
      <c r="AM133" s="38">
        <v>15000</v>
      </c>
      <c r="AN133" s="38">
        <v>1950</v>
      </c>
      <c r="AO133" s="38">
        <v>488.83249999999998</v>
      </c>
      <c r="AP133" s="38">
        <v>1253.4166666666699</v>
      </c>
      <c r="AQ133" s="30"/>
      <c r="AR133" s="30"/>
      <c r="AS133" s="40">
        <v>1203.28</v>
      </c>
      <c r="AT133" s="69">
        <f t="shared" si="10"/>
        <v>19936.529166666671</v>
      </c>
    </row>
    <row r="134" spans="1:46" s="70" customFormat="1" ht="24">
      <c r="A134" s="52">
        <f t="shared" si="11"/>
        <v>132</v>
      </c>
      <c r="B134" s="65" t="s">
        <v>1290</v>
      </c>
      <c r="C134" s="66" t="s">
        <v>1291</v>
      </c>
      <c r="D134" s="67" t="s">
        <v>1292</v>
      </c>
      <c r="E134" s="30" t="s">
        <v>51</v>
      </c>
      <c r="F134" s="30"/>
      <c r="G134" s="30" t="s">
        <v>53</v>
      </c>
      <c r="H134" s="30" t="s">
        <v>54</v>
      </c>
      <c r="I134" s="30"/>
      <c r="J134" s="46">
        <v>45839</v>
      </c>
      <c r="K134" s="68">
        <f t="shared" ca="1" si="8"/>
        <v>1.1369863013698631</v>
      </c>
      <c r="L134" s="46">
        <v>34700</v>
      </c>
      <c r="M134" s="51">
        <f t="shared" ca="1" si="9"/>
        <v>31</v>
      </c>
      <c r="N134" s="21" t="s">
        <v>1293</v>
      </c>
      <c r="O134" s="30"/>
      <c r="P134" s="30" t="s">
        <v>56</v>
      </c>
      <c r="Q134" s="30"/>
      <c r="R134" s="30"/>
      <c r="S134" s="21" t="s">
        <v>1233</v>
      </c>
      <c r="T134" s="30" t="s">
        <v>1294</v>
      </c>
      <c r="U134" s="21">
        <v>9585921363</v>
      </c>
      <c r="V134" s="21" t="s">
        <v>1295</v>
      </c>
      <c r="W134" s="30"/>
      <c r="X134" s="65">
        <v>5611313254</v>
      </c>
      <c r="Y134" s="21" t="s">
        <v>1296</v>
      </c>
      <c r="Z134" s="47"/>
      <c r="AA134" s="21">
        <v>50100638787022</v>
      </c>
      <c r="AB134" s="21" t="s">
        <v>1297</v>
      </c>
      <c r="AC134" s="21" t="s">
        <v>905</v>
      </c>
      <c r="AD134" s="21"/>
      <c r="AE134" s="21" t="s">
        <v>1298</v>
      </c>
      <c r="AF134" s="21" t="s">
        <v>1298</v>
      </c>
      <c r="AG134" s="38">
        <v>7060</v>
      </c>
      <c r="AH134" s="38">
        <v>7981</v>
      </c>
      <c r="AI134" s="30"/>
      <c r="AJ134" s="30"/>
      <c r="AK134" s="30"/>
      <c r="AL134" s="38">
        <v>15041</v>
      </c>
      <c r="AM134" s="38">
        <v>15000</v>
      </c>
      <c r="AN134" s="38">
        <v>1950</v>
      </c>
      <c r="AO134" s="38">
        <v>488.83249999999998</v>
      </c>
      <c r="AP134" s="38">
        <v>1253.4166666666699</v>
      </c>
      <c r="AQ134" s="30"/>
      <c r="AR134" s="30"/>
      <c r="AS134" s="40">
        <v>1203.28</v>
      </c>
      <c r="AT134" s="69">
        <f t="shared" si="10"/>
        <v>19936.529166666671</v>
      </c>
    </row>
    <row r="135" spans="1:46" s="70" customFormat="1" ht="24">
      <c r="A135" s="52">
        <f t="shared" si="11"/>
        <v>133</v>
      </c>
      <c r="B135" s="65" t="s">
        <v>1299</v>
      </c>
      <c r="C135" s="71" t="s">
        <v>1300</v>
      </c>
      <c r="D135" s="67" t="s">
        <v>363</v>
      </c>
      <c r="E135" s="30" t="s">
        <v>51</v>
      </c>
      <c r="F135" s="30" t="s">
        <v>83</v>
      </c>
      <c r="G135" s="30" t="s">
        <v>1301</v>
      </c>
      <c r="H135" s="30" t="s">
        <v>1302</v>
      </c>
      <c r="I135" s="30"/>
      <c r="J135" s="46">
        <v>45828</v>
      </c>
      <c r="K135" s="68">
        <f t="shared" ca="1" si="8"/>
        <v>1.167123287671233</v>
      </c>
      <c r="L135" s="46">
        <v>35038</v>
      </c>
      <c r="M135" s="51">
        <f t="shared" ca="1" si="9"/>
        <v>30</v>
      </c>
      <c r="N135" s="21" t="s">
        <v>1303</v>
      </c>
      <c r="O135" s="30"/>
      <c r="P135" s="30" t="s">
        <v>56</v>
      </c>
      <c r="Q135" s="30"/>
      <c r="R135" s="30"/>
      <c r="S135" s="21" t="s">
        <v>94</v>
      </c>
      <c r="T135" s="30" t="s">
        <v>1304</v>
      </c>
      <c r="U135" s="21">
        <v>9578732615</v>
      </c>
      <c r="V135" s="21" t="s">
        <v>1305</v>
      </c>
      <c r="W135" s="30"/>
      <c r="X135" s="65">
        <v>5611281630</v>
      </c>
      <c r="Y135" s="21" t="s">
        <v>1306</v>
      </c>
      <c r="Z135" s="47"/>
      <c r="AA135" s="21" t="s">
        <v>1307</v>
      </c>
      <c r="AB135" s="21" t="s">
        <v>388</v>
      </c>
      <c r="AC135" s="21" t="s">
        <v>389</v>
      </c>
      <c r="AD135" s="21" t="s">
        <v>390</v>
      </c>
      <c r="AE135" s="21" t="s">
        <v>1308</v>
      </c>
      <c r="AF135" s="21" t="s">
        <v>1308</v>
      </c>
      <c r="AG135" s="38"/>
      <c r="AH135" s="38"/>
      <c r="AI135" s="30"/>
      <c r="AJ135" s="30"/>
      <c r="AK135" s="30"/>
      <c r="AL135" s="38"/>
      <c r="AM135" s="38"/>
      <c r="AN135" s="38"/>
      <c r="AO135" s="38"/>
      <c r="AP135" s="38"/>
      <c r="AQ135" s="30"/>
      <c r="AR135" s="30"/>
      <c r="AS135" s="40"/>
      <c r="AT135" s="69">
        <f t="shared" si="10"/>
        <v>0</v>
      </c>
    </row>
    <row r="136" spans="1:46" s="70" customFormat="1" ht="24">
      <c r="A136" s="52">
        <f t="shared" si="11"/>
        <v>134</v>
      </c>
      <c r="B136" s="65" t="s">
        <v>1309</v>
      </c>
      <c r="C136" s="66" t="s">
        <v>1310</v>
      </c>
      <c r="D136" s="67" t="s">
        <v>363</v>
      </c>
      <c r="E136" s="30" t="s">
        <v>51</v>
      </c>
      <c r="F136" s="30" t="s">
        <v>113</v>
      </c>
      <c r="G136" s="30" t="s">
        <v>53</v>
      </c>
      <c r="H136" s="30" t="s">
        <v>54</v>
      </c>
      <c r="I136" s="30"/>
      <c r="J136" s="46">
        <v>45891</v>
      </c>
      <c r="K136" s="68">
        <f t="shared" ca="1" si="8"/>
        <v>0.9945205479452055</v>
      </c>
      <c r="L136" s="46">
        <v>32487</v>
      </c>
      <c r="M136" s="51">
        <f t="shared" ca="1" si="9"/>
        <v>37</v>
      </c>
      <c r="N136" s="21" t="s">
        <v>119</v>
      </c>
      <c r="O136" s="30"/>
      <c r="P136" s="30" t="s">
        <v>56</v>
      </c>
      <c r="Q136" s="30"/>
      <c r="R136" s="30"/>
      <c r="S136" s="21" t="s">
        <v>57</v>
      </c>
      <c r="T136" s="30" t="s">
        <v>1311</v>
      </c>
      <c r="U136" s="21">
        <v>7845107258</v>
      </c>
      <c r="V136" s="21" t="s">
        <v>1312</v>
      </c>
      <c r="W136" s="30"/>
      <c r="X136" s="65">
        <v>5611364331</v>
      </c>
      <c r="Y136" s="21" t="s">
        <v>1313</v>
      </c>
      <c r="Z136" s="47"/>
      <c r="AA136" s="21" t="s">
        <v>1314</v>
      </c>
      <c r="AB136" s="21" t="s">
        <v>151</v>
      </c>
      <c r="AC136" s="21" t="s">
        <v>152</v>
      </c>
      <c r="AD136" s="21" t="s">
        <v>113</v>
      </c>
      <c r="AE136" s="21" t="s">
        <v>1315</v>
      </c>
      <c r="AF136" s="21" t="s">
        <v>1315</v>
      </c>
      <c r="AG136" s="38">
        <v>7060</v>
      </c>
      <c r="AH136" s="38">
        <v>7981</v>
      </c>
      <c r="AI136" s="30"/>
      <c r="AJ136" s="30"/>
      <c r="AK136" s="30"/>
      <c r="AL136" s="38">
        <v>15041</v>
      </c>
      <c r="AM136" s="38">
        <v>15000</v>
      </c>
      <c r="AN136" s="38">
        <v>1950</v>
      </c>
      <c r="AO136" s="38">
        <v>488.83249999999998</v>
      </c>
      <c r="AP136" s="38">
        <v>1253.4166666666699</v>
      </c>
      <c r="AQ136" s="30"/>
      <c r="AR136" s="30"/>
      <c r="AS136" s="40">
        <v>1203.28</v>
      </c>
      <c r="AT136" s="69">
        <f t="shared" si="10"/>
        <v>19936.529166666671</v>
      </c>
    </row>
    <row r="137" spans="1:46" s="70" customFormat="1" ht="24">
      <c r="A137" s="52">
        <f t="shared" si="11"/>
        <v>135</v>
      </c>
      <c r="B137" s="65" t="s">
        <v>1316</v>
      </c>
      <c r="C137" s="66" t="s">
        <v>1317</v>
      </c>
      <c r="D137" s="67" t="s">
        <v>363</v>
      </c>
      <c r="E137" s="30" t="s">
        <v>51</v>
      </c>
      <c r="F137" s="30" t="s">
        <v>113</v>
      </c>
      <c r="G137" s="30" t="s">
        <v>53</v>
      </c>
      <c r="H137" s="30" t="s">
        <v>54</v>
      </c>
      <c r="I137" s="30"/>
      <c r="J137" s="46">
        <v>45891</v>
      </c>
      <c r="K137" s="68">
        <f t="shared" ca="1" si="8"/>
        <v>0.9945205479452055</v>
      </c>
      <c r="L137" s="46">
        <v>32820</v>
      </c>
      <c r="M137" s="51">
        <f t="shared" ca="1" si="9"/>
        <v>36</v>
      </c>
      <c r="N137" s="21" t="s">
        <v>119</v>
      </c>
      <c r="O137" s="30"/>
      <c r="P137" s="30" t="s">
        <v>56</v>
      </c>
      <c r="Q137" s="30"/>
      <c r="R137" s="30"/>
      <c r="S137" s="21" t="s">
        <v>57</v>
      </c>
      <c r="T137" s="30" t="s">
        <v>1318</v>
      </c>
      <c r="U137" s="21">
        <v>7339107276</v>
      </c>
      <c r="V137" s="21" t="s">
        <v>1319</v>
      </c>
      <c r="W137" s="30"/>
      <c r="X137" s="65">
        <v>5611368204</v>
      </c>
      <c r="Y137" s="21" t="s">
        <v>1320</v>
      </c>
      <c r="Z137" s="47"/>
      <c r="AA137" s="21" t="s">
        <v>1321</v>
      </c>
      <c r="AB137" s="21" t="s">
        <v>1322</v>
      </c>
      <c r="AC137" s="21" t="s">
        <v>1323</v>
      </c>
      <c r="AD137" s="21" t="s">
        <v>1324</v>
      </c>
      <c r="AE137" s="21" t="s">
        <v>1325</v>
      </c>
      <c r="AF137" s="21" t="s">
        <v>1325</v>
      </c>
      <c r="AG137" s="38">
        <v>7060</v>
      </c>
      <c r="AH137" s="38">
        <v>7981</v>
      </c>
      <c r="AI137" s="30"/>
      <c r="AJ137" s="30"/>
      <c r="AK137" s="30"/>
      <c r="AL137" s="38">
        <v>15041</v>
      </c>
      <c r="AM137" s="38">
        <v>15000</v>
      </c>
      <c r="AN137" s="38">
        <v>1950</v>
      </c>
      <c r="AO137" s="38">
        <v>488.83249999999998</v>
      </c>
      <c r="AP137" s="38">
        <v>1253.4166666666699</v>
      </c>
      <c r="AQ137" s="30"/>
      <c r="AR137" s="30"/>
      <c r="AS137" s="40">
        <v>1203.28</v>
      </c>
      <c r="AT137" s="69">
        <f t="shared" si="10"/>
        <v>19936.529166666671</v>
      </c>
    </row>
    <row r="138" spans="1:46" s="70" customFormat="1" ht="24">
      <c r="A138" s="52">
        <f t="shared" si="11"/>
        <v>136</v>
      </c>
      <c r="B138" s="65" t="s">
        <v>1326</v>
      </c>
      <c r="C138" s="66" t="s">
        <v>189</v>
      </c>
      <c r="D138" s="67" t="s">
        <v>363</v>
      </c>
      <c r="E138" s="30" t="s">
        <v>51</v>
      </c>
      <c r="F138" s="30" t="s">
        <v>1327</v>
      </c>
      <c r="G138" s="30" t="s">
        <v>53</v>
      </c>
      <c r="H138" s="30" t="s">
        <v>54</v>
      </c>
      <c r="I138" s="30"/>
      <c r="J138" s="46">
        <v>45891</v>
      </c>
      <c r="K138" s="68">
        <f t="shared" ca="1" si="8"/>
        <v>0.9945205479452055</v>
      </c>
      <c r="L138" s="46">
        <v>30498</v>
      </c>
      <c r="M138" s="51">
        <f t="shared" ca="1" si="9"/>
        <v>43</v>
      </c>
      <c r="N138" s="21" t="s">
        <v>119</v>
      </c>
      <c r="O138" s="30"/>
      <c r="P138" s="30" t="s">
        <v>56</v>
      </c>
      <c r="Q138" s="30"/>
      <c r="R138" s="30"/>
      <c r="S138" s="21" t="s">
        <v>57</v>
      </c>
      <c r="T138" s="30" t="s">
        <v>1328</v>
      </c>
      <c r="U138" s="21">
        <v>8438906368</v>
      </c>
      <c r="V138" s="21" t="s">
        <v>1329</v>
      </c>
      <c r="W138" s="30"/>
      <c r="X138" s="65">
        <v>5611364308</v>
      </c>
      <c r="Y138" s="21" t="s">
        <v>1330</v>
      </c>
      <c r="Z138" s="47"/>
      <c r="AA138" s="21" t="s">
        <v>1331</v>
      </c>
      <c r="AB138" s="21" t="s">
        <v>111</v>
      </c>
      <c r="AC138" s="21" t="s">
        <v>112</v>
      </c>
      <c r="AD138" s="21" t="s">
        <v>113</v>
      </c>
      <c r="AE138" s="21" t="s">
        <v>1332</v>
      </c>
      <c r="AF138" s="21" t="s">
        <v>1332</v>
      </c>
      <c r="AG138" s="38">
        <v>7060</v>
      </c>
      <c r="AH138" s="38">
        <v>7981</v>
      </c>
      <c r="AI138" s="30"/>
      <c r="AJ138" s="30"/>
      <c r="AK138" s="30"/>
      <c r="AL138" s="38">
        <v>15041</v>
      </c>
      <c r="AM138" s="38">
        <v>15000</v>
      </c>
      <c r="AN138" s="38">
        <v>1950</v>
      </c>
      <c r="AO138" s="38">
        <v>488.83249999999998</v>
      </c>
      <c r="AP138" s="38">
        <v>1253.4166666666699</v>
      </c>
      <c r="AQ138" s="30"/>
      <c r="AR138" s="30"/>
      <c r="AS138" s="40">
        <v>1203.28</v>
      </c>
      <c r="AT138" s="69">
        <f t="shared" si="10"/>
        <v>19936.529166666671</v>
      </c>
    </row>
    <row r="139" spans="1:46" s="70" customFormat="1" ht="24">
      <c r="A139" s="52">
        <f t="shared" si="11"/>
        <v>137</v>
      </c>
      <c r="B139" s="65" t="s">
        <v>1333</v>
      </c>
      <c r="C139" s="66" t="s">
        <v>1334</v>
      </c>
      <c r="D139" s="67" t="s">
        <v>117</v>
      </c>
      <c r="E139" s="30" t="s">
        <v>51</v>
      </c>
      <c r="F139" s="30" t="s">
        <v>105</v>
      </c>
      <c r="G139" s="30" t="s">
        <v>53</v>
      </c>
      <c r="H139" s="30" t="s">
        <v>54</v>
      </c>
      <c r="I139" s="30"/>
      <c r="J139" s="46">
        <v>45889</v>
      </c>
      <c r="K139" s="68">
        <f t="shared" ca="1" si="8"/>
        <v>1</v>
      </c>
      <c r="L139" s="46">
        <v>37603</v>
      </c>
      <c r="M139" s="51">
        <f t="shared" ca="1" si="9"/>
        <v>23</v>
      </c>
      <c r="N139" s="21" t="s">
        <v>106</v>
      </c>
      <c r="O139" s="30"/>
      <c r="P139" s="30" t="s">
        <v>56</v>
      </c>
      <c r="Q139" s="30"/>
      <c r="R139" s="30"/>
      <c r="S139" s="21" t="s">
        <v>57</v>
      </c>
      <c r="T139" s="30" t="s">
        <v>1335</v>
      </c>
      <c r="U139" s="21">
        <v>9688246104</v>
      </c>
      <c r="V139" s="21" t="s">
        <v>1336</v>
      </c>
      <c r="W139" s="30"/>
      <c r="X139" s="65">
        <v>5611368432</v>
      </c>
      <c r="Y139" s="21" t="s">
        <v>1337</v>
      </c>
      <c r="Z139" s="47"/>
      <c r="AA139" s="21" t="s">
        <v>1338</v>
      </c>
      <c r="AB139" s="21" t="s">
        <v>1339</v>
      </c>
      <c r="AC139" s="21" t="s">
        <v>1340</v>
      </c>
      <c r="AD139" s="21" t="s">
        <v>136</v>
      </c>
      <c r="AE139" s="21" t="s">
        <v>1341</v>
      </c>
      <c r="AF139" s="21" t="s">
        <v>1341</v>
      </c>
      <c r="AG139" s="38">
        <v>7060</v>
      </c>
      <c r="AH139" s="38">
        <v>7981</v>
      </c>
      <c r="AI139" s="30"/>
      <c r="AJ139" s="30"/>
      <c r="AK139" s="30"/>
      <c r="AL139" s="38">
        <v>15041</v>
      </c>
      <c r="AM139" s="38">
        <v>15000</v>
      </c>
      <c r="AN139" s="38">
        <v>1950</v>
      </c>
      <c r="AO139" s="38">
        <v>488.83249999999998</v>
      </c>
      <c r="AP139" s="38">
        <v>1253.4166666666699</v>
      </c>
      <c r="AQ139" s="30"/>
      <c r="AR139" s="30"/>
      <c r="AS139" s="40">
        <v>1203.28</v>
      </c>
      <c r="AT139" s="69">
        <f t="shared" si="10"/>
        <v>19936.529166666671</v>
      </c>
    </row>
    <row r="140" spans="1:46" s="70" customFormat="1" ht="24">
      <c r="A140" s="52">
        <f t="shared" si="11"/>
        <v>138</v>
      </c>
      <c r="B140" s="65" t="s">
        <v>1342</v>
      </c>
      <c r="C140" s="66" t="s">
        <v>1343</v>
      </c>
      <c r="D140" s="67" t="s">
        <v>82</v>
      </c>
      <c r="E140" s="30" t="s">
        <v>51</v>
      </c>
      <c r="F140" s="30" t="s">
        <v>136</v>
      </c>
      <c r="G140" s="30" t="s">
        <v>53</v>
      </c>
      <c r="H140" s="30" t="s">
        <v>916</v>
      </c>
      <c r="I140" s="30"/>
      <c r="J140" s="46">
        <v>45925</v>
      </c>
      <c r="K140" s="68">
        <f t="shared" ca="1" si="8"/>
        <v>0.90136986301369859</v>
      </c>
      <c r="L140" s="46">
        <v>38431</v>
      </c>
      <c r="M140" s="51">
        <f t="shared" ca="1" si="9"/>
        <v>21</v>
      </c>
      <c r="N140" s="21" t="s">
        <v>106</v>
      </c>
      <c r="O140" s="30"/>
      <c r="P140" s="30" t="s">
        <v>56</v>
      </c>
      <c r="Q140" s="30" t="s">
        <v>1344</v>
      </c>
      <c r="R140" s="30"/>
      <c r="S140" s="21" t="s">
        <v>86</v>
      </c>
      <c r="T140" s="30"/>
      <c r="U140" s="21">
        <v>9227164927</v>
      </c>
      <c r="V140" s="21" t="s">
        <v>1345</v>
      </c>
      <c r="W140" s="30"/>
      <c r="X140" s="65">
        <v>5611403770</v>
      </c>
      <c r="Y140" s="21" t="s">
        <v>1346</v>
      </c>
      <c r="Z140" s="47"/>
      <c r="AA140" s="21" t="s">
        <v>1347</v>
      </c>
      <c r="AB140" s="21" t="s">
        <v>239</v>
      </c>
      <c r="AC140" s="21" t="s">
        <v>240</v>
      </c>
      <c r="AD140" s="21" t="s">
        <v>1348</v>
      </c>
      <c r="AE140" s="21" t="s">
        <v>1349</v>
      </c>
      <c r="AF140" s="21" t="s">
        <v>1349</v>
      </c>
      <c r="AG140" s="38">
        <v>7060</v>
      </c>
      <c r="AH140" s="38">
        <v>7981</v>
      </c>
      <c r="AI140" s="30"/>
      <c r="AJ140" s="30"/>
      <c r="AK140" s="30"/>
      <c r="AL140" s="38">
        <v>15041</v>
      </c>
      <c r="AM140" s="38">
        <v>15000</v>
      </c>
      <c r="AN140" s="38">
        <v>1950</v>
      </c>
      <c r="AO140" s="38">
        <v>488.83249999999998</v>
      </c>
      <c r="AP140" s="38">
        <v>1253.4166666666699</v>
      </c>
      <c r="AQ140" s="30"/>
      <c r="AR140" s="30"/>
      <c r="AS140" s="40">
        <v>1203.28</v>
      </c>
      <c r="AT140" s="69">
        <f t="shared" si="10"/>
        <v>19936.529166666671</v>
      </c>
    </row>
    <row r="141" spans="1:46" s="70" customFormat="1" ht="24">
      <c r="A141" s="52">
        <f t="shared" si="11"/>
        <v>139</v>
      </c>
      <c r="B141" s="65" t="s">
        <v>1350</v>
      </c>
      <c r="C141" s="66" t="s">
        <v>1351</v>
      </c>
      <c r="D141" s="67" t="s">
        <v>363</v>
      </c>
      <c r="E141" s="30" t="s">
        <v>51</v>
      </c>
      <c r="F141" s="30" t="s">
        <v>390</v>
      </c>
      <c r="G141" s="30" t="s">
        <v>53</v>
      </c>
      <c r="H141" s="30" t="s">
        <v>54</v>
      </c>
      <c r="I141" s="30"/>
      <c r="J141" s="46">
        <v>45919</v>
      </c>
      <c r="K141" s="68">
        <f t="shared" ca="1" si="8"/>
        <v>0.9178082191780822</v>
      </c>
      <c r="L141" s="46">
        <v>37787</v>
      </c>
      <c r="M141" s="51">
        <f t="shared" ca="1" si="9"/>
        <v>23</v>
      </c>
      <c r="N141" s="21" t="s">
        <v>862</v>
      </c>
      <c r="O141" s="30"/>
      <c r="P141" s="30" t="s">
        <v>56</v>
      </c>
      <c r="Q141" s="30" t="s">
        <v>1352</v>
      </c>
      <c r="R141" s="30"/>
      <c r="S141" s="21" t="s">
        <v>86</v>
      </c>
      <c r="T141" s="30"/>
      <c r="U141" s="21">
        <v>9384919599</v>
      </c>
      <c r="V141" s="21" t="s">
        <v>1353</v>
      </c>
      <c r="W141" s="30"/>
      <c r="X141" s="65">
        <v>5611364323</v>
      </c>
      <c r="Y141" s="21" t="s">
        <v>1354</v>
      </c>
      <c r="Z141" s="47"/>
      <c r="AA141" s="21" t="s">
        <v>1355</v>
      </c>
      <c r="AB141" s="21" t="s">
        <v>111</v>
      </c>
      <c r="AC141" s="21" t="s">
        <v>112</v>
      </c>
      <c r="AD141" s="21" t="s">
        <v>113</v>
      </c>
      <c r="AE141" s="21" t="s">
        <v>1356</v>
      </c>
      <c r="AF141" s="21" t="s">
        <v>1356</v>
      </c>
      <c r="AG141" s="38">
        <v>7060</v>
      </c>
      <c r="AH141" s="38">
        <v>7981</v>
      </c>
      <c r="AI141" s="30"/>
      <c r="AJ141" s="30"/>
      <c r="AK141" s="30"/>
      <c r="AL141" s="38">
        <v>15041</v>
      </c>
      <c r="AM141" s="38">
        <v>15000</v>
      </c>
      <c r="AN141" s="38">
        <v>1950</v>
      </c>
      <c r="AO141" s="38">
        <v>488.83249999999998</v>
      </c>
      <c r="AP141" s="38">
        <v>1253.4166666666699</v>
      </c>
      <c r="AQ141" s="30"/>
      <c r="AR141" s="30"/>
      <c r="AS141" s="40">
        <v>1203.28</v>
      </c>
      <c r="AT141" s="69">
        <f t="shared" si="10"/>
        <v>19936.529166666671</v>
      </c>
    </row>
    <row r="142" spans="1:46" s="70" customFormat="1" ht="24">
      <c r="A142" s="52">
        <f t="shared" si="11"/>
        <v>140</v>
      </c>
      <c r="B142" s="65" t="s">
        <v>1357</v>
      </c>
      <c r="C142" s="66" t="s">
        <v>1358</v>
      </c>
      <c r="D142" s="67" t="s">
        <v>363</v>
      </c>
      <c r="E142" s="30" t="s">
        <v>51</v>
      </c>
      <c r="F142" s="30" t="s">
        <v>105</v>
      </c>
      <c r="G142" s="30" t="s">
        <v>53</v>
      </c>
      <c r="H142" s="30" t="s">
        <v>54</v>
      </c>
      <c r="I142" s="30"/>
      <c r="J142" s="46">
        <v>45918</v>
      </c>
      <c r="K142" s="68">
        <f t="shared" ca="1" si="8"/>
        <v>0.92054794520547945</v>
      </c>
      <c r="L142" s="46">
        <v>38291</v>
      </c>
      <c r="M142" s="51">
        <f t="shared" ca="1" si="9"/>
        <v>21</v>
      </c>
      <c r="N142" s="21"/>
      <c r="O142" s="30"/>
      <c r="P142" s="30" t="s">
        <v>56</v>
      </c>
      <c r="Q142" s="30"/>
      <c r="R142" s="30"/>
      <c r="S142" s="21" t="s">
        <v>57</v>
      </c>
      <c r="T142" s="30" t="s">
        <v>1359</v>
      </c>
      <c r="U142" s="21">
        <v>7205403872</v>
      </c>
      <c r="V142" s="21" t="s">
        <v>1360</v>
      </c>
      <c r="W142" s="30"/>
      <c r="X142" s="65">
        <v>5611394609</v>
      </c>
      <c r="Y142" s="21" t="s">
        <v>1361</v>
      </c>
      <c r="Z142" s="47"/>
      <c r="AA142" s="21" t="s">
        <v>1362</v>
      </c>
      <c r="AB142" s="21" t="s">
        <v>239</v>
      </c>
      <c r="AC142" s="21" t="s">
        <v>240</v>
      </c>
      <c r="AD142" s="21" t="s">
        <v>1348</v>
      </c>
      <c r="AE142" s="21" t="s">
        <v>1363</v>
      </c>
      <c r="AF142" s="21" t="s">
        <v>1363</v>
      </c>
      <c r="AG142" s="38">
        <v>7060</v>
      </c>
      <c r="AH142" s="38">
        <v>7981</v>
      </c>
      <c r="AI142" s="30"/>
      <c r="AJ142" s="30"/>
      <c r="AK142" s="30"/>
      <c r="AL142" s="38">
        <v>15041</v>
      </c>
      <c r="AM142" s="38">
        <v>15000</v>
      </c>
      <c r="AN142" s="38">
        <v>1950</v>
      </c>
      <c r="AO142" s="38">
        <v>488.83249999999998</v>
      </c>
      <c r="AP142" s="38">
        <v>1253.4166666666699</v>
      </c>
      <c r="AQ142" s="30"/>
      <c r="AR142" s="30"/>
      <c r="AS142" s="40">
        <v>1203.28</v>
      </c>
      <c r="AT142" s="69">
        <f t="shared" si="10"/>
        <v>19936.529166666671</v>
      </c>
    </row>
    <row r="143" spans="1:46" s="70" customFormat="1" ht="24">
      <c r="A143" s="52">
        <f t="shared" si="11"/>
        <v>141</v>
      </c>
      <c r="B143" s="65" t="s">
        <v>1364</v>
      </c>
      <c r="C143" s="66" t="s">
        <v>1365</v>
      </c>
      <c r="D143" s="67" t="s">
        <v>363</v>
      </c>
      <c r="E143" s="30" t="s">
        <v>51</v>
      </c>
      <c r="F143" s="30" t="s">
        <v>136</v>
      </c>
      <c r="G143" s="30" t="s">
        <v>53</v>
      </c>
      <c r="H143" s="30" t="s">
        <v>54</v>
      </c>
      <c r="I143" s="30"/>
      <c r="J143" s="46">
        <v>45918</v>
      </c>
      <c r="K143" s="68">
        <f t="shared" ca="1" si="8"/>
        <v>0.92054794520547945</v>
      </c>
      <c r="L143" s="46">
        <v>35363</v>
      </c>
      <c r="M143" s="51">
        <f t="shared" ca="1" si="9"/>
        <v>29</v>
      </c>
      <c r="N143" s="21" t="s">
        <v>70</v>
      </c>
      <c r="O143" s="30"/>
      <c r="P143" s="30" t="s">
        <v>56</v>
      </c>
      <c r="Q143" s="30"/>
      <c r="R143" s="30"/>
      <c r="S143" s="21" t="s">
        <v>57</v>
      </c>
      <c r="T143" s="30" t="s">
        <v>1366</v>
      </c>
      <c r="U143" s="21">
        <v>9040694753</v>
      </c>
      <c r="V143" s="21" t="s">
        <v>1367</v>
      </c>
      <c r="W143" s="30"/>
      <c r="X143" s="65">
        <v>5611394668</v>
      </c>
      <c r="Y143" s="21" t="s">
        <v>1368</v>
      </c>
      <c r="Z143" s="47"/>
      <c r="AA143" s="21" t="s">
        <v>1369</v>
      </c>
      <c r="AB143" s="21" t="s">
        <v>1370</v>
      </c>
      <c r="AC143" s="21" t="s">
        <v>100</v>
      </c>
      <c r="AD143" s="21" t="s">
        <v>1371</v>
      </c>
      <c r="AE143" s="21" t="s">
        <v>1363</v>
      </c>
      <c r="AF143" s="21" t="s">
        <v>1363</v>
      </c>
      <c r="AG143" s="38">
        <v>7060</v>
      </c>
      <c r="AH143" s="38">
        <v>7981</v>
      </c>
      <c r="AI143" s="30"/>
      <c r="AJ143" s="30"/>
      <c r="AK143" s="30"/>
      <c r="AL143" s="38">
        <v>15041</v>
      </c>
      <c r="AM143" s="38">
        <v>15000</v>
      </c>
      <c r="AN143" s="38">
        <v>1950</v>
      </c>
      <c r="AO143" s="38">
        <v>488.83249999999998</v>
      </c>
      <c r="AP143" s="38">
        <v>1253.4166666666699</v>
      </c>
      <c r="AQ143" s="30"/>
      <c r="AR143" s="30"/>
      <c r="AS143" s="40">
        <v>1203.28</v>
      </c>
      <c r="AT143" s="69">
        <f t="shared" si="10"/>
        <v>19936.529166666671</v>
      </c>
    </row>
    <row r="144" spans="1:46" s="70" customFormat="1" ht="24">
      <c r="A144" s="52">
        <f t="shared" si="11"/>
        <v>142</v>
      </c>
      <c r="B144" s="65" t="s">
        <v>1372</v>
      </c>
      <c r="C144" s="66" t="s">
        <v>1373</v>
      </c>
      <c r="D144" s="67" t="s">
        <v>363</v>
      </c>
      <c r="E144" s="30" t="s">
        <v>51</v>
      </c>
      <c r="F144" s="30" t="s">
        <v>136</v>
      </c>
      <c r="G144" s="30" t="s">
        <v>53</v>
      </c>
      <c r="H144" s="30" t="s">
        <v>54</v>
      </c>
      <c r="I144" s="30"/>
      <c r="J144" s="46">
        <v>45918</v>
      </c>
      <c r="K144" s="68">
        <f t="shared" ca="1" si="8"/>
        <v>0.92054794520547945</v>
      </c>
      <c r="L144" s="46">
        <v>32055</v>
      </c>
      <c r="M144" s="51">
        <f t="shared" ca="1" si="9"/>
        <v>38</v>
      </c>
      <c r="N144" s="21" t="s">
        <v>70</v>
      </c>
      <c r="O144" s="30"/>
      <c r="P144" s="30" t="s">
        <v>56</v>
      </c>
      <c r="Q144" s="30"/>
      <c r="R144" s="30"/>
      <c r="S144" s="21" t="s">
        <v>57</v>
      </c>
      <c r="T144" s="30" t="s">
        <v>1374</v>
      </c>
      <c r="U144" s="21">
        <v>9074903099</v>
      </c>
      <c r="V144" s="21" t="s">
        <v>1375</v>
      </c>
      <c r="W144" s="30"/>
      <c r="X144" s="65">
        <v>5611394708</v>
      </c>
      <c r="Y144" s="21" t="s">
        <v>1376</v>
      </c>
      <c r="Z144" s="47"/>
      <c r="AA144" s="21" t="s">
        <v>1377</v>
      </c>
      <c r="AB144" s="21" t="s">
        <v>1378</v>
      </c>
      <c r="AC144" s="21" t="s">
        <v>1379</v>
      </c>
      <c r="AD144" s="21" t="s">
        <v>1380</v>
      </c>
      <c r="AE144" s="21" t="s">
        <v>1363</v>
      </c>
      <c r="AF144" s="21" t="s">
        <v>1363</v>
      </c>
      <c r="AG144" s="38">
        <v>7060</v>
      </c>
      <c r="AH144" s="38">
        <v>7981</v>
      </c>
      <c r="AI144" s="30"/>
      <c r="AJ144" s="30"/>
      <c r="AK144" s="30"/>
      <c r="AL144" s="38">
        <v>15041</v>
      </c>
      <c r="AM144" s="38">
        <v>15000</v>
      </c>
      <c r="AN144" s="38">
        <v>1950</v>
      </c>
      <c r="AO144" s="38">
        <v>488.83249999999998</v>
      </c>
      <c r="AP144" s="38">
        <v>1253.4166666666699</v>
      </c>
      <c r="AQ144" s="30"/>
      <c r="AR144" s="30"/>
      <c r="AS144" s="40">
        <v>1203.28</v>
      </c>
      <c r="AT144" s="69">
        <f t="shared" si="10"/>
        <v>19936.529166666671</v>
      </c>
    </row>
    <row r="145" spans="1:46" s="70" customFormat="1" ht="24">
      <c r="A145" s="52">
        <f t="shared" si="11"/>
        <v>143</v>
      </c>
      <c r="B145" s="65" t="s">
        <v>1381</v>
      </c>
      <c r="C145" s="66" t="s">
        <v>1382</v>
      </c>
      <c r="D145" s="67" t="s">
        <v>363</v>
      </c>
      <c r="E145" s="30" t="s">
        <v>51</v>
      </c>
      <c r="F145" s="30"/>
      <c r="G145" s="30" t="s">
        <v>53</v>
      </c>
      <c r="H145" s="30" t="s">
        <v>54</v>
      </c>
      <c r="I145" s="30"/>
      <c r="J145" s="46">
        <v>45919</v>
      </c>
      <c r="K145" s="68">
        <f t="shared" ca="1" si="8"/>
        <v>0.9178082191780822</v>
      </c>
      <c r="L145" s="46">
        <v>32938</v>
      </c>
      <c r="M145" s="51">
        <f t="shared" ca="1" si="9"/>
        <v>36</v>
      </c>
      <c r="N145" s="21" t="s">
        <v>862</v>
      </c>
      <c r="O145" s="30"/>
      <c r="P145" s="30" t="s">
        <v>56</v>
      </c>
      <c r="Q145" s="30"/>
      <c r="R145" s="30"/>
      <c r="S145" s="21" t="s">
        <v>57</v>
      </c>
      <c r="T145" s="30" t="s">
        <v>1383</v>
      </c>
      <c r="U145" s="21">
        <v>9488665053</v>
      </c>
      <c r="V145" s="21" t="s">
        <v>1384</v>
      </c>
      <c r="W145" s="30"/>
      <c r="X145" s="65">
        <v>5611394742</v>
      </c>
      <c r="Y145" s="21" t="s">
        <v>1385</v>
      </c>
      <c r="Z145" s="47"/>
      <c r="AA145" s="21" t="s">
        <v>1386</v>
      </c>
      <c r="AB145" s="21" t="s">
        <v>1387</v>
      </c>
      <c r="AC145" s="21" t="s">
        <v>112</v>
      </c>
      <c r="AD145" s="21" t="s">
        <v>1388</v>
      </c>
      <c r="AE145" s="21"/>
      <c r="AF145" s="21"/>
      <c r="AG145" s="38">
        <v>7060</v>
      </c>
      <c r="AH145" s="38">
        <v>7981</v>
      </c>
      <c r="AI145" s="30"/>
      <c r="AJ145" s="30"/>
      <c r="AK145" s="30"/>
      <c r="AL145" s="38">
        <v>15041</v>
      </c>
      <c r="AM145" s="38">
        <v>15000</v>
      </c>
      <c r="AN145" s="38">
        <v>1950</v>
      </c>
      <c r="AO145" s="38">
        <v>488.83249999999998</v>
      </c>
      <c r="AP145" s="38">
        <v>1253.4166666666699</v>
      </c>
      <c r="AQ145" s="30"/>
      <c r="AR145" s="30"/>
      <c r="AS145" s="40">
        <v>1203.28</v>
      </c>
      <c r="AT145" s="69">
        <f t="shared" si="10"/>
        <v>19936.529166666671</v>
      </c>
    </row>
    <row r="146" spans="1:46" s="70" customFormat="1" ht="24">
      <c r="A146" s="52">
        <f t="shared" si="11"/>
        <v>144</v>
      </c>
      <c r="B146" s="65" t="s">
        <v>1389</v>
      </c>
      <c r="C146" s="66" t="s">
        <v>1390</v>
      </c>
      <c r="D146" s="67" t="s">
        <v>50</v>
      </c>
      <c r="E146" s="30" t="s">
        <v>51</v>
      </c>
      <c r="F146" s="30" t="s">
        <v>136</v>
      </c>
      <c r="G146" s="30" t="s">
        <v>53</v>
      </c>
      <c r="H146" s="30" t="s">
        <v>54</v>
      </c>
      <c r="I146" s="30"/>
      <c r="J146" s="46">
        <v>45880</v>
      </c>
      <c r="K146" s="68">
        <f t="shared" ca="1" si="8"/>
        <v>1.0246575342465754</v>
      </c>
      <c r="L146" s="46">
        <v>29290</v>
      </c>
      <c r="M146" s="51">
        <f t="shared" ca="1" si="9"/>
        <v>46</v>
      </c>
      <c r="N146" s="21" t="s">
        <v>106</v>
      </c>
      <c r="O146" s="30"/>
      <c r="P146" s="30" t="s">
        <v>56</v>
      </c>
      <c r="Q146" s="30"/>
      <c r="R146" s="30"/>
      <c r="S146" s="21" t="s">
        <v>57</v>
      </c>
      <c r="T146" s="30" t="s">
        <v>1391</v>
      </c>
      <c r="U146" s="21">
        <v>8675968187</v>
      </c>
      <c r="V146" s="21" t="s">
        <v>1392</v>
      </c>
      <c r="W146" s="30"/>
      <c r="X146" s="65">
        <v>5611364312</v>
      </c>
      <c r="Y146" s="21" t="s">
        <v>1393</v>
      </c>
      <c r="Z146" s="47"/>
      <c r="AA146" s="21" t="s">
        <v>1394</v>
      </c>
      <c r="AB146" s="21" t="s">
        <v>1395</v>
      </c>
      <c r="AC146" s="21" t="s">
        <v>1340</v>
      </c>
      <c r="AD146" s="21" t="s">
        <v>1396</v>
      </c>
      <c r="AE146" s="21" t="s">
        <v>1397</v>
      </c>
      <c r="AF146" s="21" t="s">
        <v>1397</v>
      </c>
      <c r="AG146" s="38">
        <v>7060</v>
      </c>
      <c r="AH146" s="38">
        <v>7981</v>
      </c>
      <c r="AI146" s="30"/>
      <c r="AJ146" s="30"/>
      <c r="AK146" s="30"/>
      <c r="AL146" s="38">
        <v>15041</v>
      </c>
      <c r="AM146" s="38">
        <v>15000</v>
      </c>
      <c r="AN146" s="38">
        <v>1950</v>
      </c>
      <c r="AO146" s="38">
        <v>488.83249999999998</v>
      </c>
      <c r="AP146" s="38">
        <v>1253.4166666666699</v>
      </c>
      <c r="AQ146" s="30"/>
      <c r="AR146" s="30"/>
      <c r="AS146" s="40">
        <v>1203.28</v>
      </c>
      <c r="AT146" s="69">
        <f t="shared" si="10"/>
        <v>19936.529166666671</v>
      </c>
    </row>
    <row r="147" spans="1:46" s="70" customFormat="1" ht="24">
      <c r="A147" s="52">
        <f t="shared" si="11"/>
        <v>145</v>
      </c>
      <c r="B147" s="65" t="s">
        <v>1398</v>
      </c>
      <c r="C147" s="66" t="s">
        <v>1399</v>
      </c>
      <c r="D147" s="67" t="s">
        <v>82</v>
      </c>
      <c r="E147" s="30" t="s">
        <v>51</v>
      </c>
      <c r="F147" s="30" t="s">
        <v>136</v>
      </c>
      <c r="G147" s="30" t="s">
        <v>53</v>
      </c>
      <c r="H147" s="30" t="s">
        <v>54</v>
      </c>
      <c r="I147" s="30"/>
      <c r="J147" s="46">
        <v>45962</v>
      </c>
      <c r="K147" s="68">
        <f t="shared" ca="1" si="8"/>
        <v>0.8</v>
      </c>
      <c r="L147" s="46">
        <v>31413</v>
      </c>
      <c r="M147" s="51">
        <f t="shared" ca="1" si="9"/>
        <v>40</v>
      </c>
      <c r="N147" s="21" t="s">
        <v>119</v>
      </c>
      <c r="O147" s="30"/>
      <c r="P147" s="30" t="s">
        <v>56</v>
      </c>
      <c r="Q147" s="30"/>
      <c r="R147" s="30"/>
      <c r="S147" s="21" t="s">
        <v>57</v>
      </c>
      <c r="T147" s="30" t="s">
        <v>1400</v>
      </c>
      <c r="U147" s="21">
        <v>9566902052</v>
      </c>
      <c r="V147" s="21" t="s">
        <v>1401</v>
      </c>
      <c r="W147" s="30"/>
      <c r="X147" s="65">
        <v>5610720765</v>
      </c>
      <c r="Y147" s="21" t="s">
        <v>1402</v>
      </c>
      <c r="Z147" s="47"/>
      <c r="AA147" s="21" t="s">
        <v>1403</v>
      </c>
      <c r="AB147" s="21" t="s">
        <v>239</v>
      </c>
      <c r="AC147" s="21" t="s">
        <v>240</v>
      </c>
      <c r="AD147" s="21" t="s">
        <v>1348</v>
      </c>
      <c r="AE147" s="21" t="s">
        <v>1404</v>
      </c>
      <c r="AF147" s="21" t="s">
        <v>1404</v>
      </c>
      <c r="AG147" s="38">
        <v>7060</v>
      </c>
      <c r="AH147" s="38">
        <v>7981</v>
      </c>
      <c r="AI147" s="30"/>
      <c r="AJ147" s="30"/>
      <c r="AK147" s="30"/>
      <c r="AL147" s="38">
        <v>15041</v>
      </c>
      <c r="AM147" s="38">
        <v>15000</v>
      </c>
      <c r="AN147" s="38">
        <v>1950</v>
      </c>
      <c r="AO147" s="38">
        <v>488.83249999999998</v>
      </c>
      <c r="AP147" s="38">
        <v>1253.4166666666699</v>
      </c>
      <c r="AQ147" s="30"/>
      <c r="AR147" s="30"/>
      <c r="AS147" s="40">
        <v>1203.28</v>
      </c>
      <c r="AT147" s="69">
        <f t="shared" si="10"/>
        <v>19936.529166666671</v>
      </c>
    </row>
    <row r="148" spans="1:46" s="70" customFormat="1" ht="24">
      <c r="A148" s="52">
        <f t="shared" si="11"/>
        <v>146</v>
      </c>
      <c r="B148" s="65" t="s">
        <v>1405</v>
      </c>
      <c r="C148" s="66" t="s">
        <v>1406</v>
      </c>
      <c r="D148" s="67" t="s">
        <v>50</v>
      </c>
      <c r="E148" s="30" t="s">
        <v>51</v>
      </c>
      <c r="F148" s="30"/>
      <c r="G148" s="30" t="s">
        <v>53</v>
      </c>
      <c r="H148" s="30" t="s">
        <v>54</v>
      </c>
      <c r="I148" s="30"/>
      <c r="J148" s="46">
        <v>45962</v>
      </c>
      <c r="K148" s="68">
        <f t="shared" ca="1" si="8"/>
        <v>0.8</v>
      </c>
      <c r="L148" s="46">
        <v>27428</v>
      </c>
      <c r="M148" s="51">
        <f t="shared" ca="1" si="9"/>
        <v>51</v>
      </c>
      <c r="N148" s="21" t="s">
        <v>106</v>
      </c>
      <c r="O148" s="30"/>
      <c r="P148" s="30" t="s">
        <v>56</v>
      </c>
      <c r="Q148" s="30"/>
      <c r="R148" s="30"/>
      <c r="S148" s="21" t="s">
        <v>57</v>
      </c>
      <c r="T148" s="30" t="s">
        <v>1407</v>
      </c>
      <c r="U148" s="21">
        <v>9843459431</v>
      </c>
      <c r="V148" s="21" t="s">
        <v>1408</v>
      </c>
      <c r="W148" s="30"/>
      <c r="X148" s="65">
        <v>5611177230</v>
      </c>
      <c r="Y148" s="21" t="s">
        <v>1409</v>
      </c>
      <c r="Z148" s="47"/>
      <c r="AA148" s="21" t="s">
        <v>1410</v>
      </c>
      <c r="AB148" s="21" t="s">
        <v>1411</v>
      </c>
      <c r="AC148" s="21" t="s">
        <v>1412</v>
      </c>
      <c r="AD148" s="21" t="s">
        <v>1413</v>
      </c>
      <c r="AE148" s="21"/>
      <c r="AF148" s="21"/>
      <c r="AG148" s="38">
        <v>7060</v>
      </c>
      <c r="AH148" s="38">
        <v>7981</v>
      </c>
      <c r="AI148" s="30"/>
      <c r="AJ148" s="30"/>
      <c r="AK148" s="30"/>
      <c r="AL148" s="38">
        <v>15041</v>
      </c>
      <c r="AM148" s="38">
        <v>15000</v>
      </c>
      <c r="AN148" s="38">
        <v>1950</v>
      </c>
      <c r="AO148" s="38">
        <v>488.83249999999998</v>
      </c>
      <c r="AP148" s="38">
        <v>1253.4166666666699</v>
      </c>
      <c r="AQ148" s="30"/>
      <c r="AR148" s="30"/>
      <c r="AS148" s="40">
        <v>1203.28</v>
      </c>
      <c r="AT148" s="69">
        <f t="shared" si="10"/>
        <v>19936.529166666671</v>
      </c>
    </row>
    <row r="149" spans="1:46" s="70" customFormat="1" ht="24">
      <c r="A149" s="52">
        <f t="shared" si="11"/>
        <v>147</v>
      </c>
      <c r="B149" s="65" t="s">
        <v>1414</v>
      </c>
      <c r="C149" s="66" t="s">
        <v>1415</v>
      </c>
      <c r="D149" s="67" t="s">
        <v>50</v>
      </c>
      <c r="E149" s="30" t="s">
        <v>51</v>
      </c>
      <c r="F149" s="30" t="s">
        <v>83</v>
      </c>
      <c r="G149" s="30" t="s">
        <v>53</v>
      </c>
      <c r="H149" s="30" t="s">
        <v>54</v>
      </c>
      <c r="I149" s="30"/>
      <c r="J149" s="46">
        <v>45962</v>
      </c>
      <c r="K149" s="68">
        <f t="shared" ca="1" si="8"/>
        <v>0.8</v>
      </c>
      <c r="L149" s="46">
        <v>36886</v>
      </c>
      <c r="M149" s="51">
        <f t="shared" ca="1" si="9"/>
        <v>25</v>
      </c>
      <c r="N149" s="21"/>
      <c r="O149" s="30"/>
      <c r="P149" s="30" t="s">
        <v>56</v>
      </c>
      <c r="Q149" s="30" t="s">
        <v>1416</v>
      </c>
      <c r="R149" s="30"/>
      <c r="S149" s="21" t="s">
        <v>86</v>
      </c>
      <c r="T149" s="30"/>
      <c r="U149" s="21">
        <v>9360184488</v>
      </c>
      <c r="V149" s="21" t="s">
        <v>1417</v>
      </c>
      <c r="W149" s="30"/>
      <c r="X149" s="65">
        <v>5611193404</v>
      </c>
      <c r="Y149" s="21" t="s">
        <v>1418</v>
      </c>
      <c r="Z149" s="47"/>
      <c r="AA149" s="21" t="s">
        <v>1419</v>
      </c>
      <c r="AB149" s="21" t="s">
        <v>270</v>
      </c>
      <c r="AC149" s="21" t="s">
        <v>100</v>
      </c>
      <c r="AD149" s="21" t="s">
        <v>271</v>
      </c>
      <c r="AE149" s="21" t="s">
        <v>1420</v>
      </c>
      <c r="AF149" s="21" t="s">
        <v>1420</v>
      </c>
      <c r="AG149" s="38">
        <v>7060</v>
      </c>
      <c r="AH149" s="38">
        <v>7981</v>
      </c>
      <c r="AI149" s="30"/>
      <c r="AJ149" s="30"/>
      <c r="AK149" s="30"/>
      <c r="AL149" s="38">
        <v>15041</v>
      </c>
      <c r="AM149" s="38">
        <v>15000</v>
      </c>
      <c r="AN149" s="38">
        <v>1950</v>
      </c>
      <c r="AO149" s="38">
        <v>488.83249999999998</v>
      </c>
      <c r="AP149" s="38">
        <v>1253.4166666666699</v>
      </c>
      <c r="AQ149" s="30"/>
      <c r="AR149" s="30"/>
      <c r="AS149" s="40">
        <v>1203.28</v>
      </c>
      <c r="AT149" s="69">
        <f t="shared" si="10"/>
        <v>19936.529166666671</v>
      </c>
    </row>
    <row r="150" spans="1:46" s="70" customFormat="1" ht="24">
      <c r="A150" s="52">
        <f t="shared" si="11"/>
        <v>148</v>
      </c>
      <c r="B150" s="65" t="s">
        <v>1421</v>
      </c>
      <c r="C150" s="66" t="s">
        <v>1422</v>
      </c>
      <c r="D150" s="67" t="s">
        <v>50</v>
      </c>
      <c r="E150" s="30" t="s">
        <v>51</v>
      </c>
      <c r="F150" s="30"/>
      <c r="G150" s="30" t="s">
        <v>53</v>
      </c>
      <c r="H150" s="30" t="s">
        <v>54</v>
      </c>
      <c r="I150" s="30"/>
      <c r="J150" s="46">
        <v>45962</v>
      </c>
      <c r="K150" s="68">
        <f t="shared" ca="1" si="8"/>
        <v>0.8</v>
      </c>
      <c r="L150" s="46">
        <v>29221</v>
      </c>
      <c r="M150" s="51">
        <f t="shared" ca="1" si="9"/>
        <v>46</v>
      </c>
      <c r="N150" s="21"/>
      <c r="O150" s="30"/>
      <c r="P150" s="30" t="s">
        <v>56</v>
      </c>
      <c r="Q150" s="30"/>
      <c r="R150" s="30"/>
      <c r="S150" s="21" t="s">
        <v>57</v>
      </c>
      <c r="T150" s="30" t="s">
        <v>1423</v>
      </c>
      <c r="U150" s="21">
        <v>8012729713</v>
      </c>
      <c r="V150" s="21" t="s">
        <v>1424</v>
      </c>
      <c r="W150" s="30"/>
      <c r="X150" s="65">
        <v>5611412129</v>
      </c>
      <c r="Y150" s="21" t="s">
        <v>1425</v>
      </c>
      <c r="Z150" s="47"/>
      <c r="AA150" s="21" t="s">
        <v>1426</v>
      </c>
      <c r="AB150" s="21" t="s">
        <v>260</v>
      </c>
      <c r="AC150" s="21" t="s">
        <v>162</v>
      </c>
      <c r="AD150" s="21" t="s">
        <v>262</v>
      </c>
      <c r="AE150" s="21"/>
      <c r="AF150" s="21" t="s">
        <v>1427</v>
      </c>
      <c r="AG150" s="38">
        <v>7060</v>
      </c>
      <c r="AH150" s="38">
        <v>7981</v>
      </c>
      <c r="AI150" s="30"/>
      <c r="AJ150" s="30"/>
      <c r="AK150" s="30"/>
      <c r="AL150" s="38">
        <v>15041</v>
      </c>
      <c r="AM150" s="38">
        <v>15000</v>
      </c>
      <c r="AN150" s="38">
        <v>1950</v>
      </c>
      <c r="AO150" s="38">
        <v>488.83249999999998</v>
      </c>
      <c r="AP150" s="38">
        <v>1253.4166666666699</v>
      </c>
      <c r="AQ150" s="30"/>
      <c r="AR150" s="30"/>
      <c r="AS150" s="40">
        <v>1203.28</v>
      </c>
      <c r="AT150" s="69">
        <f t="shared" si="10"/>
        <v>19936.529166666671</v>
      </c>
    </row>
    <row r="151" spans="1:46" s="70" customFormat="1" ht="24">
      <c r="A151" s="52">
        <f t="shared" si="11"/>
        <v>149</v>
      </c>
      <c r="B151" s="65" t="s">
        <v>1428</v>
      </c>
      <c r="C151" s="66" t="s">
        <v>1429</v>
      </c>
      <c r="D151" s="67" t="s">
        <v>50</v>
      </c>
      <c r="E151" s="30" t="s">
        <v>51</v>
      </c>
      <c r="F151" s="30" t="s">
        <v>136</v>
      </c>
      <c r="G151" s="30" t="s">
        <v>53</v>
      </c>
      <c r="H151" s="30" t="s">
        <v>54</v>
      </c>
      <c r="I151" s="30"/>
      <c r="J151" s="46">
        <v>45964</v>
      </c>
      <c r="K151" s="68">
        <f t="shared" ca="1" si="8"/>
        <v>0.79452054794520544</v>
      </c>
      <c r="L151" s="46">
        <v>33775</v>
      </c>
      <c r="M151" s="51">
        <f t="shared" ca="1" si="9"/>
        <v>34</v>
      </c>
      <c r="N151" s="21"/>
      <c r="O151" s="30"/>
      <c r="P151" s="30" t="s">
        <v>56</v>
      </c>
      <c r="Q151" s="30"/>
      <c r="R151" s="30"/>
      <c r="S151" s="21" t="s">
        <v>57</v>
      </c>
      <c r="T151" s="30" t="s">
        <v>1430</v>
      </c>
      <c r="U151" s="21">
        <v>866745096</v>
      </c>
      <c r="V151" s="21" t="s">
        <v>1431</v>
      </c>
      <c r="W151" s="30"/>
      <c r="X151" s="65">
        <v>5609917172</v>
      </c>
      <c r="Y151" s="21" t="s">
        <v>1432</v>
      </c>
      <c r="Z151" s="47"/>
      <c r="AA151" s="21" t="s">
        <v>1433</v>
      </c>
      <c r="AB151" s="21" t="s">
        <v>795</v>
      </c>
      <c r="AC151" s="21" t="s">
        <v>112</v>
      </c>
      <c r="AD151" s="21" t="s">
        <v>136</v>
      </c>
      <c r="AE151" s="21" t="s">
        <v>1434</v>
      </c>
      <c r="AF151" s="21" t="s">
        <v>1434</v>
      </c>
      <c r="AG151" s="38">
        <v>7060</v>
      </c>
      <c r="AH151" s="38">
        <v>7981</v>
      </c>
      <c r="AI151" s="30"/>
      <c r="AJ151" s="30"/>
      <c r="AK151" s="30"/>
      <c r="AL151" s="38">
        <v>15041</v>
      </c>
      <c r="AM151" s="38">
        <v>15000</v>
      </c>
      <c r="AN151" s="38">
        <v>1950</v>
      </c>
      <c r="AO151" s="38">
        <v>488.83249999999998</v>
      </c>
      <c r="AP151" s="38">
        <v>1253.4166666666699</v>
      </c>
      <c r="AQ151" s="30"/>
      <c r="AR151" s="30"/>
      <c r="AS151" s="40">
        <v>1203.28</v>
      </c>
      <c r="AT151" s="69">
        <f t="shared" si="10"/>
        <v>19936.529166666671</v>
      </c>
    </row>
    <row r="152" spans="1:46" s="70" customFormat="1" ht="24">
      <c r="A152" s="52">
        <f t="shared" si="11"/>
        <v>150</v>
      </c>
      <c r="B152" s="65" t="s">
        <v>1435</v>
      </c>
      <c r="C152" s="66" t="s">
        <v>1436</v>
      </c>
      <c r="D152" s="67" t="s">
        <v>82</v>
      </c>
      <c r="E152" s="30" t="s">
        <v>51</v>
      </c>
      <c r="F152" s="30"/>
      <c r="G152" s="30" t="s">
        <v>53</v>
      </c>
      <c r="H152" s="30" t="s">
        <v>54</v>
      </c>
      <c r="I152" s="30"/>
      <c r="J152" s="46">
        <v>45964</v>
      </c>
      <c r="K152" s="68">
        <f t="shared" ca="1" si="8"/>
        <v>0.79452054794520544</v>
      </c>
      <c r="L152" s="46">
        <v>26723</v>
      </c>
      <c r="M152" s="51">
        <f t="shared" ca="1" si="9"/>
        <v>53</v>
      </c>
      <c r="N152" s="21" t="s">
        <v>106</v>
      </c>
      <c r="O152" s="30"/>
      <c r="P152" s="30" t="s">
        <v>56</v>
      </c>
      <c r="Q152" s="30"/>
      <c r="R152" s="30"/>
      <c r="S152" s="21" t="s">
        <v>57</v>
      </c>
      <c r="T152" s="30" t="s">
        <v>1437</v>
      </c>
      <c r="U152" s="21">
        <v>9500726770</v>
      </c>
      <c r="V152" s="21" t="s">
        <v>1438</v>
      </c>
      <c r="W152" s="30"/>
      <c r="X152" s="65">
        <v>5611446952</v>
      </c>
      <c r="Y152" s="21" t="s">
        <v>1439</v>
      </c>
      <c r="Z152" s="47"/>
      <c r="AA152" s="21" t="s">
        <v>1440</v>
      </c>
      <c r="AB152" s="21" t="s">
        <v>1441</v>
      </c>
      <c r="AC152" s="21" t="s">
        <v>1442</v>
      </c>
      <c r="AD152" s="21" t="s">
        <v>1443</v>
      </c>
      <c r="AE152" s="21"/>
      <c r="AF152" s="21" t="s">
        <v>1444</v>
      </c>
      <c r="AG152" s="38">
        <v>7060</v>
      </c>
      <c r="AH152" s="38">
        <v>7981</v>
      </c>
      <c r="AI152" s="30"/>
      <c r="AJ152" s="30"/>
      <c r="AK152" s="30"/>
      <c r="AL152" s="38">
        <v>15041</v>
      </c>
      <c r="AM152" s="38">
        <v>15000</v>
      </c>
      <c r="AN152" s="38">
        <v>1950</v>
      </c>
      <c r="AO152" s="38">
        <v>488.83249999999998</v>
      </c>
      <c r="AP152" s="38">
        <v>1253.4166666666699</v>
      </c>
      <c r="AQ152" s="30"/>
      <c r="AR152" s="30"/>
      <c r="AS152" s="40">
        <v>1203.28</v>
      </c>
      <c r="AT152" s="69">
        <f t="shared" si="10"/>
        <v>19936.529166666671</v>
      </c>
    </row>
    <row r="153" spans="1:46" s="70" customFormat="1" ht="24">
      <c r="A153" s="52">
        <f t="shared" si="11"/>
        <v>151</v>
      </c>
      <c r="B153" s="65" t="s">
        <v>1445</v>
      </c>
      <c r="C153" s="66" t="s">
        <v>1446</v>
      </c>
      <c r="D153" s="67" t="s">
        <v>50</v>
      </c>
      <c r="E153" s="30" t="s">
        <v>51</v>
      </c>
      <c r="F153" s="30" t="s">
        <v>1447</v>
      </c>
      <c r="G153" s="30" t="s">
        <v>53</v>
      </c>
      <c r="H153" s="30" t="s">
        <v>54</v>
      </c>
      <c r="I153" s="30"/>
      <c r="J153" s="46">
        <v>45966</v>
      </c>
      <c r="K153" s="68">
        <f t="shared" ca="1" si="8"/>
        <v>0.78904109589041094</v>
      </c>
      <c r="L153" s="46">
        <v>37004</v>
      </c>
      <c r="M153" s="51">
        <f t="shared" ca="1" si="9"/>
        <v>25</v>
      </c>
      <c r="N153" s="21" t="s">
        <v>1448</v>
      </c>
      <c r="O153" s="30"/>
      <c r="P153" s="30" t="s">
        <v>56</v>
      </c>
      <c r="Q153" s="30" t="s">
        <v>1449</v>
      </c>
      <c r="R153" s="30"/>
      <c r="S153" s="21" t="s">
        <v>86</v>
      </c>
      <c r="T153" s="30"/>
      <c r="U153" s="21">
        <v>8438160801</v>
      </c>
      <c r="V153" s="21" t="s">
        <v>1450</v>
      </c>
      <c r="W153" s="30"/>
      <c r="X153" s="65">
        <v>5609767786</v>
      </c>
      <c r="Y153" s="21" t="s">
        <v>1451</v>
      </c>
      <c r="Z153" s="47"/>
      <c r="AA153" s="21" t="s">
        <v>1452</v>
      </c>
      <c r="AB153" s="21" t="s">
        <v>1453</v>
      </c>
      <c r="AC153" s="21" t="s">
        <v>1454</v>
      </c>
      <c r="AD153" s="21" t="s">
        <v>1455</v>
      </c>
      <c r="AE153" s="21" t="s">
        <v>1456</v>
      </c>
      <c r="AF153" s="21" t="s">
        <v>1456</v>
      </c>
      <c r="AG153" s="38">
        <v>7060</v>
      </c>
      <c r="AH153" s="38">
        <v>7981</v>
      </c>
      <c r="AI153" s="30"/>
      <c r="AJ153" s="30"/>
      <c r="AK153" s="30"/>
      <c r="AL153" s="38">
        <v>15041</v>
      </c>
      <c r="AM153" s="38">
        <v>15000</v>
      </c>
      <c r="AN153" s="38">
        <v>1950</v>
      </c>
      <c r="AO153" s="38">
        <v>488.83249999999998</v>
      </c>
      <c r="AP153" s="38">
        <v>1253.4166666666699</v>
      </c>
      <c r="AQ153" s="30"/>
      <c r="AR153" s="30"/>
      <c r="AS153" s="40">
        <v>1203.28</v>
      </c>
      <c r="AT153" s="69">
        <f t="shared" si="10"/>
        <v>19936.529166666671</v>
      </c>
    </row>
    <row r="154" spans="1:46" s="70" customFormat="1" ht="24">
      <c r="A154" s="52">
        <f t="shared" si="11"/>
        <v>152</v>
      </c>
      <c r="B154" s="65" t="s">
        <v>1457</v>
      </c>
      <c r="C154" s="66" t="s">
        <v>1458</v>
      </c>
      <c r="D154" s="67" t="s">
        <v>50</v>
      </c>
      <c r="E154" s="30" t="s">
        <v>51</v>
      </c>
      <c r="F154" s="30"/>
      <c r="G154" s="30" t="s">
        <v>53</v>
      </c>
      <c r="H154" s="30" t="s">
        <v>54</v>
      </c>
      <c r="I154" s="30"/>
      <c r="J154" s="46">
        <v>45966</v>
      </c>
      <c r="K154" s="68">
        <f t="shared" ca="1" si="8"/>
        <v>0.78904109589041094</v>
      </c>
      <c r="L154" s="46">
        <v>36834</v>
      </c>
      <c r="M154" s="51">
        <f t="shared" ca="1" si="9"/>
        <v>25</v>
      </c>
      <c r="N154" s="21" t="s">
        <v>1448</v>
      </c>
      <c r="O154" s="30"/>
      <c r="P154" s="30" t="s">
        <v>56</v>
      </c>
      <c r="Q154" s="30" t="s">
        <v>1459</v>
      </c>
      <c r="R154" s="30"/>
      <c r="S154" s="21" t="s">
        <v>86</v>
      </c>
      <c r="T154" s="30"/>
      <c r="U154" s="21">
        <v>6383016128</v>
      </c>
      <c r="V154" s="21" t="s">
        <v>1460</v>
      </c>
      <c r="W154" s="30"/>
      <c r="X154" s="65">
        <v>5611447715</v>
      </c>
      <c r="Y154" s="21" t="s">
        <v>1461</v>
      </c>
      <c r="Z154" s="47"/>
      <c r="AA154" s="21" t="s">
        <v>1462</v>
      </c>
      <c r="AB154" s="21" t="s">
        <v>1463</v>
      </c>
      <c r="AC154" s="21" t="s">
        <v>215</v>
      </c>
      <c r="AD154" s="21" t="s">
        <v>1464</v>
      </c>
      <c r="AE154" s="21"/>
      <c r="AF154" s="21"/>
      <c r="AG154" s="38">
        <v>7060</v>
      </c>
      <c r="AH154" s="38">
        <v>7981</v>
      </c>
      <c r="AI154" s="30"/>
      <c r="AJ154" s="30"/>
      <c r="AK154" s="30"/>
      <c r="AL154" s="38">
        <v>15041</v>
      </c>
      <c r="AM154" s="38">
        <v>15000</v>
      </c>
      <c r="AN154" s="38">
        <v>1950</v>
      </c>
      <c r="AO154" s="38">
        <v>488.83249999999998</v>
      </c>
      <c r="AP154" s="38">
        <v>1253.4166666666699</v>
      </c>
      <c r="AQ154" s="30"/>
      <c r="AR154" s="30"/>
      <c r="AS154" s="40">
        <v>1203.28</v>
      </c>
      <c r="AT154" s="69">
        <f t="shared" si="10"/>
        <v>19936.529166666671</v>
      </c>
    </row>
    <row r="155" spans="1:46" s="70" customFormat="1" ht="24">
      <c r="A155" s="52">
        <f t="shared" si="11"/>
        <v>153</v>
      </c>
      <c r="B155" s="65" t="s">
        <v>1465</v>
      </c>
      <c r="C155" s="66" t="s">
        <v>1466</v>
      </c>
      <c r="D155" s="67" t="s">
        <v>50</v>
      </c>
      <c r="E155" s="30" t="s">
        <v>51</v>
      </c>
      <c r="F155" s="30" t="s">
        <v>83</v>
      </c>
      <c r="G155" s="30" t="s">
        <v>53</v>
      </c>
      <c r="H155" s="30" t="s">
        <v>54</v>
      </c>
      <c r="I155" s="30"/>
      <c r="J155" s="46">
        <v>45966</v>
      </c>
      <c r="K155" s="68">
        <f t="shared" ca="1" si="8"/>
        <v>0.78904109589041094</v>
      </c>
      <c r="L155" s="46">
        <v>38475</v>
      </c>
      <c r="M155" s="51">
        <f t="shared" ca="1" si="9"/>
        <v>21</v>
      </c>
      <c r="N155" s="21" t="s">
        <v>1085</v>
      </c>
      <c r="O155" s="30"/>
      <c r="P155" s="30" t="s">
        <v>56</v>
      </c>
      <c r="Q155" s="30" t="s">
        <v>1467</v>
      </c>
      <c r="R155" s="30"/>
      <c r="S155" s="21" t="s">
        <v>86</v>
      </c>
      <c r="T155" s="30"/>
      <c r="U155" s="21">
        <v>8148841825</v>
      </c>
      <c r="V155" s="21" t="s">
        <v>1468</v>
      </c>
      <c r="W155" s="30"/>
      <c r="X155" s="65">
        <v>5611447631</v>
      </c>
      <c r="Y155" s="21" t="s">
        <v>1469</v>
      </c>
      <c r="Z155" s="47"/>
      <c r="AA155" s="21" t="s">
        <v>1470</v>
      </c>
      <c r="AB155" s="21" t="s">
        <v>1471</v>
      </c>
      <c r="AC155" s="21" t="s">
        <v>100</v>
      </c>
      <c r="AD155" s="21" t="s">
        <v>1472</v>
      </c>
      <c r="AE155" s="21" t="s">
        <v>1473</v>
      </c>
      <c r="AF155" s="21" t="s">
        <v>1473</v>
      </c>
      <c r="AG155" s="38">
        <v>7060</v>
      </c>
      <c r="AH155" s="38">
        <v>7981</v>
      </c>
      <c r="AI155" s="30"/>
      <c r="AJ155" s="30"/>
      <c r="AK155" s="30"/>
      <c r="AL155" s="38">
        <v>15041</v>
      </c>
      <c r="AM155" s="38">
        <v>15000</v>
      </c>
      <c r="AN155" s="38">
        <v>1950</v>
      </c>
      <c r="AO155" s="38">
        <v>488.83249999999998</v>
      </c>
      <c r="AP155" s="38">
        <v>1253.4166666666699</v>
      </c>
      <c r="AQ155" s="30"/>
      <c r="AR155" s="30"/>
      <c r="AS155" s="40">
        <v>1203.28</v>
      </c>
      <c r="AT155" s="69">
        <f t="shared" si="10"/>
        <v>19936.529166666671</v>
      </c>
    </row>
    <row r="156" spans="1:46" s="70" customFormat="1" ht="24">
      <c r="A156" s="52">
        <f t="shared" si="11"/>
        <v>154</v>
      </c>
      <c r="B156" s="65" t="s">
        <v>1474</v>
      </c>
      <c r="C156" s="66" t="s">
        <v>1475</v>
      </c>
      <c r="D156" s="67" t="s">
        <v>50</v>
      </c>
      <c r="E156" s="30" t="s">
        <v>51</v>
      </c>
      <c r="F156" s="30" t="s">
        <v>83</v>
      </c>
      <c r="G156" s="30" t="s">
        <v>53</v>
      </c>
      <c r="H156" s="30" t="s">
        <v>54</v>
      </c>
      <c r="I156" s="30"/>
      <c r="J156" s="46">
        <v>45966</v>
      </c>
      <c r="K156" s="68">
        <f t="shared" ca="1" si="8"/>
        <v>0.78904109589041094</v>
      </c>
      <c r="L156" s="46">
        <v>38055</v>
      </c>
      <c r="M156" s="51">
        <f t="shared" ca="1" si="9"/>
        <v>22</v>
      </c>
      <c r="N156" s="21" t="s">
        <v>1476</v>
      </c>
      <c r="O156" s="30"/>
      <c r="P156" s="30" t="s">
        <v>56</v>
      </c>
      <c r="Q156" s="30" t="s">
        <v>1477</v>
      </c>
      <c r="R156" s="30"/>
      <c r="S156" s="21" t="s">
        <v>86</v>
      </c>
      <c r="T156" s="30"/>
      <c r="U156" s="21">
        <v>8438279304</v>
      </c>
      <c r="V156" s="21" t="s">
        <v>1478</v>
      </c>
      <c r="W156" s="30"/>
      <c r="X156" s="65">
        <v>5611447606</v>
      </c>
      <c r="Y156" s="21" t="s">
        <v>1479</v>
      </c>
      <c r="Z156" s="47"/>
      <c r="AA156" s="21" t="s">
        <v>1480</v>
      </c>
      <c r="AB156" s="21" t="s">
        <v>1481</v>
      </c>
      <c r="AC156" s="21" t="s">
        <v>162</v>
      </c>
      <c r="AD156" s="21" t="s">
        <v>1482</v>
      </c>
      <c r="AE156" s="21" t="s">
        <v>1483</v>
      </c>
      <c r="AF156" s="21" t="s">
        <v>1483</v>
      </c>
      <c r="AG156" s="38">
        <v>7060</v>
      </c>
      <c r="AH156" s="38">
        <v>7981</v>
      </c>
      <c r="AI156" s="30"/>
      <c r="AJ156" s="30"/>
      <c r="AK156" s="30"/>
      <c r="AL156" s="38">
        <v>15041</v>
      </c>
      <c r="AM156" s="38">
        <v>15000</v>
      </c>
      <c r="AN156" s="38">
        <v>1950</v>
      </c>
      <c r="AO156" s="38">
        <v>488.83249999999998</v>
      </c>
      <c r="AP156" s="38">
        <v>1253.4166666666699</v>
      </c>
      <c r="AQ156" s="30"/>
      <c r="AR156" s="30"/>
      <c r="AS156" s="40">
        <v>1203.28</v>
      </c>
      <c r="AT156" s="69">
        <f t="shared" si="10"/>
        <v>19936.529166666671</v>
      </c>
    </row>
    <row r="157" spans="1:46" s="70" customFormat="1" ht="24">
      <c r="A157" s="52">
        <f t="shared" si="11"/>
        <v>155</v>
      </c>
      <c r="B157" s="65" t="s">
        <v>1484</v>
      </c>
      <c r="C157" s="66" t="s">
        <v>1485</v>
      </c>
      <c r="D157" s="67" t="s">
        <v>50</v>
      </c>
      <c r="E157" s="30" t="s">
        <v>51</v>
      </c>
      <c r="F157" s="30" t="s">
        <v>136</v>
      </c>
      <c r="G157" s="30" t="s">
        <v>53</v>
      </c>
      <c r="H157" s="30" t="s">
        <v>54</v>
      </c>
      <c r="I157" s="30"/>
      <c r="J157" s="46">
        <v>45969</v>
      </c>
      <c r="K157" s="68">
        <f t="shared" ca="1" si="8"/>
        <v>0.78082191780821919</v>
      </c>
      <c r="L157" s="46">
        <v>34700</v>
      </c>
      <c r="M157" s="51">
        <f t="shared" ca="1" si="9"/>
        <v>31</v>
      </c>
      <c r="N157" s="21"/>
      <c r="O157" s="30"/>
      <c r="P157" s="30" t="s">
        <v>56</v>
      </c>
      <c r="Q157" s="30"/>
      <c r="R157" s="30"/>
      <c r="S157" s="21" t="s">
        <v>57</v>
      </c>
      <c r="T157" s="30" t="s">
        <v>1399</v>
      </c>
      <c r="U157" s="21">
        <v>7013120081</v>
      </c>
      <c r="V157" s="21"/>
      <c r="W157" s="30"/>
      <c r="X157" s="65">
        <v>5611418122</v>
      </c>
      <c r="Y157" s="21" t="s">
        <v>1486</v>
      </c>
      <c r="Z157" s="47"/>
      <c r="AA157" s="21" t="s">
        <v>1487</v>
      </c>
      <c r="AB157" s="21" t="s">
        <v>63</v>
      </c>
      <c r="AC157" s="21" t="s">
        <v>1488</v>
      </c>
      <c r="AD157" s="21"/>
      <c r="AE157" s="21" t="s">
        <v>1483</v>
      </c>
      <c r="AF157" s="21" t="s">
        <v>1483</v>
      </c>
      <c r="AG157" s="38">
        <v>7060</v>
      </c>
      <c r="AH157" s="38">
        <v>7981</v>
      </c>
      <c r="AI157" s="30"/>
      <c r="AJ157" s="30"/>
      <c r="AK157" s="30"/>
      <c r="AL157" s="38">
        <v>15041</v>
      </c>
      <c r="AM157" s="38">
        <v>15000</v>
      </c>
      <c r="AN157" s="38">
        <v>1950</v>
      </c>
      <c r="AO157" s="38">
        <v>488.83249999999998</v>
      </c>
      <c r="AP157" s="38">
        <v>1253.4166666666699</v>
      </c>
      <c r="AQ157" s="30"/>
      <c r="AR157" s="30"/>
      <c r="AS157" s="40">
        <v>1203.28</v>
      </c>
      <c r="AT157" s="69">
        <f t="shared" si="10"/>
        <v>19936.529166666671</v>
      </c>
    </row>
    <row r="158" spans="1:46" s="70" customFormat="1" ht="24">
      <c r="A158" s="52">
        <f t="shared" si="11"/>
        <v>156</v>
      </c>
      <c r="B158" s="65" t="s">
        <v>1489</v>
      </c>
      <c r="C158" s="66" t="s">
        <v>1490</v>
      </c>
      <c r="D158" s="67" t="s">
        <v>50</v>
      </c>
      <c r="E158" s="30" t="s">
        <v>51</v>
      </c>
      <c r="F158" s="30" t="s">
        <v>136</v>
      </c>
      <c r="G158" s="30" t="s">
        <v>53</v>
      </c>
      <c r="H158" s="30" t="s">
        <v>54</v>
      </c>
      <c r="I158" s="30"/>
      <c r="J158" s="46">
        <v>45973</v>
      </c>
      <c r="K158" s="68">
        <f t="shared" ca="1" si="8"/>
        <v>0.76986301369863008</v>
      </c>
      <c r="L158" s="46">
        <v>33752</v>
      </c>
      <c r="M158" s="51">
        <f t="shared" ca="1" si="9"/>
        <v>34</v>
      </c>
      <c r="N158" s="21"/>
      <c r="O158" s="30"/>
      <c r="P158" s="30" t="s">
        <v>56</v>
      </c>
      <c r="Q158" s="30"/>
      <c r="R158" s="30"/>
      <c r="S158" s="21" t="s">
        <v>57</v>
      </c>
      <c r="T158" s="30" t="s">
        <v>1491</v>
      </c>
      <c r="U158" s="21">
        <v>8925033920</v>
      </c>
      <c r="V158" s="21" t="s">
        <v>1492</v>
      </c>
      <c r="W158" s="30"/>
      <c r="X158" s="65">
        <v>5611262692</v>
      </c>
      <c r="Y158" s="21" t="s">
        <v>1493</v>
      </c>
      <c r="Z158" s="47"/>
      <c r="AA158" s="21" t="s">
        <v>1494</v>
      </c>
      <c r="AB158" s="21" t="s">
        <v>1495</v>
      </c>
      <c r="AC158" s="21" t="s">
        <v>1496</v>
      </c>
      <c r="AD158" s="21" t="s">
        <v>1497</v>
      </c>
      <c r="AE158" s="21" t="s">
        <v>1498</v>
      </c>
      <c r="AF158" s="21" t="s">
        <v>1498</v>
      </c>
      <c r="AG158" s="38">
        <v>7060</v>
      </c>
      <c r="AH158" s="38">
        <v>7981</v>
      </c>
      <c r="AI158" s="30"/>
      <c r="AJ158" s="30"/>
      <c r="AK158" s="30"/>
      <c r="AL158" s="38">
        <v>15041</v>
      </c>
      <c r="AM158" s="38">
        <v>15000</v>
      </c>
      <c r="AN158" s="38">
        <v>1950</v>
      </c>
      <c r="AO158" s="38">
        <v>488.83249999999998</v>
      </c>
      <c r="AP158" s="38">
        <v>1253.4166666666699</v>
      </c>
      <c r="AQ158" s="30"/>
      <c r="AR158" s="30"/>
      <c r="AS158" s="40">
        <v>1203.28</v>
      </c>
      <c r="AT158" s="69">
        <f t="shared" si="10"/>
        <v>19936.529166666671</v>
      </c>
    </row>
    <row r="159" spans="1:46" s="70" customFormat="1" ht="24">
      <c r="A159" s="52">
        <f t="shared" si="11"/>
        <v>157</v>
      </c>
      <c r="B159" s="65" t="s">
        <v>1499</v>
      </c>
      <c r="C159" s="66" t="s">
        <v>1500</v>
      </c>
      <c r="D159" s="67" t="s">
        <v>82</v>
      </c>
      <c r="E159" s="30" t="s">
        <v>51</v>
      </c>
      <c r="F159" s="30"/>
      <c r="G159" s="30" t="s">
        <v>53</v>
      </c>
      <c r="H159" s="30" t="s">
        <v>916</v>
      </c>
      <c r="I159" s="30"/>
      <c r="J159" s="46">
        <v>45973</v>
      </c>
      <c r="K159" s="68">
        <f t="shared" ca="1" si="8"/>
        <v>0.76986301369863008</v>
      </c>
      <c r="L159" s="46">
        <v>28126</v>
      </c>
      <c r="M159" s="51">
        <f t="shared" ca="1" si="9"/>
        <v>49</v>
      </c>
      <c r="N159" s="21"/>
      <c r="O159" s="30"/>
      <c r="P159" s="30" t="s">
        <v>56</v>
      </c>
      <c r="Q159" s="30"/>
      <c r="R159" s="30"/>
      <c r="S159" s="21" t="s">
        <v>57</v>
      </c>
      <c r="T159" s="30" t="s">
        <v>1501</v>
      </c>
      <c r="U159" s="21">
        <v>9102957500</v>
      </c>
      <c r="V159" s="21" t="s">
        <v>1502</v>
      </c>
      <c r="W159" s="30"/>
      <c r="X159" s="65">
        <v>5611454976</v>
      </c>
      <c r="Y159" s="21" t="s">
        <v>1503</v>
      </c>
      <c r="Z159" s="47"/>
      <c r="AA159" s="21" t="s">
        <v>1504</v>
      </c>
      <c r="AB159" s="21" t="s">
        <v>63</v>
      </c>
      <c r="AC159" s="21" t="s">
        <v>1488</v>
      </c>
      <c r="AD159" s="21"/>
      <c r="AE159" s="21"/>
      <c r="AF159" s="21"/>
      <c r="AG159" s="38">
        <v>7060</v>
      </c>
      <c r="AH159" s="38">
        <v>7981</v>
      </c>
      <c r="AI159" s="30"/>
      <c r="AJ159" s="30"/>
      <c r="AK159" s="30"/>
      <c r="AL159" s="38">
        <v>15041</v>
      </c>
      <c r="AM159" s="38">
        <v>15000</v>
      </c>
      <c r="AN159" s="38">
        <v>1950</v>
      </c>
      <c r="AO159" s="38">
        <v>488.83249999999998</v>
      </c>
      <c r="AP159" s="38">
        <v>1253.4166666666699</v>
      </c>
      <c r="AQ159" s="30"/>
      <c r="AR159" s="30"/>
      <c r="AS159" s="40">
        <v>1203.28</v>
      </c>
      <c r="AT159" s="69">
        <f t="shared" si="10"/>
        <v>19936.529166666671</v>
      </c>
    </row>
    <row r="160" spans="1:46" s="70" customFormat="1" ht="24">
      <c r="A160" s="52">
        <f t="shared" si="11"/>
        <v>158</v>
      </c>
      <c r="B160" s="65" t="s">
        <v>1505</v>
      </c>
      <c r="C160" s="66" t="s">
        <v>1506</v>
      </c>
      <c r="D160" s="67" t="s">
        <v>82</v>
      </c>
      <c r="E160" s="30" t="s">
        <v>51</v>
      </c>
      <c r="F160" s="30"/>
      <c r="G160" s="30" t="s">
        <v>53</v>
      </c>
      <c r="H160" s="30" t="s">
        <v>916</v>
      </c>
      <c r="I160" s="30"/>
      <c r="J160" s="46">
        <v>45973</v>
      </c>
      <c r="K160" s="68">
        <f t="shared" ca="1" si="8"/>
        <v>0.76986301369863008</v>
      </c>
      <c r="L160" s="46">
        <v>38913</v>
      </c>
      <c r="M160" s="51">
        <f t="shared" ca="1" si="9"/>
        <v>20</v>
      </c>
      <c r="N160" s="21"/>
      <c r="O160" s="30"/>
      <c r="P160" s="30" t="s">
        <v>56</v>
      </c>
      <c r="Q160" s="30"/>
      <c r="R160" s="30"/>
      <c r="S160" s="21" t="s">
        <v>57</v>
      </c>
      <c r="T160" s="30" t="s">
        <v>1507</v>
      </c>
      <c r="U160" s="21">
        <v>8709827926</v>
      </c>
      <c r="V160" s="21" t="s">
        <v>1508</v>
      </c>
      <c r="W160" s="30"/>
      <c r="X160" s="65">
        <v>5611455246</v>
      </c>
      <c r="Y160" s="21" t="s">
        <v>1509</v>
      </c>
      <c r="Z160" s="47"/>
      <c r="AA160" s="21" t="s">
        <v>1510</v>
      </c>
      <c r="AB160" s="21" t="s">
        <v>63</v>
      </c>
      <c r="AC160" s="21" t="s">
        <v>1488</v>
      </c>
      <c r="AD160" s="21"/>
      <c r="AE160" s="21"/>
      <c r="AF160" s="21"/>
      <c r="AG160" s="38">
        <v>7060</v>
      </c>
      <c r="AH160" s="38">
        <v>7981</v>
      </c>
      <c r="AI160" s="30"/>
      <c r="AJ160" s="30"/>
      <c r="AK160" s="30"/>
      <c r="AL160" s="38">
        <v>15041</v>
      </c>
      <c r="AM160" s="38">
        <v>15000</v>
      </c>
      <c r="AN160" s="38">
        <v>1950</v>
      </c>
      <c r="AO160" s="38">
        <v>488.83249999999998</v>
      </c>
      <c r="AP160" s="38">
        <v>1253.4166666666699</v>
      </c>
      <c r="AQ160" s="30"/>
      <c r="AR160" s="30"/>
      <c r="AS160" s="40">
        <v>1203.28</v>
      </c>
      <c r="AT160" s="69">
        <f t="shared" si="10"/>
        <v>19936.529166666671</v>
      </c>
    </row>
    <row r="161" spans="1:46" s="70" customFormat="1" ht="24">
      <c r="A161" s="52">
        <f t="shared" si="11"/>
        <v>159</v>
      </c>
      <c r="B161" s="65" t="s">
        <v>1511</v>
      </c>
      <c r="C161" s="66" t="s">
        <v>1512</v>
      </c>
      <c r="D161" s="67" t="s">
        <v>50</v>
      </c>
      <c r="E161" s="30" t="s">
        <v>51</v>
      </c>
      <c r="F161" s="30"/>
      <c r="G161" s="30" t="s">
        <v>53</v>
      </c>
      <c r="H161" s="30" t="s">
        <v>54</v>
      </c>
      <c r="I161" s="30"/>
      <c r="J161" s="46">
        <v>45967</v>
      </c>
      <c r="K161" s="68">
        <f t="shared" ca="1" si="8"/>
        <v>0.78630136986301369</v>
      </c>
      <c r="L161" s="46">
        <v>35431</v>
      </c>
      <c r="M161" s="51">
        <f t="shared" ca="1" si="9"/>
        <v>29</v>
      </c>
      <c r="N161" s="21"/>
      <c r="O161" s="30"/>
      <c r="P161" s="30" t="s">
        <v>56</v>
      </c>
      <c r="Q161" s="30"/>
      <c r="R161" s="30"/>
      <c r="S161" s="21" t="s">
        <v>57</v>
      </c>
      <c r="T161" s="30" t="s">
        <v>1513</v>
      </c>
      <c r="U161" s="21">
        <v>8102232796</v>
      </c>
      <c r="V161" s="21" t="s">
        <v>1514</v>
      </c>
      <c r="W161" s="30"/>
      <c r="X161" s="65">
        <v>5610681374</v>
      </c>
      <c r="Y161" s="21" t="s">
        <v>1515</v>
      </c>
      <c r="Z161" s="47"/>
      <c r="AA161" s="21" t="s">
        <v>1516</v>
      </c>
      <c r="AB161" s="21" t="s">
        <v>239</v>
      </c>
      <c r="AC161" s="21" t="s">
        <v>240</v>
      </c>
      <c r="AD161" s="21"/>
      <c r="AE161" s="21"/>
      <c r="AF161" s="21"/>
      <c r="AG161" s="38">
        <v>7060</v>
      </c>
      <c r="AH161" s="38">
        <v>7981</v>
      </c>
      <c r="AI161" s="30"/>
      <c r="AJ161" s="30"/>
      <c r="AK161" s="30"/>
      <c r="AL161" s="38">
        <v>15041</v>
      </c>
      <c r="AM161" s="38">
        <v>15000</v>
      </c>
      <c r="AN161" s="38">
        <v>1950</v>
      </c>
      <c r="AO161" s="38">
        <v>488.83249999999998</v>
      </c>
      <c r="AP161" s="38">
        <v>1253.4166666666699</v>
      </c>
      <c r="AQ161" s="30"/>
      <c r="AR161" s="30"/>
      <c r="AS161" s="40">
        <v>1203.28</v>
      </c>
      <c r="AT161" s="69">
        <f t="shared" si="10"/>
        <v>19936.529166666671</v>
      </c>
    </row>
    <row r="162" spans="1:46" s="70" customFormat="1" ht="24">
      <c r="A162" s="52">
        <f t="shared" si="11"/>
        <v>160</v>
      </c>
      <c r="B162" s="65" t="s">
        <v>1517</v>
      </c>
      <c r="C162" s="66" t="s">
        <v>233</v>
      </c>
      <c r="D162" s="67" t="s">
        <v>363</v>
      </c>
      <c r="E162" s="30" t="s">
        <v>51</v>
      </c>
      <c r="F162" s="30" t="s">
        <v>83</v>
      </c>
      <c r="G162" s="30" t="s">
        <v>53</v>
      </c>
      <c r="H162" s="30" t="s">
        <v>54</v>
      </c>
      <c r="I162" s="30"/>
      <c r="J162" s="46">
        <v>45810</v>
      </c>
      <c r="K162" s="68">
        <f t="shared" ca="1" si="8"/>
        <v>1.2164383561643837</v>
      </c>
      <c r="L162" s="46">
        <v>39144</v>
      </c>
      <c r="M162" s="51">
        <f t="shared" ca="1" si="9"/>
        <v>19</v>
      </c>
      <c r="N162" s="21"/>
      <c r="O162" s="30"/>
      <c r="P162" s="30" t="s">
        <v>56</v>
      </c>
      <c r="Q162" s="30"/>
      <c r="R162" s="30"/>
      <c r="S162" s="21" t="s">
        <v>94</v>
      </c>
      <c r="T162" s="30" t="s">
        <v>1518</v>
      </c>
      <c r="U162" s="21">
        <v>6371918966</v>
      </c>
      <c r="V162" s="21" t="s">
        <v>236</v>
      </c>
      <c r="W162" s="30"/>
      <c r="X162" s="65">
        <v>5611011734</v>
      </c>
      <c r="Y162" s="21" t="s">
        <v>237</v>
      </c>
      <c r="Z162" s="47"/>
      <c r="AA162" s="21" t="s">
        <v>238</v>
      </c>
      <c r="AB162" s="21" t="s">
        <v>239</v>
      </c>
      <c r="AC162" s="21" t="s">
        <v>240</v>
      </c>
      <c r="AD162" s="21" t="s">
        <v>1348</v>
      </c>
      <c r="AE162" s="21" t="s">
        <v>1519</v>
      </c>
      <c r="AF162" s="21" t="s">
        <v>1519</v>
      </c>
      <c r="AG162" s="38">
        <v>7060</v>
      </c>
      <c r="AH162" s="38">
        <v>7981</v>
      </c>
      <c r="AI162" s="30"/>
      <c r="AJ162" s="30"/>
      <c r="AK162" s="30"/>
      <c r="AL162" s="38">
        <v>15041</v>
      </c>
      <c r="AM162" s="38">
        <v>15000</v>
      </c>
      <c r="AN162" s="38">
        <v>1950</v>
      </c>
      <c r="AO162" s="38">
        <v>488.83249999999998</v>
      </c>
      <c r="AP162" s="38">
        <v>1253.4166666666699</v>
      </c>
      <c r="AQ162" s="30"/>
      <c r="AR162" s="30"/>
      <c r="AS162" s="40">
        <v>1203.28</v>
      </c>
      <c r="AT162" s="69">
        <f t="shared" si="10"/>
        <v>19936.529166666671</v>
      </c>
    </row>
    <row r="163" spans="1:46" s="70" customFormat="1" ht="24">
      <c r="A163" s="52">
        <f t="shared" si="11"/>
        <v>161</v>
      </c>
      <c r="B163" s="65" t="s">
        <v>1520</v>
      </c>
      <c r="C163" s="66" t="s">
        <v>1521</v>
      </c>
      <c r="D163" s="67" t="s">
        <v>1522</v>
      </c>
      <c r="E163" s="30" t="s">
        <v>51</v>
      </c>
      <c r="F163" s="30" t="s">
        <v>113</v>
      </c>
      <c r="G163" s="30" t="s">
        <v>53</v>
      </c>
      <c r="H163" s="30" t="s">
        <v>916</v>
      </c>
      <c r="I163" s="30"/>
      <c r="J163" s="46">
        <v>45853</v>
      </c>
      <c r="K163" s="68">
        <f t="shared" ca="1" si="8"/>
        <v>1.0986301369863014</v>
      </c>
      <c r="L163" s="46">
        <v>36244</v>
      </c>
      <c r="M163" s="51">
        <f t="shared" ca="1" si="9"/>
        <v>27</v>
      </c>
      <c r="N163" s="21" t="s">
        <v>93</v>
      </c>
      <c r="O163" s="30"/>
      <c r="P163" s="30" t="s">
        <v>56</v>
      </c>
      <c r="Q163" s="30"/>
      <c r="R163" s="30"/>
      <c r="S163" s="21" t="s">
        <v>1233</v>
      </c>
      <c r="T163" s="30" t="s">
        <v>1523</v>
      </c>
      <c r="U163" s="21">
        <v>6204288201</v>
      </c>
      <c r="V163" s="21" t="s">
        <v>918</v>
      </c>
      <c r="W163" s="30"/>
      <c r="X163" s="65">
        <v>5610424437</v>
      </c>
      <c r="Y163" s="21" t="s">
        <v>1067</v>
      </c>
      <c r="Z163" s="47"/>
      <c r="AA163" s="21" t="s">
        <v>920</v>
      </c>
      <c r="AB163" s="21" t="s">
        <v>1524</v>
      </c>
      <c r="AC163" s="21" t="s">
        <v>461</v>
      </c>
      <c r="AD163" s="21" t="s">
        <v>1525</v>
      </c>
      <c r="AE163" s="21" t="s">
        <v>1526</v>
      </c>
      <c r="AF163" s="21" t="s">
        <v>1526</v>
      </c>
      <c r="AG163" s="38">
        <v>7060</v>
      </c>
      <c r="AH163" s="38">
        <v>7981</v>
      </c>
      <c r="AI163" s="30"/>
      <c r="AJ163" s="30"/>
      <c r="AK163" s="30"/>
      <c r="AL163" s="38">
        <v>15041</v>
      </c>
      <c r="AM163" s="38">
        <v>15000</v>
      </c>
      <c r="AN163" s="38">
        <v>1950</v>
      </c>
      <c r="AO163" s="38">
        <v>488.83249999999998</v>
      </c>
      <c r="AP163" s="38">
        <v>1253.4166666666699</v>
      </c>
      <c r="AQ163" s="30"/>
      <c r="AR163" s="30"/>
      <c r="AS163" s="40">
        <v>1203.28</v>
      </c>
      <c r="AT163" s="69">
        <f t="shared" si="10"/>
        <v>19936.529166666671</v>
      </c>
    </row>
    <row r="164" spans="1:46" s="70" customFormat="1" ht="24">
      <c r="A164" s="52">
        <f t="shared" si="11"/>
        <v>162</v>
      </c>
      <c r="B164" s="65" t="s">
        <v>1527</v>
      </c>
      <c r="C164" s="66" t="s">
        <v>1528</v>
      </c>
      <c r="D164" s="67" t="s">
        <v>363</v>
      </c>
      <c r="E164" s="30" t="s">
        <v>51</v>
      </c>
      <c r="F164" s="30" t="s">
        <v>83</v>
      </c>
      <c r="G164" s="30" t="s">
        <v>53</v>
      </c>
      <c r="H164" s="30" t="s">
        <v>54</v>
      </c>
      <c r="I164" s="30"/>
      <c r="J164" s="46">
        <v>45860</v>
      </c>
      <c r="K164" s="68">
        <f t="shared" ca="1" si="8"/>
        <v>1.0794520547945206</v>
      </c>
      <c r="L164" s="46">
        <v>31121</v>
      </c>
      <c r="M164" s="51">
        <f t="shared" ca="1" si="9"/>
        <v>41</v>
      </c>
      <c r="N164" s="21" t="s">
        <v>1529</v>
      </c>
      <c r="O164" s="30"/>
      <c r="P164" s="30" t="s">
        <v>56</v>
      </c>
      <c r="Q164" s="30"/>
      <c r="R164" s="30"/>
      <c r="S164" s="21" t="s">
        <v>57</v>
      </c>
      <c r="T164" s="30" t="s">
        <v>326</v>
      </c>
      <c r="U164" s="21">
        <v>8807169090</v>
      </c>
      <c r="V164" s="21" t="s">
        <v>1530</v>
      </c>
      <c r="W164" s="30"/>
      <c r="X164" s="65">
        <v>5608134468</v>
      </c>
      <c r="Y164" s="21" t="s">
        <v>1531</v>
      </c>
      <c r="Z164" s="47"/>
      <c r="AA164" s="21" t="s">
        <v>1532</v>
      </c>
      <c r="AB164" s="21" t="s">
        <v>1533</v>
      </c>
      <c r="AC164" s="21" t="s">
        <v>461</v>
      </c>
      <c r="AD164" s="21" t="s">
        <v>1534</v>
      </c>
      <c r="AE164" s="21" t="s">
        <v>1535</v>
      </c>
      <c r="AF164" s="21" t="s">
        <v>1535</v>
      </c>
      <c r="AG164" s="38">
        <v>7060</v>
      </c>
      <c r="AH164" s="38">
        <v>7981</v>
      </c>
      <c r="AI164" s="30"/>
      <c r="AJ164" s="30"/>
      <c r="AK164" s="30"/>
      <c r="AL164" s="38">
        <v>15041</v>
      </c>
      <c r="AM164" s="38">
        <v>15000</v>
      </c>
      <c r="AN164" s="38">
        <v>1950</v>
      </c>
      <c r="AO164" s="38">
        <v>488.83249999999998</v>
      </c>
      <c r="AP164" s="38">
        <v>1253.4166666666699</v>
      </c>
      <c r="AQ164" s="30"/>
      <c r="AR164" s="30"/>
      <c r="AS164" s="40">
        <v>1203.28</v>
      </c>
      <c r="AT164" s="69">
        <f t="shared" si="10"/>
        <v>19936.529166666671</v>
      </c>
    </row>
    <row r="165" spans="1:46" s="70" customFormat="1" ht="24">
      <c r="A165" s="52">
        <f t="shared" si="11"/>
        <v>163</v>
      </c>
      <c r="B165" s="65" t="s">
        <v>1536</v>
      </c>
      <c r="C165" s="71" t="s">
        <v>1537</v>
      </c>
      <c r="D165" s="67" t="s">
        <v>363</v>
      </c>
      <c r="E165" s="30" t="s">
        <v>51</v>
      </c>
      <c r="F165" s="30" t="s">
        <v>69</v>
      </c>
      <c r="G165" s="30" t="s">
        <v>1301</v>
      </c>
      <c r="H165" s="30" t="s">
        <v>1538</v>
      </c>
      <c r="I165" s="30"/>
      <c r="J165" s="46">
        <v>45873</v>
      </c>
      <c r="K165" s="68">
        <f t="shared" ca="1" si="8"/>
        <v>1.0438356164383562</v>
      </c>
      <c r="L165" s="46">
        <v>39060</v>
      </c>
      <c r="M165" s="51">
        <f t="shared" ca="1" si="9"/>
        <v>19</v>
      </c>
      <c r="N165" s="21" t="s">
        <v>943</v>
      </c>
      <c r="O165" s="30"/>
      <c r="P165" s="30" t="s">
        <v>56</v>
      </c>
      <c r="Q165" s="30" t="s">
        <v>1539</v>
      </c>
      <c r="R165" s="30"/>
      <c r="S165" s="21" t="s">
        <v>256</v>
      </c>
      <c r="T165" s="30"/>
      <c r="U165" s="21">
        <v>7339182957</v>
      </c>
      <c r="V165" s="21" t="s">
        <v>1540</v>
      </c>
      <c r="W165" s="30"/>
      <c r="X165" s="65">
        <v>5611364294</v>
      </c>
      <c r="Y165" s="21" t="s">
        <v>1541</v>
      </c>
      <c r="Z165" s="47"/>
      <c r="AA165" s="21" t="s">
        <v>1542</v>
      </c>
      <c r="AB165" s="21" t="s">
        <v>239</v>
      </c>
      <c r="AC165" s="21" t="s">
        <v>240</v>
      </c>
      <c r="AD165" s="21" t="s">
        <v>1348</v>
      </c>
      <c r="AE165" s="21" t="s">
        <v>1543</v>
      </c>
      <c r="AF165" s="21" t="s">
        <v>1543</v>
      </c>
      <c r="AG165" s="38">
        <v>7060</v>
      </c>
      <c r="AH165" s="38">
        <v>7981</v>
      </c>
      <c r="AI165" s="30"/>
      <c r="AJ165" s="30"/>
      <c r="AK165" s="30"/>
      <c r="AL165" s="38">
        <v>15041</v>
      </c>
      <c r="AM165" s="38">
        <v>15000</v>
      </c>
      <c r="AN165" s="38">
        <v>1950</v>
      </c>
      <c r="AO165" s="38">
        <v>488.83249999999998</v>
      </c>
      <c r="AP165" s="38">
        <v>1253.4166666666699</v>
      </c>
      <c r="AQ165" s="30"/>
      <c r="AR165" s="30"/>
      <c r="AS165" s="40">
        <v>1203.28</v>
      </c>
      <c r="AT165" s="69">
        <f t="shared" si="10"/>
        <v>19936.529166666671</v>
      </c>
    </row>
    <row r="166" spans="1:46" s="70" customFormat="1" ht="24">
      <c r="A166" s="52">
        <f t="shared" si="11"/>
        <v>164</v>
      </c>
      <c r="B166" s="65" t="s">
        <v>1544</v>
      </c>
      <c r="C166" s="66" t="s">
        <v>1545</v>
      </c>
      <c r="D166" s="67" t="s">
        <v>363</v>
      </c>
      <c r="E166" s="30" t="s">
        <v>51</v>
      </c>
      <c r="F166" s="30" t="s">
        <v>83</v>
      </c>
      <c r="G166" s="30" t="s">
        <v>53</v>
      </c>
      <c r="H166" s="30" t="s">
        <v>54</v>
      </c>
      <c r="I166" s="30"/>
      <c r="J166" s="46">
        <v>45876</v>
      </c>
      <c r="K166" s="68">
        <f t="shared" ca="1" si="8"/>
        <v>1.0356164383561643</v>
      </c>
      <c r="L166" s="46">
        <v>34363</v>
      </c>
      <c r="M166" s="51">
        <f t="shared" ca="1" si="9"/>
        <v>32</v>
      </c>
      <c r="N166" s="21" t="s">
        <v>106</v>
      </c>
      <c r="O166" s="30"/>
      <c r="P166" s="30" t="s">
        <v>56</v>
      </c>
      <c r="Q166" s="30"/>
      <c r="R166" s="30"/>
      <c r="S166" s="21" t="s">
        <v>57</v>
      </c>
      <c r="T166" s="30" t="s">
        <v>1546</v>
      </c>
      <c r="U166" s="21">
        <v>8220808291</v>
      </c>
      <c r="V166" s="21" t="s">
        <v>1547</v>
      </c>
      <c r="W166" s="30"/>
      <c r="X166" s="65">
        <v>5611364332</v>
      </c>
      <c r="Y166" s="21" t="s">
        <v>1548</v>
      </c>
      <c r="Z166" s="47"/>
      <c r="AA166" s="21" t="s">
        <v>1549</v>
      </c>
      <c r="AB166" s="21" t="s">
        <v>141</v>
      </c>
      <c r="AC166" s="21" t="s">
        <v>142</v>
      </c>
      <c r="AD166" s="21" t="s">
        <v>1282</v>
      </c>
      <c r="AE166" s="21" t="s">
        <v>1550</v>
      </c>
      <c r="AF166" s="21" t="s">
        <v>1550</v>
      </c>
      <c r="AG166" s="38">
        <v>7060</v>
      </c>
      <c r="AH166" s="38">
        <v>7981</v>
      </c>
      <c r="AI166" s="30"/>
      <c r="AJ166" s="30"/>
      <c r="AK166" s="30"/>
      <c r="AL166" s="38">
        <v>15041</v>
      </c>
      <c r="AM166" s="38">
        <v>15000</v>
      </c>
      <c r="AN166" s="38">
        <v>1950</v>
      </c>
      <c r="AO166" s="38">
        <v>488.83249999999998</v>
      </c>
      <c r="AP166" s="38">
        <v>1253.4166666666699</v>
      </c>
      <c r="AQ166" s="30"/>
      <c r="AR166" s="30"/>
      <c r="AS166" s="40">
        <v>1203.28</v>
      </c>
      <c r="AT166" s="69">
        <f t="shared" si="10"/>
        <v>19936.529166666671</v>
      </c>
    </row>
    <row r="167" spans="1:46" s="70" customFormat="1" ht="24">
      <c r="A167" s="52">
        <f t="shared" si="11"/>
        <v>165</v>
      </c>
      <c r="B167" s="65" t="s">
        <v>1551</v>
      </c>
      <c r="C167" s="66" t="s">
        <v>274</v>
      </c>
      <c r="D167" s="67" t="s">
        <v>363</v>
      </c>
      <c r="E167" s="30" t="s">
        <v>51</v>
      </c>
      <c r="F167" s="30" t="s">
        <v>69</v>
      </c>
      <c r="G167" s="30" t="s">
        <v>53</v>
      </c>
      <c r="H167" s="30" t="s">
        <v>54</v>
      </c>
      <c r="I167" s="30"/>
      <c r="J167" s="46">
        <v>45888</v>
      </c>
      <c r="K167" s="68">
        <f t="shared" ca="1" si="8"/>
        <v>1.0027397260273974</v>
      </c>
      <c r="L167" s="46">
        <v>29957</v>
      </c>
      <c r="M167" s="51">
        <f t="shared" ca="1" si="9"/>
        <v>44</v>
      </c>
      <c r="N167" s="21" t="s">
        <v>119</v>
      </c>
      <c r="O167" s="30"/>
      <c r="P167" s="30" t="s">
        <v>56</v>
      </c>
      <c r="Q167" s="30"/>
      <c r="R167" s="30"/>
      <c r="S167" s="21" t="s">
        <v>57</v>
      </c>
      <c r="T167" s="30" t="s">
        <v>276</v>
      </c>
      <c r="U167" s="21">
        <v>7708255358</v>
      </c>
      <c r="V167" s="21" t="s">
        <v>277</v>
      </c>
      <c r="W167" s="30"/>
      <c r="X167" s="65">
        <v>5611366551</v>
      </c>
      <c r="Y167" s="21" t="s">
        <v>278</v>
      </c>
      <c r="Z167" s="47"/>
      <c r="AA167" s="21" t="s">
        <v>279</v>
      </c>
      <c r="AB167" s="21" t="s">
        <v>280</v>
      </c>
      <c r="AC167" s="21" t="s">
        <v>281</v>
      </c>
      <c r="AD167" s="21" t="s">
        <v>282</v>
      </c>
      <c r="AE167" s="21" t="s">
        <v>283</v>
      </c>
      <c r="AF167" s="21" t="s">
        <v>283</v>
      </c>
      <c r="AG167" s="38">
        <v>7060</v>
      </c>
      <c r="AH167" s="38">
        <v>7981</v>
      </c>
      <c r="AI167" s="30"/>
      <c r="AJ167" s="30"/>
      <c r="AK167" s="30"/>
      <c r="AL167" s="38">
        <v>15041</v>
      </c>
      <c r="AM167" s="38">
        <v>15000</v>
      </c>
      <c r="AN167" s="38">
        <v>1950</v>
      </c>
      <c r="AO167" s="38">
        <v>488.83249999999998</v>
      </c>
      <c r="AP167" s="38">
        <v>1253.4166666666699</v>
      </c>
      <c r="AQ167" s="30"/>
      <c r="AR167" s="30"/>
      <c r="AS167" s="40">
        <v>1203.28</v>
      </c>
      <c r="AT167" s="69">
        <f t="shared" si="10"/>
        <v>19936.529166666671</v>
      </c>
    </row>
    <row r="168" spans="1:46" s="70" customFormat="1" ht="24">
      <c r="A168" s="52">
        <f t="shared" si="11"/>
        <v>166</v>
      </c>
      <c r="B168" s="65" t="s">
        <v>1552</v>
      </c>
      <c r="C168" s="66" t="s">
        <v>1553</v>
      </c>
      <c r="D168" s="67" t="s">
        <v>363</v>
      </c>
      <c r="E168" s="30" t="s">
        <v>51</v>
      </c>
      <c r="F168" s="30" t="s">
        <v>69</v>
      </c>
      <c r="G168" s="30" t="s">
        <v>53</v>
      </c>
      <c r="H168" s="30" t="s">
        <v>54</v>
      </c>
      <c r="I168" s="30"/>
      <c r="J168" s="46">
        <v>45888</v>
      </c>
      <c r="K168" s="68">
        <f t="shared" ca="1" si="8"/>
        <v>1.0027397260273974</v>
      </c>
      <c r="L168" s="46">
        <v>37071</v>
      </c>
      <c r="M168" s="51">
        <f t="shared" ca="1" si="9"/>
        <v>25</v>
      </c>
      <c r="N168" s="21" t="s">
        <v>106</v>
      </c>
      <c r="O168" s="30"/>
      <c r="P168" s="30" t="s">
        <v>56</v>
      </c>
      <c r="Q168" s="30" t="s">
        <v>1554</v>
      </c>
      <c r="R168" s="30"/>
      <c r="S168" s="21" t="s">
        <v>256</v>
      </c>
      <c r="T168" s="30"/>
      <c r="U168" s="21">
        <v>8012641939</v>
      </c>
      <c r="V168" s="21" t="s">
        <v>1555</v>
      </c>
      <c r="W168" s="30"/>
      <c r="X168" s="65">
        <v>5609837490</v>
      </c>
      <c r="Y168" s="21" t="s">
        <v>1556</v>
      </c>
      <c r="Z168" s="47"/>
      <c r="AA168" s="21" t="s">
        <v>1557</v>
      </c>
      <c r="AB168" s="21" t="s">
        <v>975</v>
      </c>
      <c r="AC168" s="21" t="s">
        <v>1148</v>
      </c>
      <c r="AD168" s="21" t="s">
        <v>976</v>
      </c>
      <c r="AE168" s="21" t="s">
        <v>1558</v>
      </c>
      <c r="AF168" s="21" t="s">
        <v>1558</v>
      </c>
      <c r="AG168" s="38">
        <v>7060</v>
      </c>
      <c r="AH168" s="38">
        <v>7981</v>
      </c>
      <c r="AI168" s="30"/>
      <c r="AJ168" s="30"/>
      <c r="AK168" s="30"/>
      <c r="AL168" s="38">
        <v>15041</v>
      </c>
      <c r="AM168" s="38">
        <v>15000</v>
      </c>
      <c r="AN168" s="38">
        <v>1950</v>
      </c>
      <c r="AO168" s="38">
        <v>488.83249999999998</v>
      </c>
      <c r="AP168" s="38">
        <v>1253.4166666666699</v>
      </c>
      <c r="AQ168" s="30"/>
      <c r="AR168" s="30"/>
      <c r="AS168" s="40">
        <v>1203.28</v>
      </c>
      <c r="AT168" s="69">
        <f t="shared" si="10"/>
        <v>19936.529166666671</v>
      </c>
    </row>
    <row r="169" spans="1:46" s="70" customFormat="1" ht="24">
      <c r="A169" s="52">
        <f t="shared" si="11"/>
        <v>167</v>
      </c>
      <c r="B169" s="65" t="s">
        <v>1559</v>
      </c>
      <c r="C169" s="66" t="s">
        <v>1560</v>
      </c>
      <c r="D169" s="67" t="s">
        <v>50</v>
      </c>
      <c r="E169" s="30" t="s">
        <v>51</v>
      </c>
      <c r="F169" s="30" t="s">
        <v>69</v>
      </c>
      <c r="G169" s="30" t="s">
        <v>53</v>
      </c>
      <c r="H169" s="30" t="s">
        <v>54</v>
      </c>
      <c r="I169" s="30"/>
      <c r="J169" s="46">
        <v>45658</v>
      </c>
      <c r="K169" s="68">
        <f t="shared" ca="1" si="8"/>
        <v>1.6328767123287671</v>
      </c>
      <c r="L169" s="46">
        <v>33289</v>
      </c>
      <c r="M169" s="51">
        <f t="shared" ca="1" si="9"/>
        <v>35</v>
      </c>
      <c r="N169" s="21" t="s">
        <v>106</v>
      </c>
      <c r="O169" s="30"/>
      <c r="P169" s="30" t="s">
        <v>56</v>
      </c>
      <c r="Q169" s="30"/>
      <c r="R169" s="30"/>
      <c r="S169" s="21" t="s">
        <v>57</v>
      </c>
      <c r="T169" s="30" t="s">
        <v>1561</v>
      </c>
      <c r="U169" s="21">
        <v>8056449050</v>
      </c>
      <c r="V169" s="21" t="s">
        <v>1562</v>
      </c>
      <c r="W169" s="30"/>
      <c r="X169" s="65">
        <v>5611143395</v>
      </c>
      <c r="Y169" s="21" t="s">
        <v>1563</v>
      </c>
      <c r="Z169" s="47"/>
      <c r="AA169" s="21" t="s">
        <v>1564</v>
      </c>
      <c r="AB169" s="21" t="s">
        <v>99</v>
      </c>
      <c r="AC169" s="21" t="s">
        <v>100</v>
      </c>
      <c r="AD169" s="21" t="s">
        <v>101</v>
      </c>
      <c r="AE169" s="21" t="s">
        <v>1565</v>
      </c>
      <c r="AF169" s="21" t="s">
        <v>1565</v>
      </c>
      <c r="AG169" s="38">
        <v>7060</v>
      </c>
      <c r="AH169" s="38">
        <v>7981</v>
      </c>
      <c r="AI169" s="30"/>
      <c r="AJ169" s="30"/>
      <c r="AK169" s="30"/>
      <c r="AL169" s="38">
        <v>15041</v>
      </c>
      <c r="AM169" s="38">
        <v>15000</v>
      </c>
      <c r="AN169" s="38">
        <v>1950</v>
      </c>
      <c r="AO169" s="38">
        <v>488.83249999999998</v>
      </c>
      <c r="AP169" s="38">
        <v>1253.4166666666699</v>
      </c>
      <c r="AQ169" s="30"/>
      <c r="AR169" s="30"/>
      <c r="AS169" s="40">
        <v>1203.28</v>
      </c>
      <c r="AT169" s="69">
        <f t="shared" si="10"/>
        <v>19936.529166666671</v>
      </c>
    </row>
    <row r="170" spans="1:46" s="70" customFormat="1" ht="24">
      <c r="A170" s="52">
        <f t="shared" si="11"/>
        <v>168</v>
      </c>
      <c r="B170" s="65" t="s">
        <v>1566</v>
      </c>
      <c r="C170" s="66" t="s">
        <v>265</v>
      </c>
      <c r="D170" s="67" t="s">
        <v>50</v>
      </c>
      <c r="E170" s="30" t="s">
        <v>51</v>
      </c>
      <c r="F170" s="30" t="s">
        <v>69</v>
      </c>
      <c r="G170" s="30" t="s">
        <v>53</v>
      </c>
      <c r="H170" s="30" t="s">
        <v>54</v>
      </c>
      <c r="I170" s="30"/>
      <c r="J170" s="46">
        <v>45880</v>
      </c>
      <c r="K170" s="68">
        <f t="shared" ca="1" si="8"/>
        <v>1.0246575342465754</v>
      </c>
      <c r="L170" s="46">
        <v>29416</v>
      </c>
      <c r="M170" s="51">
        <f t="shared" ca="1" si="9"/>
        <v>46</v>
      </c>
      <c r="N170" s="21" t="s">
        <v>119</v>
      </c>
      <c r="O170" s="30"/>
      <c r="P170" s="30" t="s">
        <v>56</v>
      </c>
      <c r="Q170" s="30"/>
      <c r="R170" s="30"/>
      <c r="S170" s="21" t="s">
        <v>57</v>
      </c>
      <c r="T170" s="30" t="s">
        <v>266</v>
      </c>
      <c r="U170" s="21">
        <v>8675968187</v>
      </c>
      <c r="V170" s="21" t="s">
        <v>267</v>
      </c>
      <c r="W170" s="30"/>
      <c r="X170" s="65">
        <v>5610958693</v>
      </c>
      <c r="Y170" s="21" t="s">
        <v>268</v>
      </c>
      <c r="Z170" s="47"/>
      <c r="AA170" s="21" t="s">
        <v>269</v>
      </c>
      <c r="AB170" s="21" t="s">
        <v>270</v>
      </c>
      <c r="AC170" s="21" t="s">
        <v>100</v>
      </c>
      <c r="AD170" s="21" t="s">
        <v>271</v>
      </c>
      <c r="AE170" s="21" t="s">
        <v>272</v>
      </c>
      <c r="AF170" s="21" t="s">
        <v>272</v>
      </c>
      <c r="AG170" s="38">
        <v>7060</v>
      </c>
      <c r="AH170" s="38">
        <v>7981</v>
      </c>
      <c r="AI170" s="30"/>
      <c r="AJ170" s="30"/>
      <c r="AK170" s="30"/>
      <c r="AL170" s="38">
        <v>15041</v>
      </c>
      <c r="AM170" s="38">
        <v>15000</v>
      </c>
      <c r="AN170" s="38">
        <v>1950</v>
      </c>
      <c r="AO170" s="38">
        <v>488.83249999999998</v>
      </c>
      <c r="AP170" s="38">
        <v>1253.4166666666699</v>
      </c>
      <c r="AQ170" s="30"/>
      <c r="AR170" s="30"/>
      <c r="AS170" s="40">
        <v>1203.28</v>
      </c>
      <c r="AT170" s="69">
        <f t="shared" si="10"/>
        <v>19936.529166666671</v>
      </c>
    </row>
    <row r="171" spans="1:46" s="70" customFormat="1" ht="24">
      <c r="A171" s="52">
        <f t="shared" si="11"/>
        <v>169</v>
      </c>
      <c r="B171" s="65" t="s">
        <v>1567</v>
      </c>
      <c r="C171" s="66" t="s">
        <v>1568</v>
      </c>
      <c r="D171" s="67" t="s">
        <v>50</v>
      </c>
      <c r="E171" s="30" t="s">
        <v>51</v>
      </c>
      <c r="F171" s="30" t="s">
        <v>83</v>
      </c>
      <c r="G171" s="30" t="s">
        <v>53</v>
      </c>
      <c r="H171" s="30" t="s">
        <v>54</v>
      </c>
      <c r="I171" s="30"/>
      <c r="J171" s="46">
        <v>45859</v>
      </c>
      <c r="K171" s="68">
        <f t="shared" ca="1" si="8"/>
        <v>1.0821917808219179</v>
      </c>
      <c r="L171" s="46">
        <v>33322</v>
      </c>
      <c r="M171" s="51">
        <f t="shared" ca="1" si="9"/>
        <v>35</v>
      </c>
      <c r="N171" s="21" t="s">
        <v>93</v>
      </c>
      <c r="O171" s="30"/>
      <c r="P171" s="30" t="s">
        <v>56</v>
      </c>
      <c r="Q171" s="30"/>
      <c r="R171" s="30"/>
      <c r="S171" s="21" t="s">
        <v>1233</v>
      </c>
      <c r="T171" s="30" t="s">
        <v>1569</v>
      </c>
      <c r="U171" s="21">
        <v>7092295464</v>
      </c>
      <c r="V171" s="21" t="s">
        <v>1570</v>
      </c>
      <c r="W171" s="30"/>
      <c r="X171" s="65">
        <v>5611314245</v>
      </c>
      <c r="Y171" s="21" t="s">
        <v>1571</v>
      </c>
      <c r="Z171" s="47"/>
      <c r="AA171" s="21" t="s">
        <v>1572</v>
      </c>
      <c r="AB171" s="21" t="s">
        <v>141</v>
      </c>
      <c r="AC171" s="21" t="s">
        <v>142</v>
      </c>
      <c r="AD171" s="21" t="s">
        <v>1282</v>
      </c>
      <c r="AE171" s="21" t="s">
        <v>1573</v>
      </c>
      <c r="AF171" s="21" t="s">
        <v>1573</v>
      </c>
      <c r="AG171" s="38">
        <v>7060</v>
      </c>
      <c r="AH171" s="38">
        <v>7981</v>
      </c>
      <c r="AI171" s="30"/>
      <c r="AJ171" s="30"/>
      <c r="AK171" s="30"/>
      <c r="AL171" s="38">
        <v>15041</v>
      </c>
      <c r="AM171" s="38">
        <v>15000</v>
      </c>
      <c r="AN171" s="38">
        <v>1950</v>
      </c>
      <c r="AO171" s="38">
        <v>488.83249999999998</v>
      </c>
      <c r="AP171" s="38">
        <v>1253.4166666666699</v>
      </c>
      <c r="AQ171" s="30"/>
      <c r="AR171" s="30"/>
      <c r="AS171" s="40">
        <v>1203.28</v>
      </c>
      <c r="AT171" s="69">
        <f t="shared" si="10"/>
        <v>19936.529166666671</v>
      </c>
    </row>
    <row r="172" spans="1:46" s="70" customFormat="1" ht="24">
      <c r="A172" s="52">
        <f t="shared" si="11"/>
        <v>170</v>
      </c>
      <c r="B172" s="65" t="s">
        <v>1574</v>
      </c>
      <c r="C172" s="66" t="s">
        <v>1575</v>
      </c>
      <c r="D172" s="67" t="s">
        <v>50</v>
      </c>
      <c r="E172" s="30" t="s">
        <v>51</v>
      </c>
      <c r="F172" s="30" t="s">
        <v>105</v>
      </c>
      <c r="G172" s="30" t="s">
        <v>53</v>
      </c>
      <c r="H172" s="30" t="s">
        <v>54</v>
      </c>
      <c r="I172" s="30"/>
      <c r="J172" s="46">
        <v>45479</v>
      </c>
      <c r="K172" s="68">
        <f t="shared" ca="1" si="8"/>
        <v>2.1232876712328768</v>
      </c>
      <c r="L172" s="46">
        <v>38659</v>
      </c>
      <c r="M172" s="51">
        <f t="shared" ca="1" si="9"/>
        <v>20</v>
      </c>
      <c r="N172" s="21" t="s">
        <v>106</v>
      </c>
      <c r="O172" s="30"/>
      <c r="P172" s="30" t="s">
        <v>56</v>
      </c>
      <c r="Q172" s="30" t="s">
        <v>791</v>
      </c>
      <c r="R172" s="30"/>
      <c r="S172" s="21" t="s">
        <v>256</v>
      </c>
      <c r="T172" s="30"/>
      <c r="U172" s="21">
        <v>8489160631</v>
      </c>
      <c r="V172" s="21" t="s">
        <v>792</v>
      </c>
      <c r="W172" s="30"/>
      <c r="X172" s="65">
        <v>5610292298</v>
      </c>
      <c r="Y172" s="21" t="s">
        <v>1576</v>
      </c>
      <c r="Z172" s="47"/>
      <c r="AA172" s="21" t="s">
        <v>794</v>
      </c>
      <c r="AB172" s="21" t="s">
        <v>795</v>
      </c>
      <c r="AC172" s="21" t="s">
        <v>112</v>
      </c>
      <c r="AD172" s="21" t="s">
        <v>796</v>
      </c>
      <c r="AE172" s="21" t="s">
        <v>797</v>
      </c>
      <c r="AF172" s="21" t="str">
        <f>VLOOKUP(B172,[1]Current!$B$2:$T$44,19,0)</f>
        <v>1/241 thottipalayam,karavalimadhapur,sulur thalukka,karavalimadhapur,karavalimathapur, tamilnadu 641668</v>
      </c>
      <c r="AG172" s="38">
        <v>7060</v>
      </c>
      <c r="AH172" s="38">
        <v>7981</v>
      </c>
      <c r="AI172" s="30"/>
      <c r="AJ172" s="30"/>
      <c r="AK172" s="30"/>
      <c r="AL172" s="38">
        <v>15041</v>
      </c>
      <c r="AM172" s="38">
        <v>15000</v>
      </c>
      <c r="AN172" s="38">
        <v>1950</v>
      </c>
      <c r="AO172" s="38">
        <v>488.83249999999998</v>
      </c>
      <c r="AP172" s="38">
        <v>1253.4166666666699</v>
      </c>
      <c r="AQ172" s="30"/>
      <c r="AR172" s="30"/>
      <c r="AS172" s="40">
        <v>1203.28</v>
      </c>
      <c r="AT172" s="69">
        <f t="shared" si="10"/>
        <v>19936.529166666671</v>
      </c>
    </row>
    <row r="173" spans="1:46" s="70" customFormat="1" ht="24">
      <c r="A173" s="52">
        <f t="shared" si="11"/>
        <v>171</v>
      </c>
      <c r="B173" s="65" t="s">
        <v>1577</v>
      </c>
      <c r="C173" s="66" t="s">
        <v>1578</v>
      </c>
      <c r="D173" s="67" t="s">
        <v>82</v>
      </c>
      <c r="E173" s="30" t="s">
        <v>51</v>
      </c>
      <c r="F173" s="30" t="s">
        <v>105</v>
      </c>
      <c r="G173" s="30" t="s">
        <v>53</v>
      </c>
      <c r="H173" s="30" t="s">
        <v>54</v>
      </c>
      <c r="I173" s="30"/>
      <c r="J173" s="46">
        <v>45479</v>
      </c>
      <c r="K173" s="68">
        <f t="shared" ca="1" si="8"/>
        <v>2.1232876712328768</v>
      </c>
      <c r="L173" s="46">
        <v>38046</v>
      </c>
      <c r="M173" s="51">
        <f t="shared" ca="1" si="9"/>
        <v>22</v>
      </c>
      <c r="N173" s="21" t="s">
        <v>106</v>
      </c>
      <c r="O173" s="30"/>
      <c r="P173" s="30" t="s">
        <v>56</v>
      </c>
      <c r="Q173" s="30" t="s">
        <v>791</v>
      </c>
      <c r="R173" s="30"/>
      <c r="S173" s="21" t="s">
        <v>256</v>
      </c>
      <c r="T173" s="30"/>
      <c r="U173" s="21">
        <v>8489160631</v>
      </c>
      <c r="V173" s="21" t="s">
        <v>800</v>
      </c>
      <c r="W173" s="30"/>
      <c r="X173" s="65">
        <v>5610283732</v>
      </c>
      <c r="Y173" s="21" t="s">
        <v>1579</v>
      </c>
      <c r="Z173" s="47"/>
      <c r="AA173" s="21" t="s">
        <v>802</v>
      </c>
      <c r="AB173" s="21" t="s">
        <v>795</v>
      </c>
      <c r="AC173" s="21" t="s">
        <v>112</v>
      </c>
      <c r="AD173" s="21" t="s">
        <v>796</v>
      </c>
      <c r="AE173" s="21" t="s">
        <v>803</v>
      </c>
      <c r="AF173" s="21" t="str">
        <f>VLOOKUP(B173,[1]Current!$B$2:$T$44,19,0)</f>
        <v>1/231,Thottipalayam,karavalimadhapur,sulur thalukka,karavalimadhapur,karavalimadhapur, coimbatore, tamilnadu 641668</v>
      </c>
      <c r="AG173" s="38">
        <v>7060</v>
      </c>
      <c r="AH173" s="38">
        <v>7981</v>
      </c>
      <c r="AI173" s="30"/>
      <c r="AJ173" s="30"/>
      <c r="AK173" s="30"/>
      <c r="AL173" s="38">
        <v>15041</v>
      </c>
      <c r="AM173" s="38">
        <v>15000</v>
      </c>
      <c r="AN173" s="38">
        <v>1950</v>
      </c>
      <c r="AO173" s="38">
        <v>488.83249999999998</v>
      </c>
      <c r="AP173" s="38">
        <v>1253.4166666666699</v>
      </c>
      <c r="AQ173" s="30"/>
      <c r="AR173" s="30"/>
      <c r="AS173" s="40">
        <v>1203.28</v>
      </c>
      <c r="AT173" s="69">
        <f t="shared" si="10"/>
        <v>19936.529166666671</v>
      </c>
    </row>
    <row r="174" spans="1:46" s="70" customFormat="1" ht="24">
      <c r="A174" s="52">
        <f t="shared" si="11"/>
        <v>172</v>
      </c>
      <c r="B174" s="65" t="s">
        <v>1580</v>
      </c>
      <c r="C174" s="66" t="s">
        <v>205</v>
      </c>
      <c r="D174" s="67" t="s">
        <v>50</v>
      </c>
      <c r="E174" s="30" t="s">
        <v>51</v>
      </c>
      <c r="F174" s="30" t="s">
        <v>1581</v>
      </c>
      <c r="G174" s="30" t="s">
        <v>53</v>
      </c>
      <c r="H174" s="30" t="s">
        <v>54</v>
      </c>
      <c r="I174" s="30"/>
      <c r="J174" s="46">
        <v>45604</v>
      </c>
      <c r="K174" s="68">
        <f t="shared" ca="1" si="8"/>
        <v>1.7808219178082192</v>
      </c>
      <c r="L174" s="46">
        <v>27215</v>
      </c>
      <c r="M174" s="51">
        <f t="shared" ca="1" si="9"/>
        <v>52</v>
      </c>
      <c r="N174" s="21" t="s">
        <v>207</v>
      </c>
      <c r="O174" s="30"/>
      <c r="P174" s="30" t="s">
        <v>56</v>
      </c>
      <c r="Q174" s="30"/>
      <c r="R174" s="30"/>
      <c r="S174" s="21" t="s">
        <v>94</v>
      </c>
      <c r="T174" s="30" t="s">
        <v>210</v>
      </c>
      <c r="U174" s="21">
        <v>8122414491</v>
      </c>
      <c r="V174" s="21" t="s">
        <v>211</v>
      </c>
      <c r="W174" s="30"/>
      <c r="X174" s="65">
        <v>5610886837</v>
      </c>
      <c r="Y174" s="21" t="s">
        <v>212</v>
      </c>
      <c r="Z174" s="47"/>
      <c r="AA174" s="21" t="s">
        <v>213</v>
      </c>
      <c r="AB174" s="21" t="s">
        <v>214</v>
      </c>
      <c r="AC174" s="21" t="s">
        <v>215</v>
      </c>
      <c r="AD174" s="21" t="s">
        <v>216</v>
      </c>
      <c r="AE174" s="21" t="s">
        <v>217</v>
      </c>
      <c r="AF174" s="21" t="str">
        <f>VLOOKUP(B174,[1]Current!$B$2:$T$44,19,0)</f>
        <v>2/404, V.I.P NAGAR, KURUMBAPALAYAM, SULUR, COIMBATORE, TAMILNADU-641402</v>
      </c>
      <c r="AG174" s="38">
        <v>7060</v>
      </c>
      <c r="AH174" s="38">
        <v>7981</v>
      </c>
      <c r="AI174" s="30"/>
      <c r="AJ174" s="30"/>
      <c r="AK174" s="30"/>
      <c r="AL174" s="38">
        <v>15041</v>
      </c>
      <c r="AM174" s="38">
        <v>15000</v>
      </c>
      <c r="AN174" s="38">
        <v>1950</v>
      </c>
      <c r="AO174" s="38">
        <v>488.83249999999998</v>
      </c>
      <c r="AP174" s="38">
        <v>1253.4166666666699</v>
      </c>
      <c r="AQ174" s="30"/>
      <c r="AR174" s="30"/>
      <c r="AS174" s="40">
        <v>1203.28</v>
      </c>
      <c r="AT174" s="69">
        <f t="shared" si="10"/>
        <v>19936.529166666671</v>
      </c>
    </row>
    <row r="175" spans="1:46" s="70" customFormat="1" ht="24">
      <c r="A175" s="52">
        <f t="shared" si="11"/>
        <v>173</v>
      </c>
      <c r="B175" s="65" t="s">
        <v>1582</v>
      </c>
      <c r="C175" s="66" t="s">
        <v>166</v>
      </c>
      <c r="D175" s="67" t="s">
        <v>50</v>
      </c>
      <c r="E175" s="30" t="s">
        <v>51</v>
      </c>
      <c r="F175" s="30"/>
      <c r="G175" s="30" t="s">
        <v>53</v>
      </c>
      <c r="H175" s="30" t="s">
        <v>54</v>
      </c>
      <c r="I175" s="30"/>
      <c r="J175" s="46">
        <v>45635</v>
      </c>
      <c r="K175" s="68">
        <f t="shared" ca="1" si="8"/>
        <v>1.6958904109589041</v>
      </c>
      <c r="L175" s="46">
        <v>29007</v>
      </c>
      <c r="M175" s="51">
        <f t="shared" ca="1" si="9"/>
        <v>47</v>
      </c>
      <c r="N175" s="21" t="s">
        <v>119</v>
      </c>
      <c r="O175" s="30"/>
      <c r="P175" s="30" t="s">
        <v>56</v>
      </c>
      <c r="Q175" s="30"/>
      <c r="R175" s="30"/>
      <c r="S175" s="21" t="s">
        <v>94</v>
      </c>
      <c r="T175" s="30" t="s">
        <v>169</v>
      </c>
      <c r="U175" s="21">
        <v>9942813416</v>
      </c>
      <c r="V175" s="21" t="s">
        <v>170</v>
      </c>
      <c r="W175" s="30"/>
      <c r="X175" s="65">
        <v>5610945247</v>
      </c>
      <c r="Y175" s="21" t="s">
        <v>171</v>
      </c>
      <c r="Z175" s="47"/>
      <c r="AA175" s="21" t="s">
        <v>172</v>
      </c>
      <c r="AB175" s="21" t="s">
        <v>173</v>
      </c>
      <c r="AC175" s="21" t="s">
        <v>174</v>
      </c>
      <c r="AD175" s="21" t="s">
        <v>113</v>
      </c>
      <c r="AE175" s="21"/>
      <c r="AF175" s="21" t="str">
        <f>VLOOKUP(B175,[1]Current!$B$2:$T$44,19,0)</f>
        <v>NO 3/352,WEST STREET,ATHANKOTHANGUDI,MUTHUKULATHUR,RAMANATHAPURAM,TAMIL NADU-623711</v>
      </c>
      <c r="AG175" s="38">
        <v>7060</v>
      </c>
      <c r="AH175" s="38">
        <v>7981</v>
      </c>
      <c r="AI175" s="30"/>
      <c r="AJ175" s="30"/>
      <c r="AK175" s="30"/>
      <c r="AL175" s="38">
        <v>15041</v>
      </c>
      <c r="AM175" s="38">
        <v>15000</v>
      </c>
      <c r="AN175" s="38">
        <v>1950</v>
      </c>
      <c r="AO175" s="38">
        <v>488.83249999999998</v>
      </c>
      <c r="AP175" s="38">
        <v>1253.4166666666699</v>
      </c>
      <c r="AQ175" s="30"/>
      <c r="AR175" s="30"/>
      <c r="AS175" s="40">
        <v>1203.28</v>
      </c>
      <c r="AT175" s="69">
        <f t="shared" si="10"/>
        <v>19936.529166666671</v>
      </c>
    </row>
    <row r="176" spans="1:46" s="70" customFormat="1" ht="24">
      <c r="A176" s="52">
        <f t="shared" si="11"/>
        <v>174</v>
      </c>
      <c r="B176" s="65" t="s">
        <v>1583</v>
      </c>
      <c r="C176" s="66" t="s">
        <v>156</v>
      </c>
      <c r="D176" s="67" t="s">
        <v>50</v>
      </c>
      <c r="E176" s="30" t="s">
        <v>51</v>
      </c>
      <c r="F176" s="30"/>
      <c r="G176" s="30" t="s">
        <v>53</v>
      </c>
      <c r="H176" s="30" t="s">
        <v>54</v>
      </c>
      <c r="I176" s="30"/>
      <c r="J176" s="46">
        <v>45705</v>
      </c>
      <c r="K176" s="68">
        <f t="shared" ca="1" si="8"/>
        <v>1.5041095890410958</v>
      </c>
      <c r="L176" s="46">
        <v>35753</v>
      </c>
      <c r="M176" s="51">
        <f t="shared" ca="1" si="9"/>
        <v>28</v>
      </c>
      <c r="N176" s="21" t="s">
        <v>106</v>
      </c>
      <c r="O176" s="30"/>
      <c r="P176" s="30" t="s">
        <v>56</v>
      </c>
      <c r="Q176" s="30"/>
      <c r="R176" s="30"/>
      <c r="S176" s="21" t="s">
        <v>94</v>
      </c>
      <c r="T176" s="30" t="s">
        <v>157</v>
      </c>
      <c r="U176" s="21">
        <v>8248087395</v>
      </c>
      <c r="V176" s="21" t="s">
        <v>158</v>
      </c>
      <c r="W176" s="30"/>
      <c r="X176" s="65">
        <v>5610900530</v>
      </c>
      <c r="Y176" s="21" t="s">
        <v>159</v>
      </c>
      <c r="Z176" s="47"/>
      <c r="AA176" s="21" t="s">
        <v>160</v>
      </c>
      <c r="AB176" s="21" t="s">
        <v>161</v>
      </c>
      <c r="AC176" s="21" t="s">
        <v>162</v>
      </c>
      <c r="AD176" s="21" t="s">
        <v>78</v>
      </c>
      <c r="AE176" s="21"/>
      <c r="AF176" s="21" t="str">
        <f>VLOOKUP(B176,[1]Current!$B$2:$T$44,19,0)</f>
        <v>1/16, VALLIMADURAI, KIRAIPATTI, DHARMAPURI, TAMILNADU-636903</v>
      </c>
      <c r="AG176" s="38">
        <v>7060</v>
      </c>
      <c r="AH176" s="38">
        <v>7981</v>
      </c>
      <c r="AI176" s="30"/>
      <c r="AJ176" s="30"/>
      <c r="AK176" s="30"/>
      <c r="AL176" s="38">
        <v>15041</v>
      </c>
      <c r="AM176" s="38">
        <v>15000</v>
      </c>
      <c r="AN176" s="38">
        <v>1950</v>
      </c>
      <c r="AO176" s="38">
        <v>488.83249999999998</v>
      </c>
      <c r="AP176" s="38">
        <v>1253.4166666666699</v>
      </c>
      <c r="AQ176" s="30"/>
      <c r="AR176" s="30"/>
      <c r="AS176" s="40">
        <v>1203.28</v>
      </c>
      <c r="AT176" s="69">
        <f t="shared" si="10"/>
        <v>19936.529166666671</v>
      </c>
    </row>
    <row r="177" spans="1:46" s="70" customFormat="1" ht="24">
      <c r="A177" s="52">
        <f t="shared" si="11"/>
        <v>175</v>
      </c>
      <c r="B177" s="65" t="s">
        <v>1584</v>
      </c>
      <c r="C177" s="66" t="s">
        <v>1585</v>
      </c>
      <c r="D177" s="67" t="s">
        <v>50</v>
      </c>
      <c r="E177" s="30" t="s">
        <v>51</v>
      </c>
      <c r="F177" s="30" t="s">
        <v>113</v>
      </c>
      <c r="G177" s="30" t="s">
        <v>53</v>
      </c>
      <c r="H177" s="30" t="s">
        <v>54</v>
      </c>
      <c r="I177" s="30"/>
      <c r="J177" s="46">
        <v>45810</v>
      </c>
      <c r="K177" s="68">
        <f t="shared" ca="1" si="8"/>
        <v>1.2164383561643837</v>
      </c>
      <c r="L177" s="46">
        <v>33823</v>
      </c>
      <c r="M177" s="51">
        <f t="shared" ca="1" si="9"/>
        <v>34</v>
      </c>
      <c r="N177" s="21" t="s">
        <v>93</v>
      </c>
      <c r="O177" s="30"/>
      <c r="P177" s="30" t="s">
        <v>56</v>
      </c>
      <c r="Q177" s="30"/>
      <c r="R177" s="30"/>
      <c r="S177" s="21" t="s">
        <v>94</v>
      </c>
      <c r="T177" s="30" t="s">
        <v>147</v>
      </c>
      <c r="U177" s="21">
        <v>9095732300</v>
      </c>
      <c r="V177" s="21" t="s">
        <v>148</v>
      </c>
      <c r="W177" s="30"/>
      <c r="X177" s="65">
        <v>5611281667</v>
      </c>
      <c r="Y177" s="21" t="s">
        <v>149</v>
      </c>
      <c r="Z177" s="47"/>
      <c r="AA177" s="21">
        <v>713311337</v>
      </c>
      <c r="AB177" s="21" t="s">
        <v>151</v>
      </c>
      <c r="AC177" s="21" t="s">
        <v>152</v>
      </c>
      <c r="AD177" s="21" t="s">
        <v>153</v>
      </c>
      <c r="AE177" s="21" t="s">
        <v>154</v>
      </c>
      <c r="AF177" s="21" t="str">
        <f>VLOOKUP(B177,[1]Current!$B$2:$T$44,19,0)</f>
        <v>1-221, KOVIL STREET, THOTTIPALAYAM, KARAVALLI MADHAPUR, SOMANUR, COIMBATORE, TAMILNADU - 641668</v>
      </c>
      <c r="AG177" s="38">
        <v>7060</v>
      </c>
      <c r="AH177" s="38">
        <v>7981</v>
      </c>
      <c r="AI177" s="30"/>
      <c r="AJ177" s="30"/>
      <c r="AK177" s="30"/>
      <c r="AL177" s="38">
        <v>15041</v>
      </c>
      <c r="AM177" s="38">
        <v>15000</v>
      </c>
      <c r="AN177" s="38">
        <v>1950</v>
      </c>
      <c r="AO177" s="38">
        <v>488.83249999999998</v>
      </c>
      <c r="AP177" s="38">
        <v>1253.4166666666699</v>
      </c>
      <c r="AQ177" s="30"/>
      <c r="AR177" s="30"/>
      <c r="AS177" s="40">
        <v>1203.28</v>
      </c>
      <c r="AT177" s="69">
        <f t="shared" si="10"/>
        <v>19936.529166666671</v>
      </c>
    </row>
    <row r="178" spans="1:46" s="70" customFormat="1" ht="24">
      <c r="A178" s="52">
        <f t="shared" si="11"/>
        <v>176</v>
      </c>
      <c r="B178" s="65" t="s">
        <v>1586</v>
      </c>
      <c r="C178" s="66" t="s">
        <v>1587</v>
      </c>
      <c r="D178" s="67" t="s">
        <v>50</v>
      </c>
      <c r="E178" s="30" t="s">
        <v>51</v>
      </c>
      <c r="F178" s="30" t="s">
        <v>105</v>
      </c>
      <c r="G178" s="30" t="s">
        <v>53</v>
      </c>
      <c r="H178" s="30" t="s">
        <v>54</v>
      </c>
      <c r="I178" s="30"/>
      <c r="J178" s="46">
        <v>45839</v>
      </c>
      <c r="K178" s="68">
        <f t="shared" ca="1" si="8"/>
        <v>1.1369863013698631</v>
      </c>
      <c r="L178" s="46">
        <v>31794</v>
      </c>
      <c r="M178" s="51">
        <f t="shared" ca="1" si="9"/>
        <v>39</v>
      </c>
      <c r="N178" s="21" t="s">
        <v>253</v>
      </c>
      <c r="O178" s="30"/>
      <c r="P178" s="30" t="s">
        <v>56</v>
      </c>
      <c r="Q178" s="30"/>
      <c r="R178" s="30"/>
      <c r="S178" s="21" t="s">
        <v>1233</v>
      </c>
      <c r="T178" s="30" t="s">
        <v>1588</v>
      </c>
      <c r="U178" s="21">
        <v>8838550083</v>
      </c>
      <c r="V178" s="21" t="s">
        <v>1589</v>
      </c>
      <c r="W178" s="30"/>
      <c r="X178" s="65">
        <v>5608038212</v>
      </c>
      <c r="Y178" s="21" t="s">
        <v>1590</v>
      </c>
      <c r="Z178" s="47"/>
      <c r="AA178" s="21">
        <v>334902010139038</v>
      </c>
      <c r="AB178" s="21" t="s">
        <v>111</v>
      </c>
      <c r="AC178" s="21" t="s">
        <v>1591</v>
      </c>
      <c r="AD178" s="21" t="s">
        <v>1255</v>
      </c>
      <c r="AE178" s="21" t="s">
        <v>1592</v>
      </c>
      <c r="AF178" s="21" t="str">
        <f>VLOOKUP(B178,[1]Current!$B$2:$T$44,19,0)</f>
        <v>1/191 thundukadu , thottipalayam sulur taluka karavaill madapur coimbatore tamil nadu - 641668</v>
      </c>
      <c r="AG178" s="38">
        <v>7060</v>
      </c>
      <c r="AH178" s="38">
        <v>7981</v>
      </c>
      <c r="AI178" s="30"/>
      <c r="AJ178" s="30"/>
      <c r="AK178" s="30"/>
      <c r="AL178" s="38">
        <v>15041</v>
      </c>
      <c r="AM178" s="38">
        <v>15000</v>
      </c>
      <c r="AN178" s="38">
        <v>1950</v>
      </c>
      <c r="AO178" s="38">
        <v>488.83249999999998</v>
      </c>
      <c r="AP178" s="38">
        <v>1253.4166666666699</v>
      </c>
      <c r="AQ178" s="30"/>
      <c r="AR178" s="30"/>
      <c r="AS178" s="40">
        <v>1203.28</v>
      </c>
      <c r="AT178" s="69">
        <f t="shared" si="10"/>
        <v>19936.529166666671</v>
      </c>
    </row>
    <row r="179" spans="1:46" s="70" customFormat="1" ht="24">
      <c r="A179" s="52">
        <f t="shared" si="11"/>
        <v>177</v>
      </c>
      <c r="B179" s="65" t="s">
        <v>1593</v>
      </c>
      <c r="C179" s="66" t="s">
        <v>1594</v>
      </c>
      <c r="D179" s="67" t="s">
        <v>50</v>
      </c>
      <c r="E179" s="30" t="s">
        <v>51</v>
      </c>
      <c r="F179" s="30" t="s">
        <v>105</v>
      </c>
      <c r="G179" s="30" t="s">
        <v>53</v>
      </c>
      <c r="H179" s="30" t="s">
        <v>54</v>
      </c>
      <c r="I179" s="30"/>
      <c r="J179" s="46">
        <v>45839</v>
      </c>
      <c r="K179" s="68">
        <f t="shared" ca="1" si="8"/>
        <v>1.1369863013698631</v>
      </c>
      <c r="L179" s="46">
        <v>32860</v>
      </c>
      <c r="M179" s="51">
        <f t="shared" ca="1" si="9"/>
        <v>36</v>
      </c>
      <c r="N179" s="21" t="s">
        <v>1595</v>
      </c>
      <c r="O179" s="30"/>
      <c r="P179" s="30" t="s">
        <v>56</v>
      </c>
      <c r="Q179" s="30"/>
      <c r="R179" s="30"/>
      <c r="S179" s="21" t="s">
        <v>94</v>
      </c>
      <c r="T179" s="30" t="s">
        <v>1596</v>
      </c>
      <c r="U179" s="21">
        <v>9384178061</v>
      </c>
      <c r="V179" s="21" t="s">
        <v>1597</v>
      </c>
      <c r="W179" s="30"/>
      <c r="X179" s="65">
        <v>5611064952</v>
      </c>
      <c r="Y179" s="21" t="s">
        <v>1598</v>
      </c>
      <c r="Z179" s="47"/>
      <c r="AA179" s="21">
        <v>69850100007114</v>
      </c>
      <c r="AB179" s="21" t="s">
        <v>1599</v>
      </c>
      <c r="AC179" s="21" t="s">
        <v>1600</v>
      </c>
      <c r="AD179" s="21" t="s">
        <v>1601</v>
      </c>
      <c r="AE179" s="21" t="s">
        <v>1602</v>
      </c>
      <c r="AF179" s="21" t="str">
        <f>VLOOKUP(B179,[1]Current!$B$2:$T$44,19,0)</f>
        <v>1/191 pattathrasiyamman Kovil street thotti palayam sulur taluk, karavaill madapur coimbatore tamil nadu - 641668</v>
      </c>
      <c r="AG179" s="38">
        <v>7060</v>
      </c>
      <c r="AH179" s="38">
        <v>7981</v>
      </c>
      <c r="AI179" s="30"/>
      <c r="AJ179" s="30"/>
      <c r="AK179" s="30"/>
      <c r="AL179" s="38">
        <v>15041</v>
      </c>
      <c r="AM179" s="38">
        <v>15000</v>
      </c>
      <c r="AN179" s="38">
        <v>1950</v>
      </c>
      <c r="AO179" s="38">
        <v>488.83249999999998</v>
      </c>
      <c r="AP179" s="38">
        <v>1253.4166666666699</v>
      </c>
      <c r="AQ179" s="30"/>
      <c r="AR179" s="30"/>
      <c r="AS179" s="40">
        <v>1203.28</v>
      </c>
      <c r="AT179" s="69">
        <f t="shared" si="10"/>
        <v>19936.529166666671</v>
      </c>
    </row>
    <row r="180" spans="1:46" s="70" customFormat="1" ht="24">
      <c r="A180" s="52">
        <f t="shared" si="11"/>
        <v>178</v>
      </c>
      <c r="B180" s="65" t="s">
        <v>1603</v>
      </c>
      <c r="C180" s="66" t="s">
        <v>1604</v>
      </c>
      <c r="D180" s="67" t="s">
        <v>82</v>
      </c>
      <c r="E180" s="30" t="s">
        <v>51</v>
      </c>
      <c r="F180" s="30" t="s">
        <v>390</v>
      </c>
      <c r="G180" s="30" t="s">
        <v>53</v>
      </c>
      <c r="H180" s="30" t="s">
        <v>54</v>
      </c>
      <c r="I180" s="30"/>
      <c r="J180" s="46">
        <v>45856</v>
      </c>
      <c r="K180" s="68">
        <f t="shared" ca="1" si="8"/>
        <v>1.0904109589041096</v>
      </c>
      <c r="L180" s="46">
        <v>37456</v>
      </c>
      <c r="M180" s="51">
        <f t="shared" ca="1" si="9"/>
        <v>24</v>
      </c>
      <c r="N180" s="21" t="s">
        <v>119</v>
      </c>
      <c r="O180" s="30"/>
      <c r="P180" s="30" t="s">
        <v>56</v>
      </c>
      <c r="Q180" s="30"/>
      <c r="R180" s="30"/>
      <c r="S180" s="21" t="s">
        <v>57</v>
      </c>
      <c r="T180" s="30" t="s">
        <v>1605</v>
      </c>
      <c r="U180" s="21">
        <v>7325884983</v>
      </c>
      <c r="V180" s="21" t="s">
        <v>1606</v>
      </c>
      <c r="W180" s="30"/>
      <c r="X180" s="65">
        <v>5611327990</v>
      </c>
      <c r="Y180" s="21" t="s">
        <v>1607</v>
      </c>
      <c r="Z180" s="47"/>
      <c r="AA180" s="21">
        <v>8144886929</v>
      </c>
      <c r="AB180" s="21" t="s">
        <v>239</v>
      </c>
      <c r="AC180" s="21" t="s">
        <v>240</v>
      </c>
      <c r="AD180" s="52" t="s">
        <v>1348</v>
      </c>
      <c r="AE180" s="21" t="s">
        <v>1608</v>
      </c>
      <c r="AF180" s="52" t="str">
        <f>VLOOKUP(B180,[1]Current!$B$2:$T$44,19,0)</f>
        <v>ARASUR MARKET NEAR, ARASUR, THENNAMPALAYAM, COIMBATORE, TAMILNADU</v>
      </c>
      <c r="AG180" s="38">
        <v>7060</v>
      </c>
      <c r="AH180" s="38">
        <v>7981</v>
      </c>
      <c r="AI180" s="30"/>
      <c r="AJ180" s="30"/>
      <c r="AK180" s="30"/>
      <c r="AL180" s="38">
        <v>15041</v>
      </c>
      <c r="AM180" s="38">
        <v>15000</v>
      </c>
      <c r="AN180" s="38">
        <v>1950</v>
      </c>
      <c r="AO180" s="38">
        <v>488.83249999999998</v>
      </c>
      <c r="AP180" s="38">
        <v>1253.4166666666699</v>
      </c>
      <c r="AQ180" s="30"/>
      <c r="AR180" s="30"/>
      <c r="AS180" s="40">
        <v>1203.28</v>
      </c>
      <c r="AT180" s="69">
        <f t="shared" si="10"/>
        <v>19936.529166666671</v>
      </c>
    </row>
    <row r="181" spans="1:46" s="70" customFormat="1" ht="24">
      <c r="A181" s="52">
        <f t="shared" si="11"/>
        <v>179</v>
      </c>
      <c r="B181" s="65" t="s">
        <v>1609</v>
      </c>
      <c r="C181" s="66" t="s">
        <v>1610</v>
      </c>
      <c r="D181" s="67" t="s">
        <v>82</v>
      </c>
      <c r="E181" s="30" t="s">
        <v>51</v>
      </c>
      <c r="F181" s="30" t="s">
        <v>69</v>
      </c>
      <c r="G181" s="30" t="s">
        <v>53</v>
      </c>
      <c r="H181" s="30" t="s">
        <v>54</v>
      </c>
      <c r="I181" s="30"/>
      <c r="J181" s="46">
        <v>45882</v>
      </c>
      <c r="K181" s="68">
        <f t="shared" ca="1" si="8"/>
        <v>1.0191780821917809</v>
      </c>
      <c r="L181" s="46">
        <v>31146</v>
      </c>
      <c r="M181" s="51">
        <f t="shared" ca="1" si="9"/>
        <v>41</v>
      </c>
      <c r="N181" s="21" t="s">
        <v>119</v>
      </c>
      <c r="O181" s="30"/>
      <c r="P181" s="30" t="s">
        <v>56</v>
      </c>
      <c r="Q181" s="30"/>
      <c r="R181" s="30"/>
      <c r="S181" s="21" t="s">
        <v>57</v>
      </c>
      <c r="T181" s="30" t="s">
        <v>1611</v>
      </c>
      <c r="U181" s="21">
        <v>9942491391</v>
      </c>
      <c r="V181" s="21" t="s">
        <v>1612</v>
      </c>
      <c r="W181" s="30"/>
      <c r="X181" s="65">
        <v>5611364298</v>
      </c>
      <c r="Y181" s="21" t="s">
        <v>1613</v>
      </c>
      <c r="Z181" s="47"/>
      <c r="AA181" s="21" t="s">
        <v>1614</v>
      </c>
      <c r="AB181" s="21" t="s">
        <v>388</v>
      </c>
      <c r="AC181" s="21" t="s">
        <v>1323</v>
      </c>
      <c r="AD181" s="52" t="s">
        <v>390</v>
      </c>
      <c r="AE181" s="21" t="s">
        <v>1615</v>
      </c>
      <c r="AF181" s="52" t="str">
        <f>VLOOKUP(B181,[1]Current!$B$2:$T$44,19,0)</f>
        <v>3/8D, EAST STREET, RAASIPALAYAM, SULUR, COIMBATORE, TAMILNADU - 641402</v>
      </c>
      <c r="AG181" s="38">
        <v>7060</v>
      </c>
      <c r="AH181" s="38">
        <v>7981</v>
      </c>
      <c r="AI181" s="30"/>
      <c r="AJ181" s="30"/>
      <c r="AK181" s="30"/>
      <c r="AL181" s="38">
        <v>15041</v>
      </c>
      <c r="AM181" s="38">
        <v>15000</v>
      </c>
      <c r="AN181" s="38">
        <v>1950</v>
      </c>
      <c r="AO181" s="38">
        <v>488.83249999999998</v>
      </c>
      <c r="AP181" s="38">
        <v>1253.4166666666699</v>
      </c>
      <c r="AQ181" s="30"/>
      <c r="AR181" s="30"/>
      <c r="AS181" s="40">
        <v>1203.28</v>
      </c>
      <c r="AT181" s="69">
        <f t="shared" si="10"/>
        <v>19936.529166666671</v>
      </c>
    </row>
    <row r="182" spans="1:46" s="70" customFormat="1" ht="24">
      <c r="A182" s="52">
        <f t="shared" si="11"/>
        <v>180</v>
      </c>
      <c r="B182" s="65" t="s">
        <v>1616</v>
      </c>
      <c r="C182" s="66" t="s">
        <v>252</v>
      </c>
      <c r="D182" s="67" t="s">
        <v>50</v>
      </c>
      <c r="E182" s="30" t="s">
        <v>51</v>
      </c>
      <c r="F182" s="30" t="s">
        <v>105</v>
      </c>
      <c r="G182" s="30" t="s">
        <v>53</v>
      </c>
      <c r="H182" s="30" t="s">
        <v>54</v>
      </c>
      <c r="I182" s="30"/>
      <c r="J182" s="46">
        <v>45882</v>
      </c>
      <c r="K182" s="68">
        <f t="shared" ca="1" si="8"/>
        <v>1.0191780821917809</v>
      </c>
      <c r="L182" s="46">
        <v>38546</v>
      </c>
      <c r="M182" s="51">
        <f t="shared" ca="1" si="9"/>
        <v>21</v>
      </c>
      <c r="N182" s="21" t="s">
        <v>253</v>
      </c>
      <c r="O182" s="30"/>
      <c r="P182" s="30" t="s">
        <v>56</v>
      </c>
      <c r="Q182" s="30" t="s">
        <v>254</v>
      </c>
      <c r="R182" s="30"/>
      <c r="S182" s="21" t="s">
        <v>256</v>
      </c>
      <c r="T182" s="30"/>
      <c r="U182" s="21">
        <v>9790414514</v>
      </c>
      <c r="V182" s="21" t="s">
        <v>257</v>
      </c>
      <c r="W182" s="30"/>
      <c r="X182" s="65">
        <v>5610286921</v>
      </c>
      <c r="Y182" s="21" t="s">
        <v>258</v>
      </c>
      <c r="Z182" s="47"/>
      <c r="AA182" s="21" t="s">
        <v>259</v>
      </c>
      <c r="AB182" s="21" t="s">
        <v>260</v>
      </c>
      <c r="AC182" s="21" t="s">
        <v>261</v>
      </c>
      <c r="AD182" s="52" t="s">
        <v>262</v>
      </c>
      <c r="AE182" s="21" t="s">
        <v>263</v>
      </c>
      <c r="AF182" s="52" t="str">
        <f>VLOOKUP(B182,[1]Current!$B$2:$T$44,19,0)</f>
        <v>1/119,pattatharasi Amman Kovil Street,thottipalayam,sulur taluk, karvalimadappur, coimbatore tamilnadu 641668</v>
      </c>
      <c r="AG182" s="38">
        <v>7060</v>
      </c>
      <c r="AH182" s="38">
        <v>7981</v>
      </c>
      <c r="AI182" s="30"/>
      <c r="AJ182" s="30"/>
      <c r="AK182" s="30"/>
      <c r="AL182" s="38">
        <v>15041</v>
      </c>
      <c r="AM182" s="38">
        <v>15000</v>
      </c>
      <c r="AN182" s="38">
        <v>1950</v>
      </c>
      <c r="AO182" s="38">
        <v>488.83249999999998</v>
      </c>
      <c r="AP182" s="38">
        <v>1253.4166666666699</v>
      </c>
      <c r="AQ182" s="30"/>
      <c r="AR182" s="30"/>
      <c r="AS182" s="40">
        <v>1203.28</v>
      </c>
      <c r="AT182" s="69">
        <f t="shared" si="10"/>
        <v>19936.529166666671</v>
      </c>
    </row>
    <row r="183" spans="1:46" s="70" customFormat="1" ht="24">
      <c r="A183" s="52">
        <f t="shared" si="11"/>
        <v>181</v>
      </c>
      <c r="B183" s="65" t="s">
        <v>1617</v>
      </c>
      <c r="C183" s="66" t="s">
        <v>135</v>
      </c>
      <c r="D183" s="67" t="s">
        <v>50</v>
      </c>
      <c r="E183" s="30" t="s">
        <v>51</v>
      </c>
      <c r="F183" s="30" t="s">
        <v>105</v>
      </c>
      <c r="G183" s="30" t="s">
        <v>53</v>
      </c>
      <c r="H183" s="30" t="s">
        <v>54</v>
      </c>
      <c r="I183" s="30"/>
      <c r="J183" s="46">
        <v>45882</v>
      </c>
      <c r="K183" s="68">
        <f t="shared" ca="1" si="8"/>
        <v>1.0191780821917809</v>
      </c>
      <c r="L183" s="46">
        <v>35508</v>
      </c>
      <c r="M183" s="51">
        <f t="shared" ca="1" si="9"/>
        <v>29</v>
      </c>
      <c r="N183" s="21" t="s">
        <v>106</v>
      </c>
      <c r="O183" s="30"/>
      <c r="P183" s="30" t="s">
        <v>56</v>
      </c>
      <c r="Q183" s="30"/>
      <c r="R183" s="30"/>
      <c r="S183" s="21" t="s">
        <v>57</v>
      </c>
      <c r="T183" s="30" t="s">
        <v>137</v>
      </c>
      <c r="U183" s="21">
        <v>8438689264</v>
      </c>
      <c r="V183" s="21" t="s">
        <v>138</v>
      </c>
      <c r="W183" s="30"/>
      <c r="X183" s="65">
        <v>5611364303</v>
      </c>
      <c r="Y183" s="21" t="s">
        <v>139</v>
      </c>
      <c r="Z183" s="47"/>
      <c r="AA183" s="21" t="s">
        <v>140</v>
      </c>
      <c r="AB183" s="21" t="s">
        <v>141</v>
      </c>
      <c r="AC183" s="21" t="s">
        <v>142</v>
      </c>
      <c r="AD183" s="52" t="s">
        <v>136</v>
      </c>
      <c r="AE183" s="21" t="s">
        <v>143</v>
      </c>
      <c r="AF183" s="52" t="str">
        <f>VLOOKUP(B183,[1]Current!$B$2:$T$44,19,0)</f>
        <v>1/180, PATTATHARASIAMMAN KOVIL STREET, THOTTIPALAYAM, KARAVALIMADAPUR, SULUR, COIMBATORE, TAMILNADU - 641668</v>
      </c>
      <c r="AG183" s="38">
        <v>7060</v>
      </c>
      <c r="AH183" s="38">
        <v>7981</v>
      </c>
      <c r="AI183" s="30"/>
      <c r="AJ183" s="30"/>
      <c r="AK183" s="30"/>
      <c r="AL183" s="38">
        <v>15041</v>
      </c>
      <c r="AM183" s="38">
        <v>15000</v>
      </c>
      <c r="AN183" s="38">
        <v>1950</v>
      </c>
      <c r="AO183" s="38">
        <v>488.83249999999998</v>
      </c>
      <c r="AP183" s="38">
        <v>1253.4166666666699</v>
      </c>
      <c r="AQ183" s="30"/>
      <c r="AR183" s="30"/>
      <c r="AS183" s="40">
        <v>1203.28</v>
      </c>
      <c r="AT183" s="69">
        <f t="shared" si="10"/>
        <v>19936.529166666671</v>
      </c>
    </row>
    <row r="184" spans="1:46" s="70" customFormat="1" ht="24">
      <c r="A184" s="52">
        <f t="shared" si="11"/>
        <v>182</v>
      </c>
      <c r="B184" s="65" t="s">
        <v>1618</v>
      </c>
      <c r="C184" s="66" t="s">
        <v>1619</v>
      </c>
      <c r="D184" s="67" t="s">
        <v>50</v>
      </c>
      <c r="E184" s="30" t="s">
        <v>51</v>
      </c>
      <c r="F184" s="30" t="s">
        <v>105</v>
      </c>
      <c r="G184" s="30" t="s">
        <v>53</v>
      </c>
      <c r="H184" s="30" t="s">
        <v>54</v>
      </c>
      <c r="I184" s="30"/>
      <c r="J184" s="46">
        <v>45882</v>
      </c>
      <c r="K184" s="68">
        <f t="shared" ca="1" si="8"/>
        <v>1.0191780821917809</v>
      </c>
      <c r="L184" s="46">
        <v>37677</v>
      </c>
      <c r="M184" s="51">
        <f t="shared" ca="1" si="9"/>
        <v>23</v>
      </c>
      <c r="N184" s="21" t="s">
        <v>106</v>
      </c>
      <c r="O184" s="30"/>
      <c r="P184" s="30" t="s">
        <v>56</v>
      </c>
      <c r="Q184" s="30" t="s">
        <v>1620</v>
      </c>
      <c r="R184" s="30"/>
      <c r="S184" s="21" t="s">
        <v>256</v>
      </c>
      <c r="T184" s="30"/>
      <c r="U184" s="21">
        <v>9629432693</v>
      </c>
      <c r="V184" s="21" t="s">
        <v>190</v>
      </c>
      <c r="W184" s="30"/>
      <c r="X184" s="65">
        <v>5611364305</v>
      </c>
      <c r="Y184" s="21" t="s">
        <v>191</v>
      </c>
      <c r="Z184" s="47"/>
      <c r="AA184" s="21" t="s">
        <v>192</v>
      </c>
      <c r="AB184" s="21" t="s">
        <v>99</v>
      </c>
      <c r="AC184" s="21" t="s">
        <v>100</v>
      </c>
      <c r="AD184" s="52" t="s">
        <v>101</v>
      </c>
      <c r="AE184" s="21" t="s">
        <v>193</v>
      </c>
      <c r="AF184" s="52" t="str">
        <f>VLOOKUP(B184,[1]Current!$B$2:$T$44,19,0)</f>
        <v>1/297, PADEESWARAN KOVIL STREET, THOTTIPALAYAM,  SULUR, KARAVALIMADAPPUR, COIMBATORE, TAMILNADU - 641668</v>
      </c>
      <c r="AG184" s="38">
        <v>7060</v>
      </c>
      <c r="AH184" s="38">
        <v>7981</v>
      </c>
      <c r="AI184" s="30"/>
      <c r="AJ184" s="30"/>
      <c r="AK184" s="30"/>
      <c r="AL184" s="38">
        <v>15041</v>
      </c>
      <c r="AM184" s="38">
        <v>15000</v>
      </c>
      <c r="AN184" s="38">
        <v>1950</v>
      </c>
      <c r="AO184" s="38">
        <v>488.83249999999998</v>
      </c>
      <c r="AP184" s="38">
        <v>1253.4166666666699</v>
      </c>
      <c r="AQ184" s="30"/>
      <c r="AR184" s="30"/>
      <c r="AS184" s="40">
        <v>1203.28</v>
      </c>
      <c r="AT184" s="69">
        <f t="shared" si="10"/>
        <v>19936.529166666671</v>
      </c>
    </row>
    <row r="185" spans="1:46" s="70" customFormat="1" ht="24">
      <c r="A185" s="52">
        <f t="shared" si="11"/>
        <v>183</v>
      </c>
      <c r="B185" s="65" t="s">
        <v>1621</v>
      </c>
      <c r="C185" s="66" t="s">
        <v>1622</v>
      </c>
      <c r="D185" s="67" t="s">
        <v>82</v>
      </c>
      <c r="E185" s="30" t="s">
        <v>51</v>
      </c>
      <c r="F185" s="30" t="s">
        <v>83</v>
      </c>
      <c r="G185" s="30" t="s">
        <v>53</v>
      </c>
      <c r="H185" s="30" t="s">
        <v>54</v>
      </c>
      <c r="I185" s="30"/>
      <c r="J185" s="46">
        <v>45897</v>
      </c>
      <c r="K185" s="68">
        <f t="shared" ca="1" si="8"/>
        <v>0.9780821917808219</v>
      </c>
      <c r="L185" s="46">
        <v>31912</v>
      </c>
      <c r="M185" s="51">
        <f t="shared" ca="1" si="9"/>
        <v>39</v>
      </c>
      <c r="N185" s="21" t="s">
        <v>119</v>
      </c>
      <c r="O185" s="30"/>
      <c r="P185" s="30" t="s">
        <v>56</v>
      </c>
      <c r="Q185" s="30"/>
      <c r="R185" s="30"/>
      <c r="S185" s="21" t="s">
        <v>57</v>
      </c>
      <c r="T185" s="30" t="s">
        <v>1623</v>
      </c>
      <c r="U185" s="21">
        <v>9337896930</v>
      </c>
      <c r="V185" s="21" t="s">
        <v>1624</v>
      </c>
      <c r="W185" s="30"/>
      <c r="X185" s="65">
        <v>5347366771</v>
      </c>
      <c r="Y185" s="21" t="s">
        <v>1625</v>
      </c>
      <c r="Z185" s="47"/>
      <c r="AA185" s="21" t="s">
        <v>1626</v>
      </c>
      <c r="AB185" s="21" t="s">
        <v>1627</v>
      </c>
      <c r="AC185" s="21" t="s">
        <v>1379</v>
      </c>
      <c r="AD185" s="52" t="s">
        <v>1628</v>
      </c>
      <c r="AE185" s="21" t="s">
        <v>1629</v>
      </c>
      <c r="AF185" s="52" t="str">
        <f>VLOOKUP(B185,[1]Current!$B$2:$T$44,19,0)</f>
        <v>NEAR GOVT SCHOOL, MUTHUGOUNDANPUDUR COLONY, SULUR, COIMBATORE - 641402</v>
      </c>
      <c r="AG185" s="38">
        <v>7060</v>
      </c>
      <c r="AH185" s="38">
        <v>7981</v>
      </c>
      <c r="AI185" s="30"/>
      <c r="AJ185" s="30"/>
      <c r="AK185" s="30"/>
      <c r="AL185" s="38">
        <v>15041</v>
      </c>
      <c r="AM185" s="38">
        <v>15000</v>
      </c>
      <c r="AN185" s="38">
        <v>1950</v>
      </c>
      <c r="AO185" s="38">
        <v>488.83249999999998</v>
      </c>
      <c r="AP185" s="38">
        <v>1253.4166666666699</v>
      </c>
      <c r="AQ185" s="30"/>
      <c r="AR185" s="30"/>
      <c r="AS185" s="40">
        <v>1203.28</v>
      </c>
      <c r="AT185" s="69">
        <f t="shared" si="10"/>
        <v>19936.529166666671</v>
      </c>
    </row>
    <row r="186" spans="1:46" s="70" customFormat="1" ht="24">
      <c r="A186" s="52">
        <f t="shared" si="11"/>
        <v>184</v>
      </c>
      <c r="B186" s="65" t="s">
        <v>1630</v>
      </c>
      <c r="C186" s="66" t="s">
        <v>1631</v>
      </c>
      <c r="D186" s="67" t="s">
        <v>82</v>
      </c>
      <c r="E186" s="30" t="s">
        <v>51</v>
      </c>
      <c r="F186" s="30"/>
      <c r="G186" s="30" t="s">
        <v>53</v>
      </c>
      <c r="H186" s="30" t="s">
        <v>54</v>
      </c>
      <c r="I186" s="30"/>
      <c r="J186" s="46">
        <v>45962</v>
      </c>
      <c r="K186" s="68">
        <f t="shared" ca="1" si="8"/>
        <v>0.8</v>
      </c>
      <c r="L186" s="46">
        <v>38036</v>
      </c>
      <c r="M186" s="51">
        <f t="shared" ca="1" si="9"/>
        <v>22</v>
      </c>
      <c r="N186" s="21"/>
      <c r="O186" s="30"/>
      <c r="P186" s="30" t="s">
        <v>56</v>
      </c>
      <c r="Q186" s="30" t="s">
        <v>1632</v>
      </c>
      <c r="R186" s="30"/>
      <c r="S186" s="21" t="s">
        <v>256</v>
      </c>
      <c r="T186" s="30"/>
      <c r="U186" s="21">
        <v>8235055021</v>
      </c>
      <c r="V186" s="21" t="s">
        <v>1633</v>
      </c>
      <c r="W186" s="30"/>
      <c r="X186" s="65">
        <v>5611407984</v>
      </c>
      <c r="Y186" s="21" t="s">
        <v>1634</v>
      </c>
      <c r="Z186" s="47"/>
      <c r="AA186" s="21" t="s">
        <v>1635</v>
      </c>
      <c r="AB186" s="21" t="s">
        <v>239</v>
      </c>
      <c r="AC186" s="21" t="s">
        <v>240</v>
      </c>
      <c r="AD186" s="21" t="s">
        <v>1348</v>
      </c>
      <c r="AE186" s="21"/>
      <c r="AF186" s="21"/>
      <c r="AG186" s="38">
        <v>7060</v>
      </c>
      <c r="AH186" s="38">
        <v>7981</v>
      </c>
      <c r="AI186" s="30"/>
      <c r="AJ186" s="30"/>
      <c r="AK186" s="30"/>
      <c r="AL186" s="38">
        <v>15041</v>
      </c>
      <c r="AM186" s="38">
        <v>15000</v>
      </c>
      <c r="AN186" s="38">
        <v>1950</v>
      </c>
      <c r="AO186" s="38">
        <v>488.83249999999998</v>
      </c>
      <c r="AP186" s="38">
        <v>1253.4166666666699</v>
      </c>
      <c r="AQ186" s="30"/>
      <c r="AR186" s="30"/>
      <c r="AS186" s="40">
        <v>1203.28</v>
      </c>
      <c r="AT186" s="69">
        <f t="shared" si="10"/>
        <v>19936.529166666671</v>
      </c>
    </row>
    <row r="187" spans="1:46" s="70" customFormat="1" ht="24">
      <c r="A187" s="52">
        <f t="shared" si="11"/>
        <v>185</v>
      </c>
      <c r="B187" s="65" t="s">
        <v>1636</v>
      </c>
      <c r="C187" s="66" t="s">
        <v>1637</v>
      </c>
      <c r="D187" s="67" t="s">
        <v>50</v>
      </c>
      <c r="E187" s="30" t="s">
        <v>51</v>
      </c>
      <c r="F187" s="30" t="s">
        <v>1638</v>
      </c>
      <c r="G187" s="30" t="s">
        <v>53</v>
      </c>
      <c r="H187" s="30" t="s">
        <v>54</v>
      </c>
      <c r="I187" s="30"/>
      <c r="J187" s="46">
        <v>45962</v>
      </c>
      <c r="K187" s="68">
        <f t="shared" ca="1" si="8"/>
        <v>0.8</v>
      </c>
      <c r="L187" s="46">
        <v>33557</v>
      </c>
      <c r="M187" s="51">
        <f t="shared" ca="1" si="9"/>
        <v>34</v>
      </c>
      <c r="N187" s="21" t="s">
        <v>106</v>
      </c>
      <c r="O187" s="30"/>
      <c r="P187" s="30" t="s">
        <v>56</v>
      </c>
      <c r="Q187" s="30"/>
      <c r="R187" s="30"/>
      <c r="S187" s="21" t="s">
        <v>57</v>
      </c>
      <c r="T187" s="30" t="s">
        <v>1639</v>
      </c>
      <c r="U187" s="21">
        <v>9087580875</v>
      </c>
      <c r="V187" s="21" t="s">
        <v>1640</v>
      </c>
      <c r="W187" s="30"/>
      <c r="X187" s="65">
        <v>5610687342</v>
      </c>
      <c r="Y187" s="21" t="s">
        <v>1641</v>
      </c>
      <c r="Z187" s="47"/>
      <c r="AA187" s="21" t="s">
        <v>1642</v>
      </c>
      <c r="AB187" s="21" t="s">
        <v>1643</v>
      </c>
      <c r="AC187" s="21" t="s">
        <v>215</v>
      </c>
      <c r="AD187" s="52" t="s">
        <v>1644</v>
      </c>
      <c r="AE187" s="21" t="s">
        <v>1645</v>
      </c>
      <c r="AF187" s="52" t="str">
        <f>VLOOKUP(B187,[1]Current!$B$2:$T$44,19,0)</f>
        <v>4/303,ANNA NAGAR,KARAVALIMADAPPUR,COIMBATORE,TAMILNADU-641668</v>
      </c>
      <c r="AG187" s="38">
        <v>7060</v>
      </c>
      <c r="AH187" s="38">
        <v>7981</v>
      </c>
      <c r="AI187" s="30"/>
      <c r="AJ187" s="30"/>
      <c r="AK187" s="30"/>
      <c r="AL187" s="38">
        <v>15041</v>
      </c>
      <c r="AM187" s="38">
        <v>15000</v>
      </c>
      <c r="AN187" s="38">
        <v>1950</v>
      </c>
      <c r="AO187" s="38">
        <v>488.83249999999998</v>
      </c>
      <c r="AP187" s="38">
        <v>1253.4166666666699</v>
      </c>
      <c r="AQ187" s="30"/>
      <c r="AR187" s="30"/>
      <c r="AS187" s="40">
        <v>1203.28</v>
      </c>
      <c r="AT187" s="69">
        <f t="shared" si="10"/>
        <v>19936.529166666671</v>
      </c>
    </row>
    <row r="188" spans="1:46" s="70" customFormat="1" ht="24">
      <c r="A188" s="52">
        <f t="shared" si="11"/>
        <v>186</v>
      </c>
      <c r="B188" s="65" t="s">
        <v>1646</v>
      </c>
      <c r="C188" s="66" t="s">
        <v>1647</v>
      </c>
      <c r="D188" s="67" t="s">
        <v>50</v>
      </c>
      <c r="E188" s="30" t="s">
        <v>51</v>
      </c>
      <c r="F188" s="30"/>
      <c r="G188" s="30" t="s">
        <v>53</v>
      </c>
      <c r="H188" s="30" t="s">
        <v>54</v>
      </c>
      <c r="I188" s="30"/>
      <c r="J188" s="46">
        <v>45964</v>
      </c>
      <c r="K188" s="68">
        <f t="shared" ca="1" si="8"/>
        <v>0.79452054794520544</v>
      </c>
      <c r="L188" s="46">
        <v>39292</v>
      </c>
      <c r="M188" s="51">
        <f t="shared" ca="1" si="9"/>
        <v>19</v>
      </c>
      <c r="N188" s="21"/>
      <c r="O188" s="30"/>
      <c r="P188" s="30" t="s">
        <v>56</v>
      </c>
      <c r="Q188" s="30" t="s">
        <v>1648</v>
      </c>
      <c r="R188" s="30"/>
      <c r="S188" s="21" t="s">
        <v>86</v>
      </c>
      <c r="T188" s="30"/>
      <c r="U188" s="21">
        <v>9751244223</v>
      </c>
      <c r="V188" s="21" t="s">
        <v>1649</v>
      </c>
      <c r="W188" s="30"/>
      <c r="X188" s="65">
        <v>5611447676</v>
      </c>
      <c r="Y188" s="21" t="s">
        <v>1650</v>
      </c>
      <c r="Z188" s="47"/>
      <c r="AA188" s="21" t="s">
        <v>1651</v>
      </c>
      <c r="AB188" s="21" t="s">
        <v>1163</v>
      </c>
      <c r="AC188" s="21" t="s">
        <v>162</v>
      </c>
      <c r="AD188" s="21" t="s">
        <v>1164</v>
      </c>
      <c r="AE188" s="21"/>
      <c r="AF188" s="21"/>
      <c r="AG188" s="38">
        <v>7060</v>
      </c>
      <c r="AH188" s="38">
        <v>7981</v>
      </c>
      <c r="AI188" s="30"/>
      <c r="AJ188" s="30"/>
      <c r="AK188" s="30"/>
      <c r="AL188" s="38">
        <v>15041</v>
      </c>
      <c r="AM188" s="38">
        <v>15000</v>
      </c>
      <c r="AN188" s="38">
        <v>1950</v>
      </c>
      <c r="AO188" s="38">
        <v>488.83249999999998</v>
      </c>
      <c r="AP188" s="38">
        <v>1253.4166666666699</v>
      </c>
      <c r="AQ188" s="30"/>
      <c r="AR188" s="30"/>
      <c r="AS188" s="40">
        <v>1203.28</v>
      </c>
      <c r="AT188" s="69">
        <f t="shared" si="10"/>
        <v>19936.529166666671</v>
      </c>
    </row>
    <row r="189" spans="1:46" s="70" customFormat="1" ht="24">
      <c r="A189" s="52">
        <f t="shared" si="11"/>
        <v>187</v>
      </c>
      <c r="B189" s="65" t="s">
        <v>1652</v>
      </c>
      <c r="C189" s="66" t="s">
        <v>1653</v>
      </c>
      <c r="D189" s="67" t="s">
        <v>50</v>
      </c>
      <c r="E189" s="30" t="s">
        <v>51</v>
      </c>
      <c r="F189" s="30" t="s">
        <v>83</v>
      </c>
      <c r="G189" s="30" t="s">
        <v>53</v>
      </c>
      <c r="H189" s="30" t="s">
        <v>54</v>
      </c>
      <c r="I189" s="30"/>
      <c r="J189" s="46">
        <v>45971</v>
      </c>
      <c r="K189" s="68">
        <f t="shared" ca="1" si="8"/>
        <v>0.77534246575342469</v>
      </c>
      <c r="L189" s="46">
        <v>34470</v>
      </c>
      <c r="M189" s="51">
        <f t="shared" ca="1" si="9"/>
        <v>32</v>
      </c>
      <c r="N189" s="21" t="s">
        <v>106</v>
      </c>
      <c r="O189" s="30"/>
      <c r="P189" s="30" t="s">
        <v>56</v>
      </c>
      <c r="Q189" s="30"/>
      <c r="R189" s="30"/>
      <c r="S189" s="21" t="s">
        <v>57</v>
      </c>
      <c r="T189" s="30" t="s">
        <v>1654</v>
      </c>
      <c r="U189" s="21">
        <v>9489680178</v>
      </c>
      <c r="V189" s="21" t="s">
        <v>200</v>
      </c>
      <c r="W189" s="30"/>
      <c r="X189" s="65">
        <v>5611450926</v>
      </c>
      <c r="Y189" s="21" t="s">
        <v>201</v>
      </c>
      <c r="Z189" s="47"/>
      <c r="AA189" s="21" t="s">
        <v>202</v>
      </c>
      <c r="AB189" s="21" t="s">
        <v>99</v>
      </c>
      <c r="AC189" s="21" t="s">
        <v>100</v>
      </c>
      <c r="AD189" s="52" t="s">
        <v>101</v>
      </c>
      <c r="AE189" s="21" t="s">
        <v>203</v>
      </c>
      <c r="AF189" s="52" t="str">
        <f>VLOOKUP(B189,[1]Current!$B$2:$T$44,19,0)</f>
        <v>1/218 PATTATHARAM KOVIL STREET THENAMPALAYAM KARAVALIMADAPPUR,COIMBATORE,TAMILNADU</v>
      </c>
      <c r="AG189" s="38">
        <v>7060</v>
      </c>
      <c r="AH189" s="38">
        <v>7981</v>
      </c>
      <c r="AI189" s="30"/>
      <c r="AJ189" s="30"/>
      <c r="AK189" s="30"/>
      <c r="AL189" s="38">
        <v>15041</v>
      </c>
      <c r="AM189" s="38">
        <v>15000</v>
      </c>
      <c r="AN189" s="38">
        <v>1950</v>
      </c>
      <c r="AO189" s="38">
        <v>488.83249999999998</v>
      </c>
      <c r="AP189" s="38">
        <v>1253.4166666666699</v>
      </c>
      <c r="AQ189" s="30"/>
      <c r="AR189" s="30"/>
      <c r="AS189" s="40">
        <v>1203.28</v>
      </c>
      <c r="AT189" s="69">
        <f t="shared" si="10"/>
        <v>19936.529166666671</v>
      </c>
    </row>
    <row r="190" spans="1:46" s="70" customFormat="1" ht="24">
      <c r="A190" s="52">
        <f t="shared" si="11"/>
        <v>188</v>
      </c>
      <c r="B190" s="65" t="s">
        <v>1655</v>
      </c>
      <c r="C190" s="66" t="s">
        <v>1656</v>
      </c>
      <c r="D190" s="67" t="s">
        <v>50</v>
      </c>
      <c r="E190" s="30" t="s">
        <v>51</v>
      </c>
      <c r="F190" s="30" t="s">
        <v>351</v>
      </c>
      <c r="G190" s="30" t="s">
        <v>53</v>
      </c>
      <c r="H190" s="30" t="s">
        <v>54</v>
      </c>
      <c r="I190" s="30"/>
      <c r="J190" s="46">
        <v>45970</v>
      </c>
      <c r="K190" s="68">
        <f t="shared" ca="1" si="8"/>
        <v>0.77808219178082194</v>
      </c>
      <c r="L190" s="46">
        <v>37308</v>
      </c>
      <c r="M190" s="51">
        <f t="shared" ca="1" si="9"/>
        <v>24</v>
      </c>
      <c r="N190" s="21" t="s">
        <v>1657</v>
      </c>
      <c r="O190" s="30"/>
      <c r="P190" s="30" t="s">
        <v>56</v>
      </c>
      <c r="Q190" s="30" t="s">
        <v>1242</v>
      </c>
      <c r="R190" s="30"/>
      <c r="S190" s="21" t="s">
        <v>86</v>
      </c>
      <c r="T190" s="30"/>
      <c r="U190" s="21">
        <v>9597524125</v>
      </c>
      <c r="V190" s="21" t="s">
        <v>1658</v>
      </c>
      <c r="W190" s="30"/>
      <c r="X190" s="65">
        <v>5610011006</v>
      </c>
      <c r="Y190" s="21" t="s">
        <v>1659</v>
      </c>
      <c r="Z190" s="47"/>
      <c r="AA190" s="21" t="s">
        <v>1660</v>
      </c>
      <c r="AB190" s="21" t="s">
        <v>1661</v>
      </c>
      <c r="AC190" s="21" t="s">
        <v>1662</v>
      </c>
      <c r="AD190" s="52" t="s">
        <v>1663</v>
      </c>
      <c r="AE190" s="21" t="s">
        <v>1664</v>
      </c>
      <c r="AF190" s="52" t="str">
        <f>VLOOKUP(B190,[1]Current!$B$2:$T$44,19,0)</f>
        <v>5/114 ARASU COLONY MUTHUGOUNDANPUDUR ,SULUR,COIMBATORE,TAMILNADU</v>
      </c>
      <c r="AG190" s="38">
        <v>7060</v>
      </c>
      <c r="AH190" s="38">
        <v>7981</v>
      </c>
      <c r="AI190" s="30"/>
      <c r="AJ190" s="30"/>
      <c r="AK190" s="30"/>
      <c r="AL190" s="38">
        <v>15041</v>
      </c>
      <c r="AM190" s="38">
        <v>15000</v>
      </c>
      <c r="AN190" s="38">
        <v>1950</v>
      </c>
      <c r="AO190" s="38">
        <v>488.83249999999998</v>
      </c>
      <c r="AP190" s="38">
        <v>1253.4166666666699</v>
      </c>
      <c r="AQ190" s="30"/>
      <c r="AR190" s="30"/>
      <c r="AS190" s="40">
        <v>1203.28</v>
      </c>
      <c r="AT190" s="69">
        <f t="shared" si="10"/>
        <v>19936.529166666671</v>
      </c>
    </row>
    <row r="191" spans="1:46" s="70" customFormat="1" ht="24">
      <c r="A191" s="52">
        <f t="shared" si="11"/>
        <v>189</v>
      </c>
      <c r="B191" s="65" t="s">
        <v>1665</v>
      </c>
      <c r="C191" s="66" t="s">
        <v>1666</v>
      </c>
      <c r="D191" s="67" t="s">
        <v>50</v>
      </c>
      <c r="E191" s="30" t="s">
        <v>51</v>
      </c>
      <c r="F191" s="30"/>
      <c r="G191" s="30" t="s">
        <v>53</v>
      </c>
      <c r="H191" s="30" t="s">
        <v>54</v>
      </c>
      <c r="I191" s="30"/>
      <c r="J191" s="46">
        <v>45973</v>
      </c>
      <c r="K191" s="68">
        <f t="shared" ca="1" si="8"/>
        <v>0.76986301369863008</v>
      </c>
      <c r="L191" s="46">
        <v>32642</v>
      </c>
      <c r="M191" s="51">
        <f t="shared" ca="1" si="9"/>
        <v>37</v>
      </c>
      <c r="N191" s="21"/>
      <c r="O191" s="30"/>
      <c r="P191" s="30" t="s">
        <v>56</v>
      </c>
      <c r="Q191" s="30"/>
      <c r="R191" s="30"/>
      <c r="S191" s="21" t="s">
        <v>57</v>
      </c>
      <c r="T191" s="30" t="s">
        <v>1667</v>
      </c>
      <c r="U191" s="21">
        <v>8122390252</v>
      </c>
      <c r="V191" s="21" t="s">
        <v>1668</v>
      </c>
      <c r="W191" s="30"/>
      <c r="X191" s="65">
        <v>5703531057</v>
      </c>
      <c r="Y191" s="21" t="s">
        <v>1669</v>
      </c>
      <c r="Z191" s="47"/>
      <c r="AA191" s="21" t="s">
        <v>1670</v>
      </c>
      <c r="AB191" s="21" t="s">
        <v>1671</v>
      </c>
      <c r="AC191" s="21" t="s">
        <v>1672</v>
      </c>
      <c r="AD191" s="21"/>
      <c r="AE191" s="21"/>
      <c r="AF191" s="21"/>
      <c r="AG191" s="38">
        <v>7060</v>
      </c>
      <c r="AH191" s="38">
        <v>7981</v>
      </c>
      <c r="AI191" s="30"/>
      <c r="AJ191" s="30"/>
      <c r="AK191" s="30"/>
      <c r="AL191" s="38">
        <v>15041</v>
      </c>
      <c r="AM191" s="38">
        <v>15000</v>
      </c>
      <c r="AN191" s="38">
        <v>1950</v>
      </c>
      <c r="AO191" s="38">
        <v>488.83249999999998</v>
      </c>
      <c r="AP191" s="38">
        <v>1253.4166666666699</v>
      </c>
      <c r="AQ191" s="30"/>
      <c r="AR191" s="30"/>
      <c r="AS191" s="40">
        <v>1203.28</v>
      </c>
      <c r="AT191" s="69">
        <f t="shared" si="10"/>
        <v>19936.529166666671</v>
      </c>
    </row>
    <row r="192" spans="1:46" s="70" customFormat="1" ht="24">
      <c r="A192" s="52">
        <f t="shared" si="11"/>
        <v>190</v>
      </c>
      <c r="B192" s="65" t="s">
        <v>1673</v>
      </c>
      <c r="C192" s="66" t="s">
        <v>1674</v>
      </c>
      <c r="D192" s="67" t="s">
        <v>50</v>
      </c>
      <c r="E192" s="30" t="s">
        <v>51</v>
      </c>
      <c r="F192" s="30"/>
      <c r="G192" s="30" t="s">
        <v>53</v>
      </c>
      <c r="H192" s="30" t="s">
        <v>54</v>
      </c>
      <c r="I192" s="30"/>
      <c r="J192" s="46">
        <v>45973</v>
      </c>
      <c r="K192" s="68">
        <f t="shared" ca="1" si="8"/>
        <v>0.76986301369863008</v>
      </c>
      <c r="L192" s="46">
        <v>38554</v>
      </c>
      <c r="M192" s="51">
        <f t="shared" ca="1" si="9"/>
        <v>21</v>
      </c>
      <c r="N192" s="21"/>
      <c r="O192" s="30"/>
      <c r="P192" s="30" t="s">
        <v>56</v>
      </c>
      <c r="Q192" s="30" t="s">
        <v>1675</v>
      </c>
      <c r="R192" s="30"/>
      <c r="S192" s="21" t="s">
        <v>86</v>
      </c>
      <c r="T192" s="30"/>
      <c r="U192" s="21">
        <v>7639260857</v>
      </c>
      <c r="V192" s="21" t="s">
        <v>1676</v>
      </c>
      <c r="W192" s="34"/>
      <c r="X192" s="65">
        <v>5611450865</v>
      </c>
      <c r="Y192" s="21" t="s">
        <v>1677</v>
      </c>
      <c r="Z192" s="47"/>
      <c r="AA192" s="21" t="s">
        <v>1678</v>
      </c>
      <c r="AB192" s="21" t="s">
        <v>1679</v>
      </c>
      <c r="AC192" s="21" t="s">
        <v>215</v>
      </c>
      <c r="AD192" s="21" t="s">
        <v>1680</v>
      </c>
      <c r="AE192" s="21"/>
      <c r="AF192" s="21"/>
      <c r="AG192" s="38">
        <v>7060</v>
      </c>
      <c r="AH192" s="38">
        <v>7981</v>
      </c>
      <c r="AI192" s="30"/>
      <c r="AJ192" s="30"/>
      <c r="AK192" s="30"/>
      <c r="AL192" s="38">
        <v>15041</v>
      </c>
      <c r="AM192" s="38">
        <v>15000</v>
      </c>
      <c r="AN192" s="38">
        <v>1950</v>
      </c>
      <c r="AO192" s="38">
        <v>488.83249999999998</v>
      </c>
      <c r="AP192" s="38">
        <v>1253.4166666666699</v>
      </c>
      <c r="AQ192" s="30"/>
      <c r="AR192" s="30"/>
      <c r="AS192" s="40">
        <v>1203.28</v>
      </c>
      <c r="AT192" s="69">
        <f t="shared" si="10"/>
        <v>19936.529166666671</v>
      </c>
    </row>
    <row r="193" spans="1:48" s="70" customFormat="1" ht="24">
      <c r="A193" s="52">
        <f t="shared" si="11"/>
        <v>191</v>
      </c>
      <c r="B193" s="65" t="s">
        <v>1681</v>
      </c>
      <c r="C193" s="66" t="s">
        <v>1682</v>
      </c>
      <c r="D193" s="67" t="s">
        <v>50</v>
      </c>
      <c r="E193" s="30" t="s">
        <v>51</v>
      </c>
      <c r="F193" s="30"/>
      <c r="G193" s="30" t="s">
        <v>53</v>
      </c>
      <c r="H193" s="30" t="s">
        <v>54</v>
      </c>
      <c r="I193" s="30"/>
      <c r="J193" s="46">
        <v>45972</v>
      </c>
      <c r="K193" s="68">
        <f t="shared" ca="1" si="8"/>
        <v>0.77260273972602744</v>
      </c>
      <c r="L193" s="46">
        <v>31167</v>
      </c>
      <c r="M193" s="51">
        <f t="shared" ca="1" si="9"/>
        <v>41</v>
      </c>
      <c r="N193" s="21"/>
      <c r="O193" s="30"/>
      <c r="P193" s="30" t="s">
        <v>56</v>
      </c>
      <c r="Q193" s="30"/>
      <c r="R193" s="30"/>
      <c r="S193" s="21" t="s">
        <v>57</v>
      </c>
      <c r="T193" s="30" t="s">
        <v>1683</v>
      </c>
      <c r="U193" s="21">
        <v>8098953812</v>
      </c>
      <c r="V193" s="21" t="s">
        <v>1684</v>
      </c>
      <c r="W193" s="34"/>
      <c r="X193" s="65">
        <v>5611447745</v>
      </c>
      <c r="Y193" s="21" t="s">
        <v>1685</v>
      </c>
      <c r="Z193" s="47"/>
      <c r="AA193" s="21" t="s">
        <v>1686</v>
      </c>
      <c r="AB193" s="21" t="s">
        <v>1687</v>
      </c>
      <c r="AC193" s="21" t="s">
        <v>1323</v>
      </c>
      <c r="AD193" s="21" t="s">
        <v>1688</v>
      </c>
      <c r="AE193" s="21"/>
      <c r="AF193" s="21"/>
      <c r="AG193" s="38">
        <v>7060</v>
      </c>
      <c r="AH193" s="38">
        <v>7981</v>
      </c>
      <c r="AI193" s="30"/>
      <c r="AJ193" s="30"/>
      <c r="AK193" s="30"/>
      <c r="AL193" s="38">
        <v>15041</v>
      </c>
      <c r="AM193" s="38">
        <v>15000</v>
      </c>
      <c r="AN193" s="38">
        <v>1950</v>
      </c>
      <c r="AO193" s="38">
        <v>488.83249999999998</v>
      </c>
      <c r="AP193" s="38">
        <v>1253.4166666666699</v>
      </c>
      <c r="AQ193" s="30"/>
      <c r="AR193" s="30"/>
      <c r="AS193" s="40">
        <v>1203.28</v>
      </c>
      <c r="AT193" s="69">
        <f t="shared" si="10"/>
        <v>19936.529166666671</v>
      </c>
    </row>
    <row r="194" spans="1:48" s="118" customFormat="1" ht="24">
      <c r="A194" s="104">
        <f t="shared" si="11"/>
        <v>192</v>
      </c>
      <c r="B194" s="105" t="s">
        <v>1689</v>
      </c>
      <c r="C194" s="106" t="s">
        <v>1690</v>
      </c>
      <c r="D194" s="107" t="s">
        <v>363</v>
      </c>
      <c r="E194" s="108" t="s">
        <v>51</v>
      </c>
      <c r="F194" s="108" t="s">
        <v>83</v>
      </c>
      <c r="G194" s="108" t="s">
        <v>53</v>
      </c>
      <c r="H194" s="108" t="s">
        <v>54</v>
      </c>
      <c r="I194" s="108"/>
      <c r="J194" s="109">
        <v>45919</v>
      </c>
      <c r="K194" s="110">
        <f t="shared" ca="1" si="8"/>
        <v>0.9178082191780822</v>
      </c>
      <c r="L194" s="109">
        <v>32890</v>
      </c>
      <c r="M194" s="111">
        <f t="shared" ca="1" si="9"/>
        <v>36</v>
      </c>
      <c r="N194" s="112"/>
      <c r="O194" s="108"/>
      <c r="P194" s="108" t="s">
        <v>56</v>
      </c>
      <c r="Q194" s="108"/>
      <c r="R194" s="108"/>
      <c r="S194" s="112" t="s">
        <v>57</v>
      </c>
      <c r="T194" s="108" t="s">
        <v>1691</v>
      </c>
      <c r="U194" s="112">
        <v>8148865845</v>
      </c>
      <c r="V194" s="112" t="s">
        <v>1692</v>
      </c>
      <c r="W194" s="113"/>
      <c r="X194" s="105">
        <v>5611158636</v>
      </c>
      <c r="Y194" s="112" t="s">
        <v>1693</v>
      </c>
      <c r="Z194" s="114"/>
      <c r="AA194" s="112" t="s">
        <v>1694</v>
      </c>
      <c r="AB194" s="112" t="s">
        <v>1695</v>
      </c>
      <c r="AC194" s="112" t="s">
        <v>1323</v>
      </c>
      <c r="AD194" s="104" t="s">
        <v>1696</v>
      </c>
      <c r="AE194" s="112" t="s">
        <v>1697</v>
      </c>
      <c r="AF194" s="104" t="str">
        <f>VLOOKUP(B194,[1]Current!$B$2:$T$44,19,0)</f>
        <v>MUTHUGOUNDANPUDUR, NEAR LNW, MAARIAMMANKOVIL STREET, VADAKKUVEDI, SULUR, COIMBATORE</v>
      </c>
      <c r="AG194" s="115">
        <v>7060</v>
      </c>
      <c r="AH194" s="115">
        <v>7981</v>
      </c>
      <c r="AI194" s="108"/>
      <c r="AJ194" s="108"/>
      <c r="AK194" s="108"/>
      <c r="AL194" s="115">
        <v>15041</v>
      </c>
      <c r="AM194" s="115">
        <v>15000</v>
      </c>
      <c r="AN194" s="115">
        <v>1950</v>
      </c>
      <c r="AO194" s="115">
        <v>488.83249999999998</v>
      </c>
      <c r="AP194" s="115">
        <v>1253.4166666666699</v>
      </c>
      <c r="AQ194" s="108"/>
      <c r="AR194" s="108"/>
      <c r="AS194" s="116">
        <v>1203.28</v>
      </c>
      <c r="AT194" s="117">
        <f t="shared" si="10"/>
        <v>19936.529166666671</v>
      </c>
    </row>
    <row r="195" spans="1:48" s="70" customFormat="1" ht="24">
      <c r="A195" s="52">
        <f t="shared" si="11"/>
        <v>193</v>
      </c>
      <c r="B195" s="65" t="s">
        <v>1698</v>
      </c>
      <c r="C195" s="66" t="s">
        <v>178</v>
      </c>
      <c r="D195" s="67" t="s">
        <v>363</v>
      </c>
      <c r="E195" s="30" t="s">
        <v>51</v>
      </c>
      <c r="F195" s="30" t="s">
        <v>69</v>
      </c>
      <c r="G195" s="30" t="s">
        <v>53</v>
      </c>
      <c r="H195" s="30" t="s">
        <v>54</v>
      </c>
      <c r="I195" s="30"/>
      <c r="J195" s="46">
        <v>45919</v>
      </c>
      <c r="K195" s="68">
        <f t="shared" ref="K195:K217" ca="1" si="12">(TODAY()-J195)/365</f>
        <v>0.9178082191780822</v>
      </c>
      <c r="L195" s="46">
        <v>34416</v>
      </c>
      <c r="M195" s="51">
        <f t="shared" ref="M195:M217" ca="1" si="13">DATEDIF(L195,TODAY(),"y")</f>
        <v>32</v>
      </c>
      <c r="N195" s="21"/>
      <c r="O195" s="30"/>
      <c r="P195" s="30" t="s">
        <v>56</v>
      </c>
      <c r="Q195" s="30"/>
      <c r="R195" s="30"/>
      <c r="S195" s="21" t="s">
        <v>57</v>
      </c>
      <c r="T195" s="30" t="s">
        <v>1699</v>
      </c>
      <c r="U195" s="21"/>
      <c r="V195" s="21" t="s">
        <v>182</v>
      </c>
      <c r="W195" s="34"/>
      <c r="X195" s="65">
        <v>5606123921</v>
      </c>
      <c r="Y195" s="21" t="s">
        <v>183</v>
      </c>
      <c r="Z195" s="47"/>
      <c r="AA195" s="21" t="s">
        <v>184</v>
      </c>
      <c r="AB195" s="21" t="s">
        <v>124</v>
      </c>
      <c r="AC195" s="21" t="s">
        <v>100</v>
      </c>
      <c r="AD195" s="52" t="s">
        <v>125</v>
      </c>
      <c r="AE195" s="21" t="s">
        <v>1700</v>
      </c>
      <c r="AF195" s="52" t="str">
        <f>VLOOKUP(B195,[1]Current!$B$2:$T$44,19,0)</f>
        <v>3/90, EAST STREET, SULUR, RASIPALAYAM, COIMABTORE - 641402</v>
      </c>
      <c r="AG195" s="38">
        <v>7060</v>
      </c>
      <c r="AH195" s="38">
        <v>7981</v>
      </c>
      <c r="AI195" s="30"/>
      <c r="AJ195" s="30"/>
      <c r="AK195" s="30"/>
      <c r="AL195" s="38">
        <v>15041</v>
      </c>
      <c r="AM195" s="38">
        <v>15000</v>
      </c>
      <c r="AN195" s="38">
        <v>1950</v>
      </c>
      <c r="AO195" s="38">
        <v>488.83249999999998</v>
      </c>
      <c r="AP195" s="38">
        <v>1253.4166666666699</v>
      </c>
      <c r="AQ195" s="30"/>
      <c r="AR195" s="30"/>
      <c r="AS195" s="40">
        <v>1203.28</v>
      </c>
      <c r="AT195" s="69">
        <f t="shared" ref="AT195:AT217" si="14">AL195+AN195+AO195+AP195+AR195+AS195</f>
        <v>19936.529166666671</v>
      </c>
    </row>
    <row r="196" spans="1:48" s="70" customFormat="1" ht="24">
      <c r="A196" s="52">
        <f t="shared" ref="A196:A221" si="15">A195+1</f>
        <v>194</v>
      </c>
      <c r="B196" s="65" t="s">
        <v>1701</v>
      </c>
      <c r="C196" s="66" t="s">
        <v>1702</v>
      </c>
      <c r="D196" s="67" t="s">
        <v>82</v>
      </c>
      <c r="E196" s="30" t="s">
        <v>51</v>
      </c>
      <c r="F196" s="30" t="s">
        <v>136</v>
      </c>
      <c r="G196" s="30" t="s">
        <v>53</v>
      </c>
      <c r="H196" s="30" t="s">
        <v>54</v>
      </c>
      <c r="I196" s="30"/>
      <c r="J196" s="46">
        <v>45919</v>
      </c>
      <c r="K196" s="68">
        <f t="shared" ca="1" si="12"/>
        <v>0.9178082191780822</v>
      </c>
      <c r="L196" s="46">
        <v>37453</v>
      </c>
      <c r="M196" s="51">
        <f t="shared" ca="1" si="13"/>
        <v>24</v>
      </c>
      <c r="N196" s="21"/>
      <c r="O196" s="30"/>
      <c r="P196" s="30" t="s">
        <v>56</v>
      </c>
      <c r="Q196" s="30"/>
      <c r="R196" s="30"/>
      <c r="S196" s="21" t="s">
        <v>57</v>
      </c>
      <c r="T196" s="30" t="s">
        <v>1703</v>
      </c>
      <c r="U196" s="21">
        <v>7904899648</v>
      </c>
      <c r="V196" s="21" t="s">
        <v>1704</v>
      </c>
      <c r="W196" s="34"/>
      <c r="X196" s="65">
        <v>5611397557</v>
      </c>
      <c r="Y196" s="21" t="s">
        <v>1705</v>
      </c>
      <c r="Z196" s="47"/>
      <c r="AA196" s="21" t="s">
        <v>1706</v>
      </c>
      <c r="AB196" s="21" t="s">
        <v>1707</v>
      </c>
      <c r="AC196" s="21" t="s">
        <v>1708</v>
      </c>
      <c r="AD196" s="52" t="s">
        <v>1709</v>
      </c>
      <c r="AE196" s="21" t="s">
        <v>1710</v>
      </c>
      <c r="AF196" s="52" t="str">
        <f>VLOOKUP(B196,[1]Current!$B$2:$T$44,19,0)</f>
        <v>PETROL BUNK BACKSIDE, VINYAGAR KOVIL VEEDI, SULUR MAIN ROAD, SULUR, COIMBATORE</v>
      </c>
      <c r="AG196" s="38">
        <v>7060</v>
      </c>
      <c r="AH196" s="38">
        <v>7981</v>
      </c>
      <c r="AI196" s="30"/>
      <c r="AJ196" s="30"/>
      <c r="AK196" s="30"/>
      <c r="AL196" s="38">
        <v>15041</v>
      </c>
      <c r="AM196" s="38">
        <v>15000</v>
      </c>
      <c r="AN196" s="38">
        <v>1950</v>
      </c>
      <c r="AO196" s="38">
        <v>488.83249999999998</v>
      </c>
      <c r="AP196" s="38">
        <v>1253.4166666666699</v>
      </c>
      <c r="AQ196" s="30"/>
      <c r="AR196" s="30"/>
      <c r="AS196" s="40">
        <v>1203.28</v>
      </c>
      <c r="AT196" s="69">
        <f t="shared" si="14"/>
        <v>19936.529166666671</v>
      </c>
    </row>
    <row r="197" spans="1:48" s="70" customFormat="1" ht="24">
      <c r="A197" s="52">
        <f t="shared" si="15"/>
        <v>195</v>
      </c>
      <c r="B197" s="65" t="s">
        <v>1711</v>
      </c>
      <c r="C197" s="66" t="s">
        <v>1712</v>
      </c>
      <c r="D197" s="67" t="s">
        <v>82</v>
      </c>
      <c r="E197" s="30" t="s">
        <v>51</v>
      </c>
      <c r="F197" s="30" t="s">
        <v>69</v>
      </c>
      <c r="G197" s="30" t="s">
        <v>53</v>
      </c>
      <c r="H197" s="30" t="s">
        <v>54</v>
      </c>
      <c r="I197" s="30"/>
      <c r="J197" s="46">
        <v>45922</v>
      </c>
      <c r="K197" s="68">
        <f t="shared" ca="1" si="12"/>
        <v>0.90958904109589045</v>
      </c>
      <c r="L197" s="46">
        <v>28888</v>
      </c>
      <c r="M197" s="51">
        <f t="shared" ca="1" si="13"/>
        <v>47</v>
      </c>
      <c r="N197" s="21"/>
      <c r="O197" s="30"/>
      <c r="P197" s="30" t="s">
        <v>56</v>
      </c>
      <c r="Q197" s="30"/>
      <c r="R197" s="30"/>
      <c r="S197" s="21" t="s">
        <v>57</v>
      </c>
      <c r="T197" s="30" t="s">
        <v>1713</v>
      </c>
      <c r="U197" s="21">
        <v>9750445822</v>
      </c>
      <c r="V197" s="21" t="s">
        <v>1714</v>
      </c>
      <c r="W197" s="34"/>
      <c r="X197" s="65">
        <v>5611316326</v>
      </c>
      <c r="Y197" s="21" t="s">
        <v>1715</v>
      </c>
      <c r="Z197" s="47"/>
      <c r="AA197" s="21" t="s">
        <v>1716</v>
      </c>
      <c r="AB197" s="21" t="s">
        <v>1717</v>
      </c>
      <c r="AC197" s="21" t="s">
        <v>1323</v>
      </c>
      <c r="AD197" s="52" t="s">
        <v>136</v>
      </c>
      <c r="AE197" s="21" t="s">
        <v>1718</v>
      </c>
      <c r="AF197" s="52" t="str">
        <f>VLOOKUP(B197,[1]Current!$B$2:$T$44,19,0)</f>
        <v>2/89, RASIPALAYAM, SULUR, COIMBATORE, TAMILNADU - 641402</v>
      </c>
      <c r="AG197" s="38">
        <v>7060</v>
      </c>
      <c r="AH197" s="38">
        <v>7981</v>
      </c>
      <c r="AI197" s="30"/>
      <c r="AJ197" s="30"/>
      <c r="AK197" s="30"/>
      <c r="AL197" s="38">
        <v>15041</v>
      </c>
      <c r="AM197" s="38">
        <v>15000</v>
      </c>
      <c r="AN197" s="38">
        <v>1950</v>
      </c>
      <c r="AO197" s="38">
        <v>488.83249999999998</v>
      </c>
      <c r="AP197" s="38">
        <v>1253.4166666666699</v>
      </c>
      <c r="AQ197" s="30"/>
      <c r="AR197" s="30"/>
      <c r="AS197" s="40">
        <v>1203.28</v>
      </c>
      <c r="AT197" s="69">
        <f t="shared" si="14"/>
        <v>19936.529166666671</v>
      </c>
    </row>
    <row r="198" spans="1:48" s="1" customFormat="1" ht="24">
      <c r="A198" s="52">
        <f t="shared" si="15"/>
        <v>196</v>
      </c>
      <c r="B198" s="65" t="s">
        <v>1719</v>
      </c>
      <c r="C198" s="66" t="s">
        <v>340</v>
      </c>
      <c r="D198" s="67" t="s">
        <v>50</v>
      </c>
      <c r="E198" s="30" t="s">
        <v>51</v>
      </c>
      <c r="F198" s="30" t="s">
        <v>69</v>
      </c>
      <c r="G198" s="30" t="s">
        <v>53</v>
      </c>
      <c r="H198" s="30" t="s">
        <v>54</v>
      </c>
      <c r="I198" s="30"/>
      <c r="J198" s="46">
        <v>45962</v>
      </c>
      <c r="K198" s="68">
        <f t="shared" ca="1" si="12"/>
        <v>0.8</v>
      </c>
      <c r="L198" s="46">
        <v>33586</v>
      </c>
      <c r="M198" s="51">
        <f t="shared" ca="1" si="13"/>
        <v>34</v>
      </c>
      <c r="N198" s="21"/>
      <c r="O198" s="30"/>
      <c r="P198" s="30" t="s">
        <v>56</v>
      </c>
      <c r="Q198" s="30"/>
      <c r="R198" s="30"/>
      <c r="S198" s="21" t="s">
        <v>57</v>
      </c>
      <c r="T198" s="30" t="s">
        <v>342</v>
      </c>
      <c r="U198" s="21">
        <v>9791801412</v>
      </c>
      <c r="V198" s="21" t="s">
        <v>345</v>
      </c>
      <c r="W198" s="34"/>
      <c r="X198" s="65">
        <v>5609171391</v>
      </c>
      <c r="Y198" s="21" t="s">
        <v>346</v>
      </c>
      <c r="Z198" s="47"/>
      <c r="AA198" s="21" t="s">
        <v>347</v>
      </c>
      <c r="AB198" s="21" t="s">
        <v>1720</v>
      </c>
      <c r="AC198" s="21" t="s">
        <v>112</v>
      </c>
      <c r="AD198" s="52" t="s">
        <v>113</v>
      </c>
      <c r="AE198" s="21" t="s">
        <v>348</v>
      </c>
      <c r="AF198" s="52" t="str">
        <f>VLOOKUP(B198,[1]Current!$B$2:$T$44,19,0)</f>
        <v>3/126 SOUTH STREET RASIPALAYAM SULUR COIMBATORE,TAMILNADU</v>
      </c>
      <c r="AG198" s="38">
        <v>7060</v>
      </c>
      <c r="AH198" s="38">
        <v>7981</v>
      </c>
      <c r="AI198" s="30"/>
      <c r="AJ198" s="30"/>
      <c r="AK198" s="30"/>
      <c r="AL198" s="38">
        <v>15041</v>
      </c>
      <c r="AM198" s="38">
        <v>15000</v>
      </c>
      <c r="AN198" s="38">
        <v>1950</v>
      </c>
      <c r="AO198" s="38">
        <v>488.83249999999998</v>
      </c>
      <c r="AP198" s="38">
        <v>1253.4166666666699</v>
      </c>
      <c r="AQ198" s="30"/>
      <c r="AR198" s="30"/>
      <c r="AS198" s="40">
        <v>1203.28</v>
      </c>
      <c r="AT198" s="69">
        <f t="shared" si="14"/>
        <v>19936.529166666671</v>
      </c>
      <c r="AU198" s="70"/>
      <c r="AV198" s="70"/>
    </row>
    <row r="199" spans="1:48" ht="12.75" customHeight="1">
      <c r="A199" s="20">
        <f t="shared" si="15"/>
        <v>197</v>
      </c>
      <c r="B199" s="65" t="s">
        <v>1721</v>
      </c>
      <c r="C199" s="22" t="s">
        <v>1222</v>
      </c>
      <c r="D199" s="20" t="s">
        <v>50</v>
      </c>
      <c r="E199" s="30" t="s">
        <v>51</v>
      </c>
      <c r="F199" s="23"/>
      <c r="G199" s="24" t="s">
        <v>53</v>
      </c>
      <c r="H199" s="30" t="s">
        <v>54</v>
      </c>
      <c r="I199" s="23"/>
      <c r="J199" s="27">
        <v>45863</v>
      </c>
      <c r="K199" s="26">
        <f t="shared" ca="1" si="12"/>
        <v>1.0712328767123287</v>
      </c>
      <c r="L199" s="72">
        <v>36595</v>
      </c>
      <c r="M199" s="28">
        <f t="shared" ca="1" si="13"/>
        <v>26</v>
      </c>
      <c r="N199" s="65" t="s">
        <v>119</v>
      </c>
      <c r="O199" s="20"/>
      <c r="P199" s="30" t="s">
        <v>56</v>
      </c>
      <c r="Q199" s="24" t="s">
        <v>1223</v>
      </c>
      <c r="R199" s="24"/>
      <c r="S199" s="21" t="s">
        <v>256</v>
      </c>
      <c r="T199" s="30"/>
      <c r="U199" s="65">
        <v>7609078766</v>
      </c>
      <c r="V199" s="21" t="s">
        <v>1224</v>
      </c>
      <c r="W199" s="32"/>
      <c r="X199" s="31">
        <v>5610722477</v>
      </c>
      <c r="Y199" s="73" t="s">
        <v>1225</v>
      </c>
      <c r="Z199" s="32"/>
      <c r="AA199" s="65" t="s">
        <v>1226</v>
      </c>
      <c r="AB199" s="65" t="s">
        <v>1227</v>
      </c>
      <c r="AC199" s="65" t="s">
        <v>162</v>
      </c>
      <c r="AD199" s="65" t="s">
        <v>1228</v>
      </c>
      <c r="AE199" s="21"/>
      <c r="AF199" s="21" t="str">
        <f>VLOOKUP(B199,[1]Current!$B$2:$T$44,19,0)</f>
        <v>97,ORAMAPASDA,KALIMANDIR,JHARSUGUDA,ODISHA-768202</v>
      </c>
      <c r="AG199" s="38">
        <v>7060</v>
      </c>
      <c r="AH199" s="38">
        <v>7981</v>
      </c>
      <c r="AI199" s="38"/>
      <c r="AJ199" s="38"/>
      <c r="AK199" s="38"/>
      <c r="AL199" s="38">
        <v>15041</v>
      </c>
      <c r="AM199" s="38">
        <v>15000</v>
      </c>
      <c r="AN199" s="38">
        <v>1950</v>
      </c>
      <c r="AO199" s="38">
        <v>488.83249999999998</v>
      </c>
      <c r="AP199" s="38">
        <v>1253.4166666666699</v>
      </c>
      <c r="AQ199" s="38"/>
      <c r="AR199" s="39"/>
      <c r="AS199" s="40">
        <v>1203.28</v>
      </c>
      <c r="AT199" s="69">
        <f t="shared" si="14"/>
        <v>19936.529166666671</v>
      </c>
      <c r="AU199" s="1"/>
      <c r="AV199" s="41"/>
    </row>
    <row r="200" spans="1:48" ht="12.75">
      <c r="A200" s="52">
        <f t="shared" si="15"/>
        <v>198</v>
      </c>
      <c r="B200" s="28" t="s">
        <v>1722</v>
      </c>
      <c r="C200" s="20" t="s">
        <v>1723</v>
      </c>
      <c r="D200" s="20" t="s">
        <v>50</v>
      </c>
      <c r="E200" s="23" t="s">
        <v>51</v>
      </c>
      <c r="F200" s="23" t="s">
        <v>105</v>
      </c>
      <c r="G200" s="24" t="s">
        <v>53</v>
      </c>
      <c r="H200" s="30" t="s">
        <v>54</v>
      </c>
      <c r="I200" s="23"/>
      <c r="J200" s="27">
        <v>46072</v>
      </c>
      <c r="K200" s="26">
        <f t="shared" ca="1" si="12"/>
        <v>0.49863013698630138</v>
      </c>
      <c r="L200" s="27">
        <v>31126</v>
      </c>
      <c r="M200" s="28">
        <f t="shared" ca="1" si="13"/>
        <v>41</v>
      </c>
      <c r="N200" s="23"/>
      <c r="O200" s="20"/>
      <c r="P200" s="20" t="s">
        <v>56</v>
      </c>
      <c r="Q200" s="24"/>
      <c r="R200" s="24"/>
      <c r="S200" s="20" t="s">
        <v>94</v>
      </c>
      <c r="T200" s="20" t="s">
        <v>1724</v>
      </c>
      <c r="U200" s="34">
        <v>9715784733</v>
      </c>
      <c r="V200" s="34" t="s">
        <v>1725</v>
      </c>
      <c r="W200" s="34"/>
      <c r="X200" s="34">
        <v>5611313250</v>
      </c>
      <c r="Y200" s="34" t="s">
        <v>1726</v>
      </c>
      <c r="Z200" s="34"/>
      <c r="AA200" s="34" t="s">
        <v>1727</v>
      </c>
      <c r="AB200" s="30" t="s">
        <v>99</v>
      </c>
      <c r="AC200" s="30" t="s">
        <v>461</v>
      </c>
      <c r="AD200" s="30" t="s">
        <v>695</v>
      </c>
      <c r="AE200" s="20" t="s">
        <v>1728</v>
      </c>
      <c r="AF200" s="20" t="s">
        <v>1728</v>
      </c>
      <c r="AG200" s="37">
        <v>7060</v>
      </c>
      <c r="AH200" s="38">
        <v>7981</v>
      </c>
      <c r="AI200" s="38"/>
      <c r="AJ200" s="38"/>
      <c r="AK200" s="38"/>
      <c r="AL200" s="38">
        <v>15041</v>
      </c>
      <c r="AM200" s="38">
        <v>15000</v>
      </c>
      <c r="AN200" s="38">
        <f>AM200*13%</f>
        <v>1950</v>
      </c>
      <c r="AO200" s="38">
        <f>AL200*3.25%</f>
        <v>488.83250000000004</v>
      </c>
      <c r="AP200" s="38">
        <f>AL200/12</f>
        <v>1253.4166666666667</v>
      </c>
      <c r="AQ200" s="38"/>
      <c r="AR200" s="39"/>
      <c r="AS200" s="40">
        <f>AL200*8%</f>
        <v>1203.28</v>
      </c>
      <c r="AT200" s="38">
        <f t="shared" si="14"/>
        <v>19936.529166666667</v>
      </c>
    </row>
    <row r="201" spans="1:48" ht="12.75">
      <c r="A201" s="52">
        <f t="shared" si="15"/>
        <v>199</v>
      </c>
      <c r="B201" s="28" t="s">
        <v>1729</v>
      </c>
      <c r="C201" s="20" t="s">
        <v>265</v>
      </c>
      <c r="D201" s="20" t="s">
        <v>50</v>
      </c>
      <c r="E201" s="23" t="s">
        <v>51</v>
      </c>
      <c r="F201" s="23" t="s">
        <v>69</v>
      </c>
      <c r="G201" s="24" t="s">
        <v>53</v>
      </c>
      <c r="H201" s="30" t="s">
        <v>54</v>
      </c>
      <c r="I201" s="23"/>
      <c r="J201" s="27">
        <v>46071</v>
      </c>
      <c r="K201" s="26">
        <f t="shared" ca="1" si="12"/>
        <v>0.50136986301369868</v>
      </c>
      <c r="L201" s="27">
        <v>29416</v>
      </c>
      <c r="M201" s="28">
        <f t="shared" ca="1" si="13"/>
        <v>46</v>
      </c>
      <c r="N201" s="23" t="s">
        <v>119</v>
      </c>
      <c r="O201" s="20"/>
      <c r="P201" s="20" t="s">
        <v>56</v>
      </c>
      <c r="Q201" s="20"/>
      <c r="R201" s="24"/>
      <c r="S201" s="20" t="s">
        <v>57</v>
      </c>
      <c r="T201" s="20" t="s">
        <v>266</v>
      </c>
      <c r="U201" s="34">
        <v>8675968187</v>
      </c>
      <c r="V201" s="34" t="s">
        <v>267</v>
      </c>
      <c r="W201" s="34"/>
      <c r="X201" s="34">
        <v>5610958693</v>
      </c>
      <c r="Y201" s="34" t="s">
        <v>268</v>
      </c>
      <c r="Z201" s="34"/>
      <c r="AA201" s="34" t="s">
        <v>269</v>
      </c>
      <c r="AB201" s="30" t="s">
        <v>270</v>
      </c>
      <c r="AC201" s="30" t="s">
        <v>100</v>
      </c>
      <c r="AD201" s="30" t="s">
        <v>271</v>
      </c>
      <c r="AE201" s="20" t="s">
        <v>272</v>
      </c>
      <c r="AF201" s="20" t="s">
        <v>272</v>
      </c>
      <c r="AG201" s="37">
        <v>7060</v>
      </c>
      <c r="AH201" s="38">
        <v>7981</v>
      </c>
      <c r="AI201" s="38"/>
      <c r="AJ201" s="38"/>
      <c r="AK201" s="38"/>
      <c r="AL201" s="38">
        <v>15041</v>
      </c>
      <c r="AM201" s="38">
        <v>15000</v>
      </c>
      <c r="AN201" s="38">
        <f>AM201*13%</f>
        <v>1950</v>
      </c>
      <c r="AO201" s="38">
        <f>AL201*3.25%</f>
        <v>488.83250000000004</v>
      </c>
      <c r="AP201" s="38">
        <f>AL201/12</f>
        <v>1253.4166666666667</v>
      </c>
      <c r="AQ201" s="38"/>
      <c r="AR201" s="39"/>
      <c r="AS201" s="40">
        <f>AL201*8%</f>
        <v>1203.28</v>
      </c>
      <c r="AT201" s="38">
        <f t="shared" si="14"/>
        <v>19936.529166666667</v>
      </c>
    </row>
    <row r="202" spans="1:48" s="1" customFormat="1" ht="24">
      <c r="A202" s="52">
        <f t="shared" si="15"/>
        <v>200</v>
      </c>
      <c r="B202" s="28" t="s">
        <v>1730</v>
      </c>
      <c r="C202" s="20" t="s">
        <v>274</v>
      </c>
      <c r="D202" s="20" t="s">
        <v>50</v>
      </c>
      <c r="E202" s="23" t="s">
        <v>51</v>
      </c>
      <c r="F202" s="23" t="s">
        <v>69</v>
      </c>
      <c r="G202" s="24" t="s">
        <v>53</v>
      </c>
      <c r="H202" s="30" t="s">
        <v>54</v>
      </c>
      <c r="I202" s="23"/>
      <c r="J202" s="27">
        <v>46071</v>
      </c>
      <c r="K202" s="26">
        <f t="shared" ca="1" si="12"/>
        <v>0.50136986301369868</v>
      </c>
      <c r="L202" s="27">
        <v>29957</v>
      </c>
      <c r="M202" s="28">
        <f t="shared" ca="1" si="13"/>
        <v>44</v>
      </c>
      <c r="N202" s="23"/>
      <c r="O202" s="20"/>
      <c r="P202" s="20" t="s">
        <v>56</v>
      </c>
      <c r="Q202" s="20"/>
      <c r="R202" s="24" t="s">
        <v>275</v>
      </c>
      <c r="S202" s="20" t="s">
        <v>57</v>
      </c>
      <c r="T202" s="20" t="s">
        <v>276</v>
      </c>
      <c r="U202" s="34">
        <v>7708255358</v>
      </c>
      <c r="V202" s="34" t="s">
        <v>277</v>
      </c>
      <c r="W202" s="34"/>
      <c r="X202" s="34">
        <v>5611366551</v>
      </c>
      <c r="Y202" s="34" t="s">
        <v>278</v>
      </c>
      <c r="Z202" s="34"/>
      <c r="AA202" s="34" t="s">
        <v>279</v>
      </c>
      <c r="AB202" s="30" t="s">
        <v>280</v>
      </c>
      <c r="AC202" s="30" t="s">
        <v>281</v>
      </c>
      <c r="AD202" s="30" t="s">
        <v>282</v>
      </c>
      <c r="AE202" s="20" t="s">
        <v>283</v>
      </c>
      <c r="AF202" s="20" t="s">
        <v>283</v>
      </c>
      <c r="AG202" s="37">
        <v>7060</v>
      </c>
      <c r="AH202" s="38">
        <v>7981</v>
      </c>
      <c r="AI202" s="38"/>
      <c r="AJ202" s="38"/>
      <c r="AK202" s="38"/>
      <c r="AL202" s="38">
        <v>15041</v>
      </c>
      <c r="AM202" s="38">
        <v>15000</v>
      </c>
      <c r="AN202" s="38">
        <f>AM202*13%</f>
        <v>1950</v>
      </c>
      <c r="AO202" s="38">
        <f>AL202*3.25%</f>
        <v>488.83250000000004</v>
      </c>
      <c r="AP202" s="38">
        <f>AL202/12</f>
        <v>1253.4166666666667</v>
      </c>
      <c r="AQ202" s="38"/>
      <c r="AR202" s="39"/>
      <c r="AS202" s="40">
        <f>AL202*8%</f>
        <v>1203.28</v>
      </c>
      <c r="AT202" s="38">
        <f t="shared" si="14"/>
        <v>19936.529166666667</v>
      </c>
      <c r="AU202" s="56"/>
      <c r="AV202" s="56"/>
    </row>
    <row r="203" spans="1:48" s="1" customFormat="1" ht="12.75" customHeight="1">
      <c r="A203" s="20">
        <f t="shared" si="15"/>
        <v>201</v>
      </c>
      <c r="B203" s="28" t="s">
        <v>1731</v>
      </c>
      <c r="C203" s="20" t="s">
        <v>1390</v>
      </c>
      <c r="D203" s="20" t="s">
        <v>50</v>
      </c>
      <c r="E203" s="23" t="s">
        <v>51</v>
      </c>
      <c r="F203" s="23" t="s">
        <v>206</v>
      </c>
      <c r="G203" s="24" t="s">
        <v>53</v>
      </c>
      <c r="H203" s="30" t="s">
        <v>54</v>
      </c>
      <c r="I203" s="23"/>
      <c r="J203" s="27">
        <v>46098</v>
      </c>
      <c r="K203" s="26">
        <f t="shared" ca="1" si="12"/>
        <v>0.42739726027397262</v>
      </c>
      <c r="L203" s="27">
        <v>29290</v>
      </c>
      <c r="M203" s="28">
        <f t="shared" ca="1" si="13"/>
        <v>46</v>
      </c>
      <c r="N203" s="24" t="s">
        <v>106</v>
      </c>
      <c r="O203" s="20"/>
      <c r="P203" s="53" t="s">
        <v>56</v>
      </c>
      <c r="Q203" s="24" t="s">
        <v>1732</v>
      </c>
      <c r="R203" s="24" t="s">
        <v>1733</v>
      </c>
      <c r="S203" s="20" t="s">
        <v>57</v>
      </c>
      <c r="T203" s="20" t="s">
        <v>1391</v>
      </c>
      <c r="U203" s="33">
        <v>8122995863</v>
      </c>
      <c r="V203" s="34" t="s">
        <v>1392</v>
      </c>
      <c r="W203" s="34"/>
      <c r="X203" s="33">
        <v>5611364312</v>
      </c>
      <c r="Y203" s="34" t="s">
        <v>1393</v>
      </c>
      <c r="Z203" s="34"/>
      <c r="AA203" s="33" t="s">
        <v>1394</v>
      </c>
      <c r="AB203" s="33" t="s">
        <v>1395</v>
      </c>
      <c r="AC203" s="33" t="s">
        <v>1340</v>
      </c>
      <c r="AD203" s="30" t="s">
        <v>1396</v>
      </c>
      <c r="AE203" s="20" t="s">
        <v>1397</v>
      </c>
      <c r="AF203" s="20" t="s">
        <v>1734</v>
      </c>
      <c r="AG203" s="38">
        <v>7060</v>
      </c>
      <c r="AH203" s="38">
        <v>7981</v>
      </c>
      <c r="AI203" s="38"/>
      <c r="AJ203" s="38"/>
      <c r="AK203" s="38"/>
      <c r="AL203" s="38">
        <v>15041</v>
      </c>
      <c r="AM203" s="38">
        <v>15000</v>
      </c>
      <c r="AN203" s="38">
        <v>1950</v>
      </c>
      <c r="AO203" s="38">
        <v>488.83249999999998</v>
      </c>
      <c r="AP203" s="38">
        <v>1253.4166666666699</v>
      </c>
      <c r="AQ203" s="38"/>
      <c r="AR203" s="39"/>
      <c r="AS203" s="40">
        <v>1203.28</v>
      </c>
      <c r="AT203" s="38">
        <f t="shared" si="14"/>
        <v>19936.529166666671</v>
      </c>
      <c r="AV203" s="41"/>
    </row>
    <row r="204" spans="1:48" s="1" customFormat="1" ht="12.75" customHeight="1">
      <c r="A204" s="20">
        <f t="shared" si="15"/>
        <v>202</v>
      </c>
      <c r="B204" s="28" t="s">
        <v>1735</v>
      </c>
      <c r="C204" s="20" t="s">
        <v>1736</v>
      </c>
      <c r="D204" s="20" t="s">
        <v>50</v>
      </c>
      <c r="E204" s="23" t="s">
        <v>51</v>
      </c>
      <c r="F204" s="23" t="s">
        <v>206</v>
      </c>
      <c r="G204" s="24" t="s">
        <v>53</v>
      </c>
      <c r="H204" s="30" t="s">
        <v>54</v>
      </c>
      <c r="I204" s="23"/>
      <c r="J204" s="27">
        <v>46125</v>
      </c>
      <c r="K204" s="26">
        <f t="shared" ca="1" si="12"/>
        <v>0.35342465753424657</v>
      </c>
      <c r="L204" s="27">
        <v>38534</v>
      </c>
      <c r="M204" s="28">
        <f t="shared" ca="1" si="13"/>
        <v>21</v>
      </c>
      <c r="N204" s="24" t="s">
        <v>207</v>
      </c>
      <c r="O204" s="20"/>
      <c r="P204" s="53" t="s">
        <v>56</v>
      </c>
      <c r="Q204" s="24" t="s">
        <v>1737</v>
      </c>
      <c r="R204" s="24" t="s">
        <v>1738</v>
      </c>
      <c r="S204" s="20" t="s">
        <v>57</v>
      </c>
      <c r="T204" s="20" t="s">
        <v>1739</v>
      </c>
      <c r="U204" s="33">
        <v>9150547581</v>
      </c>
      <c r="V204" s="34" t="s">
        <v>1676</v>
      </c>
      <c r="W204" s="34"/>
      <c r="X204" s="33" t="s">
        <v>1740</v>
      </c>
      <c r="Y204" s="34" t="s">
        <v>1677</v>
      </c>
      <c r="Z204" s="34"/>
      <c r="AA204" s="33" t="s">
        <v>1678</v>
      </c>
      <c r="AB204" s="33" t="s">
        <v>1679</v>
      </c>
      <c r="AC204" s="33" t="s">
        <v>215</v>
      </c>
      <c r="AD204" s="33" t="s">
        <v>1680</v>
      </c>
      <c r="AE204" s="20" t="s">
        <v>1741</v>
      </c>
      <c r="AF204" s="20" t="s">
        <v>1742</v>
      </c>
      <c r="AG204" s="38">
        <v>7060</v>
      </c>
      <c r="AH204" s="38">
        <v>7981</v>
      </c>
      <c r="AI204" s="38"/>
      <c r="AJ204" s="38"/>
      <c r="AK204" s="38"/>
      <c r="AL204" s="38">
        <v>15041</v>
      </c>
      <c r="AM204" s="38">
        <v>15000</v>
      </c>
      <c r="AN204" s="38">
        <v>1950</v>
      </c>
      <c r="AO204" s="38">
        <v>488.83249999999998</v>
      </c>
      <c r="AP204" s="38">
        <v>1253.4166666666699</v>
      </c>
      <c r="AQ204" s="38"/>
      <c r="AR204" s="39"/>
      <c r="AS204" s="40">
        <v>1203.28</v>
      </c>
      <c r="AT204" s="38">
        <f t="shared" si="14"/>
        <v>19936.529166666671</v>
      </c>
      <c r="AV204" s="41"/>
    </row>
    <row r="205" spans="1:48" s="1" customFormat="1" ht="12.75" customHeight="1">
      <c r="A205" s="20">
        <f t="shared" si="15"/>
        <v>203</v>
      </c>
      <c r="B205" s="28" t="s">
        <v>339</v>
      </c>
      <c r="C205" s="20" t="s">
        <v>340</v>
      </c>
      <c r="D205" s="20" t="s">
        <v>50</v>
      </c>
      <c r="E205" s="23" t="s">
        <v>51</v>
      </c>
      <c r="F205" s="23" t="s">
        <v>69</v>
      </c>
      <c r="G205" s="24" t="s">
        <v>53</v>
      </c>
      <c r="H205" s="30" t="s">
        <v>54</v>
      </c>
      <c r="I205" s="23"/>
      <c r="J205" s="27">
        <v>46097</v>
      </c>
      <c r="K205" s="26">
        <f t="shared" ca="1" si="12"/>
        <v>0.43013698630136987</v>
      </c>
      <c r="L205" s="27">
        <v>33586</v>
      </c>
      <c r="M205" s="28">
        <f t="shared" ca="1" si="13"/>
        <v>34</v>
      </c>
      <c r="N205" s="20" t="s">
        <v>341</v>
      </c>
      <c r="O205" s="20"/>
      <c r="P205" s="53" t="s">
        <v>56</v>
      </c>
      <c r="Q205" s="24" t="s">
        <v>342</v>
      </c>
      <c r="R205" s="24" t="s">
        <v>343</v>
      </c>
      <c r="S205" s="20" t="s">
        <v>57</v>
      </c>
      <c r="T205" s="20" t="s">
        <v>344</v>
      </c>
      <c r="U205" s="30">
        <v>9791801412</v>
      </c>
      <c r="V205" s="30" t="s">
        <v>345</v>
      </c>
      <c r="W205" s="30"/>
      <c r="X205" s="30">
        <v>5609171391</v>
      </c>
      <c r="Y205" s="30" t="s">
        <v>346</v>
      </c>
      <c r="Z205" s="30"/>
      <c r="AA205" s="30" t="s">
        <v>347</v>
      </c>
      <c r="AB205" s="30" t="s">
        <v>111</v>
      </c>
      <c r="AC205" s="30" t="s">
        <v>112</v>
      </c>
      <c r="AD205" s="30" t="s">
        <v>113</v>
      </c>
      <c r="AE205" s="20" t="s">
        <v>348</v>
      </c>
      <c r="AF205" s="20" t="s">
        <v>348</v>
      </c>
      <c r="AG205" s="38">
        <v>7060</v>
      </c>
      <c r="AH205" s="38">
        <v>7981</v>
      </c>
      <c r="AI205" s="38"/>
      <c r="AJ205" s="38"/>
      <c r="AK205" s="38"/>
      <c r="AL205" s="38">
        <v>15041</v>
      </c>
      <c r="AM205" s="38">
        <v>15000</v>
      </c>
      <c r="AN205" s="38">
        <v>1950</v>
      </c>
      <c r="AO205" s="38">
        <v>488.83249999999998</v>
      </c>
      <c r="AP205" s="38">
        <v>1253.4166666666699</v>
      </c>
      <c r="AQ205" s="38"/>
      <c r="AR205" s="39"/>
      <c r="AS205" s="39">
        <v>1203.28</v>
      </c>
      <c r="AT205" s="38">
        <f t="shared" si="14"/>
        <v>19936.529166666671</v>
      </c>
      <c r="AV205" s="41"/>
    </row>
    <row r="206" spans="1:48" s="1" customFormat="1" ht="12.75" customHeight="1">
      <c r="A206" s="20">
        <f t="shared" si="15"/>
        <v>204</v>
      </c>
      <c r="B206" s="28" t="s">
        <v>1743</v>
      </c>
      <c r="C206" s="20" t="s">
        <v>1578</v>
      </c>
      <c r="D206" s="20" t="s">
        <v>50</v>
      </c>
      <c r="E206" s="23" t="s">
        <v>51</v>
      </c>
      <c r="F206" s="23" t="s">
        <v>105</v>
      </c>
      <c r="G206" s="24" t="s">
        <v>53</v>
      </c>
      <c r="H206" s="30" t="s">
        <v>54</v>
      </c>
      <c r="I206" s="23"/>
      <c r="J206" s="27">
        <v>46071</v>
      </c>
      <c r="K206" s="26">
        <f t="shared" ca="1" si="12"/>
        <v>0.50136986301369868</v>
      </c>
      <c r="L206" s="27">
        <v>38046</v>
      </c>
      <c r="M206" s="28">
        <f t="shared" ca="1" si="13"/>
        <v>22</v>
      </c>
      <c r="N206" s="20" t="s">
        <v>106</v>
      </c>
      <c r="O206" s="20"/>
      <c r="P206" s="20" t="s">
        <v>56</v>
      </c>
      <c r="Q206" s="20" t="s">
        <v>791</v>
      </c>
      <c r="R206" s="24" t="s">
        <v>1744</v>
      </c>
      <c r="S206" s="20" t="s">
        <v>256</v>
      </c>
      <c r="T206" s="20"/>
      <c r="U206" s="30">
        <v>8489160631</v>
      </c>
      <c r="V206" s="30" t="s">
        <v>800</v>
      </c>
      <c r="W206" s="30"/>
      <c r="X206" s="30">
        <v>5610283732</v>
      </c>
      <c r="Y206" s="30" t="s">
        <v>1579</v>
      </c>
      <c r="Z206" s="30"/>
      <c r="AA206" s="30" t="s">
        <v>802</v>
      </c>
      <c r="AB206" s="30" t="s">
        <v>795</v>
      </c>
      <c r="AC206" s="30" t="s">
        <v>112</v>
      </c>
      <c r="AD206" s="30" t="s">
        <v>796</v>
      </c>
      <c r="AE206" s="20" t="s">
        <v>803</v>
      </c>
      <c r="AF206" s="20" t="s">
        <v>803</v>
      </c>
      <c r="AG206" s="38">
        <v>7060</v>
      </c>
      <c r="AH206" s="38">
        <v>7981</v>
      </c>
      <c r="AI206" s="38"/>
      <c r="AJ206" s="38"/>
      <c r="AK206" s="38"/>
      <c r="AL206" s="38">
        <v>15041</v>
      </c>
      <c r="AM206" s="38">
        <v>15000</v>
      </c>
      <c r="AN206" s="38">
        <v>1950</v>
      </c>
      <c r="AO206" s="38">
        <v>488.83249999999998</v>
      </c>
      <c r="AP206" s="38">
        <v>1253.4166666666699</v>
      </c>
      <c r="AQ206" s="38"/>
      <c r="AR206" s="39"/>
      <c r="AS206" s="39">
        <v>1203.28</v>
      </c>
      <c r="AT206" s="38">
        <f t="shared" si="14"/>
        <v>19936.529166666671</v>
      </c>
      <c r="AV206" s="41"/>
    </row>
    <row r="207" spans="1:48" s="1" customFormat="1" ht="12.75" customHeight="1">
      <c r="A207" s="20">
        <f t="shared" si="15"/>
        <v>205</v>
      </c>
      <c r="B207" s="28" t="s">
        <v>1745</v>
      </c>
      <c r="C207" s="20" t="s">
        <v>1575</v>
      </c>
      <c r="D207" s="20" t="s">
        <v>50</v>
      </c>
      <c r="E207" s="23" t="s">
        <v>51</v>
      </c>
      <c r="F207" s="23" t="s">
        <v>105</v>
      </c>
      <c r="G207" s="24" t="s">
        <v>53</v>
      </c>
      <c r="H207" s="30" t="s">
        <v>54</v>
      </c>
      <c r="I207" s="23"/>
      <c r="J207" s="27">
        <v>46071</v>
      </c>
      <c r="K207" s="26">
        <f t="shared" ca="1" si="12"/>
        <v>0.50136986301369868</v>
      </c>
      <c r="L207" s="27">
        <v>38659</v>
      </c>
      <c r="M207" s="28">
        <f t="shared" ca="1" si="13"/>
        <v>20</v>
      </c>
      <c r="N207" s="20" t="s">
        <v>106</v>
      </c>
      <c r="O207" s="20"/>
      <c r="P207" s="20" t="s">
        <v>56</v>
      </c>
      <c r="Q207" s="20" t="s">
        <v>791</v>
      </c>
      <c r="R207" s="24" t="s">
        <v>1744</v>
      </c>
      <c r="S207" s="20" t="s">
        <v>256</v>
      </c>
      <c r="T207" s="20"/>
      <c r="U207" s="30">
        <v>8489160631</v>
      </c>
      <c r="V207" s="30" t="s">
        <v>792</v>
      </c>
      <c r="W207" s="30"/>
      <c r="X207" s="30">
        <v>5610292298</v>
      </c>
      <c r="Y207" s="30" t="s">
        <v>1576</v>
      </c>
      <c r="Z207" s="30"/>
      <c r="AA207" s="30" t="s">
        <v>794</v>
      </c>
      <c r="AB207" s="30" t="s">
        <v>795</v>
      </c>
      <c r="AC207" s="30" t="s">
        <v>112</v>
      </c>
      <c r="AD207" s="30" t="s">
        <v>796</v>
      </c>
      <c r="AE207" s="20" t="s">
        <v>797</v>
      </c>
      <c r="AF207" s="20" t="s">
        <v>797</v>
      </c>
      <c r="AG207" s="38">
        <v>7060</v>
      </c>
      <c r="AH207" s="38">
        <v>7981</v>
      </c>
      <c r="AI207" s="38"/>
      <c r="AJ207" s="38"/>
      <c r="AK207" s="38"/>
      <c r="AL207" s="38">
        <v>15041</v>
      </c>
      <c r="AM207" s="38">
        <v>15000</v>
      </c>
      <c r="AN207" s="38">
        <v>1950</v>
      </c>
      <c r="AO207" s="38">
        <v>488.83249999999998</v>
      </c>
      <c r="AP207" s="38">
        <v>1253.4166666666699</v>
      </c>
      <c r="AQ207" s="38"/>
      <c r="AR207" s="39"/>
      <c r="AS207" s="39">
        <v>1203.28</v>
      </c>
      <c r="AT207" s="38">
        <f t="shared" si="14"/>
        <v>19936.529166666671</v>
      </c>
      <c r="AV207" s="41"/>
    </row>
    <row r="208" spans="1:48" s="1" customFormat="1" ht="12.75" customHeight="1">
      <c r="A208" s="20">
        <f t="shared" si="15"/>
        <v>206</v>
      </c>
      <c r="B208" s="28" t="s">
        <v>1743</v>
      </c>
      <c r="C208" s="20" t="s">
        <v>1578</v>
      </c>
      <c r="D208" s="20" t="s">
        <v>50</v>
      </c>
      <c r="E208" s="23" t="s">
        <v>51</v>
      </c>
      <c r="F208" s="23" t="s">
        <v>105</v>
      </c>
      <c r="G208" s="24" t="s">
        <v>53</v>
      </c>
      <c r="H208" s="30" t="s">
        <v>54</v>
      </c>
      <c r="I208" s="23"/>
      <c r="J208" s="27">
        <v>46071</v>
      </c>
      <c r="K208" s="26">
        <f t="shared" ca="1" si="12"/>
        <v>0.50136986301369868</v>
      </c>
      <c r="L208" s="27">
        <v>38046</v>
      </c>
      <c r="M208" s="28">
        <f t="shared" ca="1" si="13"/>
        <v>22</v>
      </c>
      <c r="N208" s="24" t="s">
        <v>106</v>
      </c>
      <c r="O208" s="20"/>
      <c r="P208" s="20" t="s">
        <v>56</v>
      </c>
      <c r="Q208" s="20" t="s">
        <v>791</v>
      </c>
      <c r="R208" s="24" t="s">
        <v>1744</v>
      </c>
      <c r="S208" s="20" t="s">
        <v>256</v>
      </c>
      <c r="T208" s="20"/>
      <c r="U208" s="33">
        <v>8489160631</v>
      </c>
      <c r="V208" s="34" t="s">
        <v>800</v>
      </c>
      <c r="W208" s="34"/>
      <c r="X208" s="33">
        <v>5610283732</v>
      </c>
      <c r="Y208" s="34" t="s">
        <v>1579</v>
      </c>
      <c r="Z208" s="34"/>
      <c r="AA208" s="33" t="s">
        <v>802</v>
      </c>
      <c r="AB208" s="33" t="s">
        <v>795</v>
      </c>
      <c r="AC208" s="33" t="s">
        <v>112</v>
      </c>
      <c r="AD208" s="33" t="s">
        <v>796</v>
      </c>
      <c r="AE208" s="20" t="s">
        <v>803</v>
      </c>
      <c r="AF208" s="20" t="s">
        <v>803</v>
      </c>
      <c r="AG208" s="37">
        <v>7060</v>
      </c>
      <c r="AH208" s="38">
        <v>7981</v>
      </c>
      <c r="AI208" s="38"/>
      <c r="AJ208" s="38"/>
      <c r="AK208" s="38"/>
      <c r="AL208" s="38">
        <v>15041</v>
      </c>
      <c r="AM208" s="38">
        <v>15000</v>
      </c>
      <c r="AN208" s="38">
        <f>AM208*13%</f>
        <v>1950</v>
      </c>
      <c r="AO208" s="38">
        <f>AL208*3.25%</f>
        <v>488.83250000000004</v>
      </c>
      <c r="AP208" s="38">
        <f>AL208/12</f>
        <v>1253.4166666666667</v>
      </c>
      <c r="AQ208" s="38"/>
      <c r="AR208" s="39"/>
      <c r="AS208" s="40">
        <f>AL208*8%</f>
        <v>1203.28</v>
      </c>
      <c r="AT208" s="38">
        <f t="shared" si="14"/>
        <v>19936.529166666667</v>
      </c>
    </row>
    <row r="209" spans="1:48" s="1" customFormat="1" ht="12.75" customHeight="1">
      <c r="A209" s="20">
        <f t="shared" si="15"/>
        <v>207</v>
      </c>
      <c r="B209" s="28" t="s">
        <v>1745</v>
      </c>
      <c r="C209" s="20" t="s">
        <v>1575</v>
      </c>
      <c r="D209" s="20" t="s">
        <v>50</v>
      </c>
      <c r="E209" s="23" t="s">
        <v>51</v>
      </c>
      <c r="F209" s="23" t="s">
        <v>105</v>
      </c>
      <c r="G209" s="24" t="s">
        <v>53</v>
      </c>
      <c r="H209" s="30" t="s">
        <v>54</v>
      </c>
      <c r="I209" s="23"/>
      <c r="J209" s="27">
        <v>46071</v>
      </c>
      <c r="K209" s="26">
        <f t="shared" ca="1" si="12"/>
        <v>0.50136986301369868</v>
      </c>
      <c r="L209" s="27">
        <v>38659</v>
      </c>
      <c r="M209" s="28">
        <f t="shared" ca="1" si="13"/>
        <v>20</v>
      </c>
      <c r="N209" s="24" t="s">
        <v>106</v>
      </c>
      <c r="O209" s="20"/>
      <c r="P209" s="20" t="s">
        <v>56</v>
      </c>
      <c r="Q209" s="20" t="s">
        <v>791</v>
      </c>
      <c r="R209" s="24" t="s">
        <v>1744</v>
      </c>
      <c r="S209" s="20" t="s">
        <v>256</v>
      </c>
      <c r="T209" s="20"/>
      <c r="U209" s="33">
        <v>8489160631</v>
      </c>
      <c r="V209" s="34" t="s">
        <v>792</v>
      </c>
      <c r="W209" s="34"/>
      <c r="X209" s="33">
        <v>5610292298</v>
      </c>
      <c r="Y209" s="34" t="s">
        <v>1576</v>
      </c>
      <c r="Z209" s="34"/>
      <c r="AA209" s="33" t="s">
        <v>794</v>
      </c>
      <c r="AB209" s="33" t="s">
        <v>795</v>
      </c>
      <c r="AC209" s="33" t="s">
        <v>112</v>
      </c>
      <c r="AD209" s="33" t="s">
        <v>796</v>
      </c>
      <c r="AE209" s="20" t="s">
        <v>797</v>
      </c>
      <c r="AF209" s="20" t="s">
        <v>797</v>
      </c>
      <c r="AG209" s="37">
        <v>7060</v>
      </c>
      <c r="AH209" s="38">
        <v>7981</v>
      </c>
      <c r="AI209" s="38"/>
      <c r="AJ209" s="38"/>
      <c r="AK209" s="38"/>
      <c r="AL209" s="38">
        <v>15041</v>
      </c>
      <c r="AM209" s="38">
        <v>15000</v>
      </c>
      <c r="AN209" s="38">
        <f>AM209*13%</f>
        <v>1950</v>
      </c>
      <c r="AO209" s="38">
        <f>AL209*3.25%</f>
        <v>488.83250000000004</v>
      </c>
      <c r="AP209" s="38">
        <f>AL209/12</f>
        <v>1253.4166666666667</v>
      </c>
      <c r="AQ209" s="38"/>
      <c r="AR209" s="39"/>
      <c r="AS209" s="40">
        <f>AL209*8%</f>
        <v>1203.28</v>
      </c>
      <c r="AT209" s="38">
        <f t="shared" si="14"/>
        <v>19936.529166666667</v>
      </c>
    </row>
    <row r="210" spans="1:48" s="1" customFormat="1" ht="12.75" customHeight="1">
      <c r="A210" s="20">
        <f t="shared" si="15"/>
        <v>208</v>
      </c>
      <c r="B210" s="28" t="s">
        <v>339</v>
      </c>
      <c r="C210" s="20" t="s">
        <v>340</v>
      </c>
      <c r="D210" s="20" t="s">
        <v>50</v>
      </c>
      <c r="E210" s="23" t="s">
        <v>51</v>
      </c>
      <c r="F210" s="23" t="s">
        <v>69</v>
      </c>
      <c r="G210" s="24" t="s">
        <v>53</v>
      </c>
      <c r="H210" s="30" t="s">
        <v>54</v>
      </c>
      <c r="I210" s="23"/>
      <c r="J210" s="27">
        <v>46097</v>
      </c>
      <c r="K210" s="26">
        <f t="shared" ca="1" si="12"/>
        <v>0.43013698630136987</v>
      </c>
      <c r="L210" s="27">
        <v>33586</v>
      </c>
      <c r="M210" s="28">
        <f t="shared" ca="1" si="13"/>
        <v>34</v>
      </c>
      <c r="N210" s="24" t="s">
        <v>341</v>
      </c>
      <c r="O210" s="20"/>
      <c r="P210" s="53" t="s">
        <v>56</v>
      </c>
      <c r="Q210" s="24" t="s">
        <v>342</v>
      </c>
      <c r="R210" s="24" t="s">
        <v>343</v>
      </c>
      <c r="S210" s="20" t="s">
        <v>57</v>
      </c>
      <c r="T210" s="20" t="s">
        <v>344</v>
      </c>
      <c r="U210" s="33">
        <v>9791801412</v>
      </c>
      <c r="V210" s="34" t="s">
        <v>345</v>
      </c>
      <c r="W210" s="34"/>
      <c r="X210" s="33">
        <v>5609171391</v>
      </c>
      <c r="Y210" s="34" t="s">
        <v>346</v>
      </c>
      <c r="Z210" s="34"/>
      <c r="AA210" s="33" t="s">
        <v>347</v>
      </c>
      <c r="AB210" s="33" t="s">
        <v>111</v>
      </c>
      <c r="AC210" s="33" t="s">
        <v>112</v>
      </c>
      <c r="AD210" s="33" t="s">
        <v>113</v>
      </c>
      <c r="AE210" s="20" t="s">
        <v>348</v>
      </c>
      <c r="AF210" s="20" t="s">
        <v>348</v>
      </c>
      <c r="AG210" s="38">
        <v>7060</v>
      </c>
      <c r="AH210" s="38">
        <v>7981</v>
      </c>
      <c r="AI210" s="38"/>
      <c r="AJ210" s="38"/>
      <c r="AK210" s="38"/>
      <c r="AL210" s="38">
        <v>15041</v>
      </c>
      <c r="AM210" s="38">
        <v>15000</v>
      </c>
      <c r="AN210" s="38">
        <v>1950</v>
      </c>
      <c r="AO210" s="38">
        <v>488.83249999999998</v>
      </c>
      <c r="AP210" s="38">
        <v>1253.4166666666699</v>
      </c>
      <c r="AQ210" s="38"/>
      <c r="AR210" s="39"/>
      <c r="AS210" s="40">
        <v>1203.28</v>
      </c>
      <c r="AT210" s="38">
        <f t="shared" si="14"/>
        <v>19936.529166666671</v>
      </c>
      <c r="AV210" s="41"/>
    </row>
    <row r="211" spans="1:48" s="1" customFormat="1" ht="12.75" customHeight="1">
      <c r="A211" s="20">
        <f t="shared" si="15"/>
        <v>209</v>
      </c>
      <c r="B211" s="74" t="s">
        <v>1746</v>
      </c>
      <c r="C211" s="33" t="s">
        <v>915</v>
      </c>
      <c r="D211" s="20" t="s">
        <v>82</v>
      </c>
      <c r="E211" s="23" t="s">
        <v>51</v>
      </c>
      <c r="F211" s="23" t="s">
        <v>83</v>
      </c>
      <c r="G211" s="24" t="s">
        <v>245</v>
      </c>
      <c r="H211" s="24" t="s">
        <v>54</v>
      </c>
      <c r="I211" s="23"/>
      <c r="J211" s="25">
        <v>46009</v>
      </c>
      <c r="K211" s="26">
        <f t="shared" ca="1" si="12"/>
        <v>0.67123287671232879</v>
      </c>
      <c r="L211" s="75">
        <v>36244</v>
      </c>
      <c r="M211" s="28">
        <f t="shared" ca="1" si="13"/>
        <v>27</v>
      </c>
      <c r="N211" s="29" t="s">
        <v>207</v>
      </c>
      <c r="O211" s="20"/>
      <c r="P211" s="30" t="s">
        <v>56</v>
      </c>
      <c r="Q211" s="24"/>
      <c r="R211" s="24"/>
      <c r="S211" s="22" t="s">
        <v>94</v>
      </c>
      <c r="T211" s="22" t="s">
        <v>917</v>
      </c>
      <c r="U211" s="29">
        <v>6204288201</v>
      </c>
      <c r="V211" s="76">
        <v>101445037038</v>
      </c>
      <c r="W211" s="23"/>
      <c r="X211" s="33">
        <v>5610424437</v>
      </c>
      <c r="Y211" s="34" t="s">
        <v>919</v>
      </c>
      <c r="Z211" s="23"/>
      <c r="AA211" s="29" t="s">
        <v>920</v>
      </c>
      <c r="AB211" s="29" t="s">
        <v>921</v>
      </c>
      <c r="AC211" s="29" t="s">
        <v>461</v>
      </c>
      <c r="AD211" s="29" t="s">
        <v>922</v>
      </c>
      <c r="AE211" s="24" t="s">
        <v>1747</v>
      </c>
      <c r="AF211" s="24" t="s">
        <v>923</v>
      </c>
      <c r="AG211" s="37">
        <v>7060</v>
      </c>
      <c r="AH211" s="38">
        <v>7981</v>
      </c>
      <c r="AI211" s="39"/>
      <c r="AJ211" s="39"/>
      <c r="AK211" s="39"/>
      <c r="AL211" s="38">
        <v>15041</v>
      </c>
      <c r="AM211" s="38">
        <v>15000</v>
      </c>
      <c r="AN211" s="38">
        <f>AM211*13%</f>
        <v>1950</v>
      </c>
      <c r="AO211" s="38">
        <f>AL211*3.25%</f>
        <v>488.83250000000004</v>
      </c>
      <c r="AP211" s="38">
        <f>AL211/12</f>
        <v>1253.4166666666667</v>
      </c>
      <c r="AQ211" s="39"/>
      <c r="AR211" s="39"/>
      <c r="AS211" s="40">
        <f>AL211*8%</f>
        <v>1203.28</v>
      </c>
      <c r="AT211" s="38">
        <f t="shared" si="14"/>
        <v>19936.529166666667</v>
      </c>
    </row>
    <row r="212" spans="1:48" s="1" customFormat="1" ht="12.75" customHeight="1">
      <c r="A212" s="20">
        <f t="shared" si="15"/>
        <v>210</v>
      </c>
      <c r="B212" s="28" t="s">
        <v>1748</v>
      </c>
      <c r="C212" s="20" t="s">
        <v>252</v>
      </c>
      <c r="D212" s="20" t="s">
        <v>50</v>
      </c>
      <c r="E212" s="23" t="s">
        <v>51</v>
      </c>
      <c r="F212" s="23" t="s">
        <v>105</v>
      </c>
      <c r="G212" s="24" t="s">
        <v>53</v>
      </c>
      <c r="H212" s="30" t="s">
        <v>54</v>
      </c>
      <c r="I212" s="23"/>
      <c r="J212" s="27">
        <v>46071</v>
      </c>
      <c r="K212" s="26">
        <f t="shared" ca="1" si="12"/>
        <v>0.50136986301369868</v>
      </c>
      <c r="L212" s="27">
        <v>38546</v>
      </c>
      <c r="M212" s="28">
        <f t="shared" ca="1" si="13"/>
        <v>21</v>
      </c>
      <c r="N212" s="20" t="s">
        <v>253</v>
      </c>
      <c r="O212" s="20"/>
      <c r="P212" s="20" t="s">
        <v>56</v>
      </c>
      <c r="Q212" s="20" t="s">
        <v>254</v>
      </c>
      <c r="R212" s="24" t="s">
        <v>255</v>
      </c>
      <c r="S212" s="20" t="s">
        <v>256</v>
      </c>
      <c r="T212" s="20"/>
      <c r="U212" s="30">
        <v>9790414514</v>
      </c>
      <c r="V212" s="30" t="s">
        <v>257</v>
      </c>
      <c r="W212" s="30"/>
      <c r="X212" s="30">
        <v>5610286921</v>
      </c>
      <c r="Y212" s="30" t="s">
        <v>258</v>
      </c>
      <c r="Z212" s="30"/>
      <c r="AA212" s="30" t="s">
        <v>259</v>
      </c>
      <c r="AB212" s="30" t="s">
        <v>260</v>
      </c>
      <c r="AC212" s="30" t="s">
        <v>261</v>
      </c>
      <c r="AD212" s="30" t="s">
        <v>262</v>
      </c>
      <c r="AE212" s="20" t="s">
        <v>263</v>
      </c>
      <c r="AF212" s="20" t="s">
        <v>263</v>
      </c>
      <c r="AG212" s="38">
        <v>7060</v>
      </c>
      <c r="AH212" s="38">
        <v>7981</v>
      </c>
      <c r="AI212" s="38"/>
      <c r="AJ212" s="38"/>
      <c r="AK212" s="38"/>
      <c r="AL212" s="38">
        <v>15041</v>
      </c>
      <c r="AM212" s="38">
        <v>15000</v>
      </c>
      <c r="AN212" s="38">
        <v>1950</v>
      </c>
      <c r="AO212" s="38">
        <v>488.83249999999998</v>
      </c>
      <c r="AP212" s="38">
        <v>1253.4166666666699</v>
      </c>
      <c r="AQ212" s="38"/>
      <c r="AR212" s="39"/>
      <c r="AS212" s="39">
        <v>1203.28</v>
      </c>
      <c r="AT212" s="38">
        <f t="shared" si="14"/>
        <v>19936.529166666671</v>
      </c>
      <c r="AV212" s="41"/>
    </row>
    <row r="213" spans="1:48" s="1" customFormat="1" ht="12.75" customHeight="1">
      <c r="A213" s="20">
        <f t="shared" si="15"/>
        <v>211</v>
      </c>
      <c r="B213" s="28" t="s">
        <v>1745</v>
      </c>
      <c r="C213" s="20" t="s">
        <v>1575</v>
      </c>
      <c r="D213" s="20" t="s">
        <v>50</v>
      </c>
      <c r="E213" s="23" t="s">
        <v>51</v>
      </c>
      <c r="F213" s="23" t="s">
        <v>105</v>
      </c>
      <c r="G213" s="24" t="s">
        <v>53</v>
      </c>
      <c r="H213" s="30" t="s">
        <v>54</v>
      </c>
      <c r="I213" s="23"/>
      <c r="J213" s="27">
        <v>46071</v>
      </c>
      <c r="K213" s="26">
        <f t="shared" ca="1" si="12"/>
        <v>0.50136986301369868</v>
      </c>
      <c r="L213" s="27">
        <v>38659</v>
      </c>
      <c r="M213" s="28">
        <f t="shared" ca="1" si="13"/>
        <v>20</v>
      </c>
      <c r="N213" s="20" t="s">
        <v>106</v>
      </c>
      <c r="O213" s="20"/>
      <c r="P213" s="53" t="s">
        <v>56</v>
      </c>
      <c r="Q213" s="20" t="s">
        <v>791</v>
      </c>
      <c r="R213" s="24" t="s">
        <v>1744</v>
      </c>
      <c r="S213" s="20" t="s">
        <v>256</v>
      </c>
      <c r="T213" s="20"/>
      <c r="U213" s="30">
        <v>8489160631</v>
      </c>
      <c r="V213" s="30" t="s">
        <v>792</v>
      </c>
      <c r="W213" s="30"/>
      <c r="X213" s="30">
        <v>5610292298</v>
      </c>
      <c r="Y213" s="30" t="s">
        <v>1576</v>
      </c>
      <c r="Z213" s="30"/>
      <c r="AA213" s="30" t="s">
        <v>794</v>
      </c>
      <c r="AB213" s="30" t="s">
        <v>795</v>
      </c>
      <c r="AC213" s="30" t="s">
        <v>112</v>
      </c>
      <c r="AD213" s="30" t="s">
        <v>796</v>
      </c>
      <c r="AE213" s="20" t="s">
        <v>797</v>
      </c>
      <c r="AF213" s="20" t="s">
        <v>797</v>
      </c>
      <c r="AG213" s="38">
        <v>7060</v>
      </c>
      <c r="AH213" s="38">
        <v>7981</v>
      </c>
      <c r="AI213" s="38"/>
      <c r="AJ213" s="38"/>
      <c r="AK213" s="38"/>
      <c r="AL213" s="38">
        <v>15041</v>
      </c>
      <c r="AM213" s="38">
        <v>15000</v>
      </c>
      <c r="AN213" s="38">
        <v>1950</v>
      </c>
      <c r="AO213" s="38">
        <v>488.83249999999998</v>
      </c>
      <c r="AP213" s="38">
        <v>1253.4166666666699</v>
      </c>
      <c r="AQ213" s="38"/>
      <c r="AR213" s="39"/>
      <c r="AS213" s="39">
        <v>1203.28</v>
      </c>
      <c r="AT213" s="38">
        <f t="shared" si="14"/>
        <v>19936.529166666671</v>
      </c>
      <c r="AV213" s="41"/>
    </row>
    <row r="214" spans="1:48" s="1" customFormat="1" ht="12.75" customHeight="1">
      <c r="A214" s="20">
        <f t="shared" si="15"/>
        <v>212</v>
      </c>
      <c r="B214" s="28" t="s">
        <v>1749</v>
      </c>
      <c r="C214" s="20" t="s">
        <v>1750</v>
      </c>
      <c r="D214" s="20" t="s">
        <v>82</v>
      </c>
      <c r="E214" s="23" t="s">
        <v>51</v>
      </c>
      <c r="F214" s="23" t="s">
        <v>1751</v>
      </c>
      <c r="G214" s="24" t="s">
        <v>245</v>
      </c>
      <c r="H214" s="30" t="s">
        <v>246</v>
      </c>
      <c r="I214" s="23"/>
      <c r="J214" s="27">
        <v>46093</v>
      </c>
      <c r="K214" s="26">
        <f t="shared" ca="1" si="12"/>
        <v>0.44109589041095892</v>
      </c>
      <c r="L214" s="27">
        <v>30535</v>
      </c>
      <c r="M214" s="28">
        <f t="shared" ca="1" si="13"/>
        <v>43</v>
      </c>
      <c r="N214" s="20" t="s">
        <v>70</v>
      </c>
      <c r="O214" s="20"/>
      <c r="P214" s="53" t="s">
        <v>56</v>
      </c>
      <c r="Q214" s="24" t="s">
        <v>1752</v>
      </c>
      <c r="R214" s="24" t="s">
        <v>1753</v>
      </c>
      <c r="S214" s="20" t="s">
        <v>57</v>
      </c>
      <c r="T214" s="20" t="s">
        <v>1754</v>
      </c>
      <c r="U214" s="30">
        <v>9940785995</v>
      </c>
      <c r="V214" s="30" t="s">
        <v>1755</v>
      </c>
      <c r="W214" s="30"/>
      <c r="X214" s="30" t="s">
        <v>1756</v>
      </c>
      <c r="Y214" s="30" t="s">
        <v>1757</v>
      </c>
      <c r="Z214" s="30"/>
      <c r="AA214" s="30" t="s">
        <v>1758</v>
      </c>
      <c r="AB214" s="30" t="s">
        <v>270</v>
      </c>
      <c r="AC214" s="30" t="s">
        <v>461</v>
      </c>
      <c r="AD214" s="30" t="s">
        <v>1759</v>
      </c>
      <c r="AE214" s="20" t="s">
        <v>1760</v>
      </c>
      <c r="AF214" s="20" t="s">
        <v>1760</v>
      </c>
      <c r="AG214" s="38">
        <v>7060</v>
      </c>
      <c r="AH214" s="38">
        <v>7981</v>
      </c>
      <c r="AI214" s="38"/>
      <c r="AJ214" s="38"/>
      <c r="AK214" s="38"/>
      <c r="AL214" s="38">
        <v>15041</v>
      </c>
      <c r="AM214" s="38">
        <v>15000</v>
      </c>
      <c r="AN214" s="38">
        <v>1950</v>
      </c>
      <c r="AO214" s="38">
        <v>488.83249999999998</v>
      </c>
      <c r="AP214" s="38">
        <v>1253.4166666666699</v>
      </c>
      <c r="AQ214" s="38"/>
      <c r="AR214" s="39"/>
      <c r="AS214" s="39">
        <v>1203.28</v>
      </c>
      <c r="AT214" s="38">
        <f t="shared" si="14"/>
        <v>19936.529166666671</v>
      </c>
      <c r="AV214" s="41"/>
    </row>
    <row r="215" spans="1:48" s="1" customFormat="1" ht="12.75" customHeight="1">
      <c r="A215" s="20">
        <f t="shared" si="15"/>
        <v>213</v>
      </c>
      <c r="B215" s="28" t="s">
        <v>1761</v>
      </c>
      <c r="C215" s="20" t="s">
        <v>1762</v>
      </c>
      <c r="D215" s="20" t="s">
        <v>50</v>
      </c>
      <c r="E215" s="23" t="s">
        <v>51</v>
      </c>
      <c r="F215" s="23" t="s">
        <v>1751</v>
      </c>
      <c r="G215" s="24" t="s">
        <v>1763</v>
      </c>
      <c r="H215" s="30" t="s">
        <v>1764</v>
      </c>
      <c r="I215" s="23"/>
      <c r="J215" s="27">
        <v>46129</v>
      </c>
      <c r="K215" s="26">
        <f t="shared" ca="1" si="12"/>
        <v>0.34246575342465752</v>
      </c>
      <c r="L215" s="27">
        <v>32862</v>
      </c>
      <c r="M215" s="28">
        <f t="shared" ca="1" si="13"/>
        <v>36</v>
      </c>
      <c r="N215" s="20" t="s">
        <v>207</v>
      </c>
      <c r="O215" s="20"/>
      <c r="P215" s="53" t="s">
        <v>56</v>
      </c>
      <c r="Q215" s="24" t="s">
        <v>1765</v>
      </c>
      <c r="R215" s="24" t="s">
        <v>1766</v>
      </c>
      <c r="S215" s="20" t="s">
        <v>57</v>
      </c>
      <c r="T215" s="20" t="s">
        <v>1767</v>
      </c>
      <c r="U215" s="34">
        <v>9940785995</v>
      </c>
      <c r="V215" s="34" t="s">
        <v>1768</v>
      </c>
      <c r="W215" s="30"/>
      <c r="X215" s="34" t="s">
        <v>1769</v>
      </c>
      <c r="Y215" s="34" t="s">
        <v>1770</v>
      </c>
      <c r="Z215" s="30" t="s">
        <v>1771</v>
      </c>
      <c r="AA215" s="34" t="s">
        <v>1772</v>
      </c>
      <c r="AB215" s="30" t="s">
        <v>99</v>
      </c>
      <c r="AC215" s="30" t="s">
        <v>1773</v>
      </c>
      <c r="AD215" s="30" t="s">
        <v>101</v>
      </c>
      <c r="AE215" s="20" t="s">
        <v>1760</v>
      </c>
      <c r="AF215" s="20" t="s">
        <v>1760</v>
      </c>
      <c r="AG215" s="38">
        <v>7060</v>
      </c>
      <c r="AH215" s="38">
        <v>7981</v>
      </c>
      <c r="AI215" s="38"/>
      <c r="AJ215" s="38"/>
      <c r="AK215" s="38"/>
      <c r="AL215" s="38">
        <v>15041</v>
      </c>
      <c r="AM215" s="38">
        <v>15000</v>
      </c>
      <c r="AN215" s="38">
        <v>1950</v>
      </c>
      <c r="AO215" s="38">
        <v>488.83249999999998</v>
      </c>
      <c r="AP215" s="38">
        <v>1253.4166666666699</v>
      </c>
      <c r="AQ215" s="38"/>
      <c r="AR215" s="39"/>
      <c r="AS215" s="39">
        <v>1203.28</v>
      </c>
      <c r="AT215" s="38">
        <f t="shared" si="14"/>
        <v>19936.529166666671</v>
      </c>
      <c r="AV215" s="41"/>
    </row>
    <row r="216" spans="1:48" s="63" customFormat="1" ht="12.75" customHeight="1">
      <c r="A216" s="20">
        <f t="shared" si="15"/>
        <v>214</v>
      </c>
      <c r="B216" s="28" t="s">
        <v>1743</v>
      </c>
      <c r="C216" s="20" t="s">
        <v>1578</v>
      </c>
      <c r="D216" s="20" t="s">
        <v>50</v>
      </c>
      <c r="E216" s="23" t="s">
        <v>51</v>
      </c>
      <c r="F216" s="23" t="s">
        <v>105</v>
      </c>
      <c r="G216" s="24" t="s">
        <v>53</v>
      </c>
      <c r="H216" s="30" t="s">
        <v>54</v>
      </c>
      <c r="I216" s="23"/>
      <c r="J216" s="27">
        <v>46071</v>
      </c>
      <c r="K216" s="26">
        <f t="shared" ca="1" si="12"/>
        <v>0.50136986301369868</v>
      </c>
      <c r="L216" s="27">
        <v>38046</v>
      </c>
      <c r="M216" s="28">
        <f t="shared" ca="1" si="13"/>
        <v>22</v>
      </c>
      <c r="N216" s="20" t="s">
        <v>106</v>
      </c>
      <c r="O216" s="20"/>
      <c r="P216" s="20" t="s">
        <v>56</v>
      </c>
      <c r="Q216" s="20" t="s">
        <v>791</v>
      </c>
      <c r="R216" s="24" t="s">
        <v>1744</v>
      </c>
      <c r="S216" s="20" t="s">
        <v>256</v>
      </c>
      <c r="T216" s="20"/>
      <c r="U216" s="30">
        <v>8489160631</v>
      </c>
      <c r="V216" s="30" t="s">
        <v>800</v>
      </c>
      <c r="W216" s="30"/>
      <c r="X216" s="30">
        <v>5610283732</v>
      </c>
      <c r="Y216" s="30" t="s">
        <v>1579</v>
      </c>
      <c r="Z216" s="30"/>
      <c r="AA216" s="30" t="s">
        <v>802</v>
      </c>
      <c r="AB216" s="30" t="s">
        <v>795</v>
      </c>
      <c r="AC216" s="30" t="s">
        <v>112</v>
      </c>
      <c r="AD216" s="30" t="s">
        <v>796</v>
      </c>
      <c r="AE216" s="20" t="s">
        <v>803</v>
      </c>
      <c r="AF216" s="20" t="s">
        <v>803</v>
      </c>
      <c r="AG216" s="38">
        <v>7060</v>
      </c>
      <c r="AH216" s="38">
        <v>7981</v>
      </c>
      <c r="AI216" s="38"/>
      <c r="AJ216" s="38"/>
      <c r="AK216" s="38"/>
      <c r="AL216" s="38">
        <v>15041</v>
      </c>
      <c r="AM216" s="38">
        <v>15000</v>
      </c>
      <c r="AN216" s="38">
        <v>1950</v>
      </c>
      <c r="AO216" s="38">
        <v>488.83249999999998</v>
      </c>
      <c r="AP216" s="38">
        <v>1253.4166666666699</v>
      </c>
      <c r="AQ216" s="38"/>
      <c r="AR216" s="39"/>
      <c r="AS216" s="39">
        <v>1203.28</v>
      </c>
      <c r="AT216" s="38">
        <f t="shared" si="14"/>
        <v>19936.529166666671</v>
      </c>
      <c r="AU216" s="1"/>
      <c r="AV216" s="41"/>
    </row>
    <row r="217" spans="1:48" ht="12.75" customHeight="1">
      <c r="A217" s="20">
        <f t="shared" si="15"/>
        <v>215</v>
      </c>
      <c r="B217" s="21" t="s">
        <v>1774</v>
      </c>
      <c r="C217" s="77" t="s">
        <v>1775</v>
      </c>
      <c r="D217" s="20" t="s">
        <v>50</v>
      </c>
      <c r="E217" s="23" t="s">
        <v>51</v>
      </c>
      <c r="F217" s="23" t="s">
        <v>105</v>
      </c>
      <c r="G217" s="24" t="s">
        <v>53</v>
      </c>
      <c r="H217" s="24" t="s">
        <v>54</v>
      </c>
      <c r="I217" s="23"/>
      <c r="J217" s="25">
        <v>45810</v>
      </c>
      <c r="K217" s="26">
        <f t="shared" ca="1" si="12"/>
        <v>1.2164383561643837</v>
      </c>
      <c r="L217" s="72">
        <v>30811</v>
      </c>
      <c r="M217" s="28">
        <f t="shared" ca="1" si="13"/>
        <v>42</v>
      </c>
      <c r="N217" s="78" t="s">
        <v>511</v>
      </c>
      <c r="O217" s="20"/>
      <c r="P217" s="30" t="s">
        <v>56</v>
      </c>
      <c r="Q217" s="24"/>
      <c r="R217" s="24"/>
      <c r="S217" s="22" t="s">
        <v>94</v>
      </c>
      <c r="T217" s="22" t="s">
        <v>783</v>
      </c>
      <c r="U217" s="78">
        <v>7373976768</v>
      </c>
      <c r="V217" s="21" t="s">
        <v>843</v>
      </c>
      <c r="W217" s="32"/>
      <c r="X217" s="33">
        <v>5610655034</v>
      </c>
      <c r="Y217" s="34" t="s">
        <v>1187</v>
      </c>
      <c r="Z217" s="32"/>
      <c r="AA217" s="79" t="s">
        <v>845</v>
      </c>
      <c r="AB217" s="29" t="s">
        <v>99</v>
      </c>
      <c r="AC217" s="79" t="s">
        <v>461</v>
      </c>
      <c r="AD217" s="29" t="s">
        <v>462</v>
      </c>
      <c r="AE217" s="24" t="s">
        <v>846</v>
      </c>
      <c r="AF217" s="24" t="str">
        <f>VLOOKUP(B217,[1]Current!$B$2:$W$44,22,0)</f>
        <v>1/259 PATTARASIYAMMAN KOVIL STREET THOTTIPALAYAM,KARAVALLIMADAPPUR,COIMBATORE TAMILNADU-641668</v>
      </c>
      <c r="AG217" s="37">
        <v>7060</v>
      </c>
      <c r="AH217" s="37">
        <v>8025</v>
      </c>
      <c r="AI217" s="38"/>
      <c r="AJ217" s="38"/>
      <c r="AK217" s="38"/>
      <c r="AL217" s="38">
        <v>15085</v>
      </c>
      <c r="AM217" s="38">
        <v>15000</v>
      </c>
      <c r="AN217" s="38">
        <f>AM217*13%</f>
        <v>1950</v>
      </c>
      <c r="AO217" s="38">
        <f>AL217*3.25%</f>
        <v>490.26249999999999</v>
      </c>
      <c r="AP217" s="38">
        <f>AL217/12</f>
        <v>1257.0833333333333</v>
      </c>
      <c r="AQ217" s="38"/>
      <c r="AR217" s="39"/>
      <c r="AS217" s="40">
        <f>AL217*8%</f>
        <v>1206.8</v>
      </c>
      <c r="AT217" s="38">
        <f t="shared" si="14"/>
        <v>19989.145833333332</v>
      </c>
      <c r="AU217" s="1"/>
      <c r="AV217" s="41"/>
    </row>
    <row r="218" spans="1:48" ht="24">
      <c r="A218" s="20">
        <f t="shared" si="15"/>
        <v>216</v>
      </c>
      <c r="B218" s="28" t="s">
        <v>349</v>
      </c>
      <c r="C218" s="20" t="s">
        <v>350</v>
      </c>
      <c r="D218" s="20" t="s">
        <v>50</v>
      </c>
      <c r="E218" s="23" t="s">
        <v>51</v>
      </c>
      <c r="F218" s="23" t="s">
        <v>351</v>
      </c>
      <c r="G218" s="24" t="s">
        <v>53</v>
      </c>
      <c r="H218" s="30" t="s">
        <v>54</v>
      </c>
      <c r="I218" s="23"/>
      <c r="J218" s="27">
        <v>46192</v>
      </c>
      <c r="K218" s="26">
        <f ca="1">(TODAY()-J218)/365</f>
        <v>0.16986301369863013</v>
      </c>
      <c r="L218" s="27">
        <v>35731</v>
      </c>
      <c r="M218" s="28">
        <f ca="1">DATEDIF(L218,TODAY(),"y")</f>
        <v>28</v>
      </c>
      <c r="N218" s="23"/>
      <c r="O218" s="20"/>
      <c r="P218" s="20" t="s">
        <v>56</v>
      </c>
      <c r="Q218" s="20" t="s">
        <v>352</v>
      </c>
      <c r="R218" s="24" t="s">
        <v>353</v>
      </c>
      <c r="S218" s="20" t="s">
        <v>57</v>
      </c>
      <c r="T218" s="20" t="s">
        <v>354</v>
      </c>
      <c r="U218" s="34">
        <v>8714288798</v>
      </c>
      <c r="V218" s="34"/>
      <c r="W218" s="34"/>
      <c r="X218" s="34">
        <v>5611720141</v>
      </c>
      <c r="Y218" s="34" t="s">
        <v>355</v>
      </c>
      <c r="Z218" s="34"/>
      <c r="AA218" s="34" t="s">
        <v>356</v>
      </c>
      <c r="AB218" s="30" t="s">
        <v>357</v>
      </c>
      <c r="AC218" s="30" t="s">
        <v>358</v>
      </c>
      <c r="AD218" s="30" t="s">
        <v>359</v>
      </c>
      <c r="AE218" s="20" t="s">
        <v>360</v>
      </c>
      <c r="AF218" s="20" t="s">
        <v>360</v>
      </c>
      <c r="AG218" s="37">
        <v>7060</v>
      </c>
      <c r="AH218" s="38">
        <v>7981</v>
      </c>
      <c r="AI218" s="38"/>
      <c r="AJ218" s="38"/>
      <c r="AK218" s="38"/>
      <c r="AL218" s="38">
        <v>15041</v>
      </c>
      <c r="AM218" s="38">
        <v>15000</v>
      </c>
      <c r="AN218" s="38">
        <f>AM218*13%</f>
        <v>1950</v>
      </c>
      <c r="AO218" s="38">
        <f>AL218*3.25%</f>
        <v>488.83250000000004</v>
      </c>
      <c r="AP218" s="38">
        <f>AL218/12</f>
        <v>1253.4166666666667</v>
      </c>
      <c r="AQ218" s="38"/>
      <c r="AR218" s="39"/>
      <c r="AS218" s="40">
        <f>AL218*8%</f>
        <v>1203.28</v>
      </c>
      <c r="AT218" s="38">
        <f>AL218+AN218+AO218+AP218+AR218+AS218</f>
        <v>19936.529166666667</v>
      </c>
    </row>
    <row r="219" spans="1:48" s="99" customFormat="1" ht="12.95" customHeight="1">
      <c r="A219" s="20">
        <f t="shared" si="15"/>
        <v>217</v>
      </c>
      <c r="B219" s="81" t="s">
        <v>127</v>
      </c>
      <c r="C219" s="82" t="s">
        <v>128</v>
      </c>
      <c r="D219" s="83" t="s">
        <v>50</v>
      </c>
      <c r="E219" s="84" t="s">
        <v>51</v>
      </c>
      <c r="F219" s="81" t="s">
        <v>105</v>
      </c>
      <c r="G219" s="83" t="s">
        <v>118</v>
      </c>
      <c r="H219" s="85" t="s">
        <v>54</v>
      </c>
      <c r="I219" s="81"/>
      <c r="J219" s="86">
        <v>45962</v>
      </c>
      <c r="K219" s="87">
        <f ca="1">(TODAY()-J219)/365</f>
        <v>0.8</v>
      </c>
      <c r="L219" s="88">
        <v>32299</v>
      </c>
      <c r="M219" s="89">
        <f ca="1">DATEDIF(L219,TODAY(),"y")</f>
        <v>38</v>
      </c>
      <c r="N219" s="90" t="s">
        <v>119</v>
      </c>
      <c r="O219" s="91"/>
      <c r="P219" s="92" t="s">
        <v>56</v>
      </c>
      <c r="Q219" s="90"/>
      <c r="R219" s="90"/>
      <c r="S219" s="90" t="s">
        <v>57</v>
      </c>
      <c r="T219" s="90" t="s">
        <v>129</v>
      </c>
      <c r="U219" s="93">
        <v>9043337896</v>
      </c>
      <c r="V219" s="94" t="s">
        <v>130</v>
      </c>
      <c r="W219" s="81"/>
      <c r="X219" s="93">
        <v>5608860509</v>
      </c>
      <c r="Y219" s="83" t="s">
        <v>131</v>
      </c>
      <c r="Z219" s="81"/>
      <c r="AA219" s="90" t="s">
        <v>132</v>
      </c>
      <c r="AB219" s="90" t="s">
        <v>99</v>
      </c>
      <c r="AC219" s="90" t="s">
        <v>100</v>
      </c>
      <c r="AD219" s="90" t="s">
        <v>101</v>
      </c>
      <c r="AE219" s="90" t="s">
        <v>133</v>
      </c>
      <c r="AF219" s="85" t="str">
        <f>VLOOKUP(B219,[2]Current!$B$2:$W$44,22,0)</f>
        <v>1/128,THOTTIPALAYAM,SULUR TALUK,KARAVALLIMADAPPUR,COIMBATORE, TAMILNADU-641668</v>
      </c>
      <c r="AG219" s="95">
        <v>7060</v>
      </c>
      <c r="AH219" s="95">
        <v>8025</v>
      </c>
      <c r="AI219" s="96"/>
      <c r="AJ219" s="96"/>
      <c r="AK219" s="96"/>
      <c r="AL219" s="97">
        <v>15085</v>
      </c>
      <c r="AM219" s="97">
        <v>15000</v>
      </c>
      <c r="AN219" s="97">
        <f t="shared" ref="AN219" si="16">AM219*13%</f>
        <v>1950</v>
      </c>
      <c r="AO219" s="97">
        <f t="shared" ref="AO219" si="17">AL219*3.25%</f>
        <v>490.26249999999999</v>
      </c>
      <c r="AP219" s="97">
        <f t="shared" ref="AP219" si="18">AL219/12</f>
        <v>1257.0833333333333</v>
      </c>
      <c r="AQ219" s="96"/>
      <c r="AR219" s="96"/>
      <c r="AS219" s="98">
        <f t="shared" ref="AS219" si="19">AL219*8%</f>
        <v>1206.8</v>
      </c>
      <c r="AT219" s="97">
        <f>AL219+AN219+AO219+AP219+AR219+AS219</f>
        <v>19989.145833333332</v>
      </c>
    </row>
    <row r="220" spans="1:48" s="1" customFormat="1" ht="12.75" customHeight="1">
      <c r="A220" s="20">
        <f t="shared" si="15"/>
        <v>218</v>
      </c>
      <c r="B220" s="21" t="s">
        <v>48</v>
      </c>
      <c r="C220" s="22" t="s">
        <v>49</v>
      </c>
      <c r="D220" s="20" t="s">
        <v>50</v>
      </c>
      <c r="E220" s="23" t="s">
        <v>51</v>
      </c>
      <c r="F220" s="23" t="s">
        <v>52</v>
      </c>
      <c r="G220" s="24" t="s">
        <v>53</v>
      </c>
      <c r="H220" s="24" t="s">
        <v>54</v>
      </c>
      <c r="I220" s="23"/>
      <c r="J220" s="25">
        <v>45467</v>
      </c>
      <c r="K220" s="26">
        <f ca="1">(TODAY()-J220)/365</f>
        <v>2.1561643835616437</v>
      </c>
      <c r="L220" s="27">
        <v>36560</v>
      </c>
      <c r="M220" s="28">
        <f ca="1">DATEDIF(L220,TODAY(),"y")</f>
        <v>26</v>
      </c>
      <c r="N220" s="29" t="s">
        <v>55</v>
      </c>
      <c r="O220" s="20"/>
      <c r="P220" s="30" t="s">
        <v>56</v>
      </c>
      <c r="Q220" s="24"/>
      <c r="R220" s="24"/>
      <c r="S220" s="22" t="s">
        <v>57</v>
      </c>
      <c r="T220" s="22" t="s">
        <v>58</v>
      </c>
      <c r="U220" s="29" t="s">
        <v>59</v>
      </c>
      <c r="V220" s="31" t="s">
        <v>60</v>
      </c>
      <c r="W220" s="32"/>
      <c r="X220" s="33">
        <v>5610681980</v>
      </c>
      <c r="Y220" s="34" t="s">
        <v>61</v>
      </c>
      <c r="Z220" s="32"/>
      <c r="AA220" s="35" t="s">
        <v>62</v>
      </c>
      <c r="AB220" s="35" t="s">
        <v>63</v>
      </c>
      <c r="AC220" s="36" t="s">
        <v>64</v>
      </c>
      <c r="AD220" s="35" t="s">
        <v>65</v>
      </c>
      <c r="AE220" s="24" t="s">
        <v>66</v>
      </c>
      <c r="AF220" s="24" t="str">
        <f>VLOOKUP(B220,[1]Current!$B$2:$W$44,22,0)</f>
        <v>81/10,SALLIMADU STREET,KALIPALAYAM,SAMALAPURAM,TIRUPPUR,TAMIL NADU-641663</v>
      </c>
      <c r="AG220" s="37">
        <v>7060</v>
      </c>
      <c r="AH220" s="37">
        <v>8025</v>
      </c>
      <c r="AI220" s="38"/>
      <c r="AJ220" s="38"/>
      <c r="AK220" s="38"/>
      <c r="AL220" s="38">
        <v>15085</v>
      </c>
      <c r="AM220" s="38">
        <v>15000</v>
      </c>
      <c r="AN220" s="38">
        <f>AM220*13%</f>
        <v>1950</v>
      </c>
      <c r="AO220" s="38">
        <f>AL220*3.25%</f>
        <v>490.26249999999999</v>
      </c>
      <c r="AP220" s="38">
        <f>AL220/12</f>
        <v>1257.0833333333333</v>
      </c>
      <c r="AQ220" s="38"/>
      <c r="AR220" s="39"/>
      <c r="AS220" s="40">
        <f>AL220*8%</f>
        <v>1206.8</v>
      </c>
      <c r="AT220" s="38">
        <f>AL220+AN220+AO220+AP220+AR220+AS220</f>
        <v>19989.145833333332</v>
      </c>
      <c r="AV220" s="41"/>
    </row>
    <row r="221" spans="1:48" s="1" customFormat="1" ht="24">
      <c r="A221" s="20">
        <f t="shared" si="15"/>
        <v>219</v>
      </c>
      <c r="B221" s="28" t="s">
        <v>303</v>
      </c>
      <c r="C221" s="20" t="s">
        <v>304</v>
      </c>
      <c r="D221" s="20" t="s">
        <v>50</v>
      </c>
      <c r="E221" s="23" t="s">
        <v>51</v>
      </c>
      <c r="F221" s="23" t="s">
        <v>83</v>
      </c>
      <c r="G221" s="24" t="s">
        <v>53</v>
      </c>
      <c r="H221" s="30" t="s">
        <v>54</v>
      </c>
      <c r="I221" s="23"/>
      <c r="J221" s="27">
        <v>46192</v>
      </c>
      <c r="K221" s="26">
        <f ca="1">(TODAY()-J221)/365</f>
        <v>0.16986301369863013</v>
      </c>
      <c r="L221" s="27">
        <v>38857</v>
      </c>
      <c r="M221" s="28">
        <f ca="1">DATEDIF(L221,TODAY(),"y")</f>
        <v>20</v>
      </c>
      <c r="N221" s="23"/>
      <c r="O221" s="20"/>
      <c r="P221" s="53" t="s">
        <v>56</v>
      </c>
      <c r="Q221" s="20" t="s">
        <v>305</v>
      </c>
      <c r="R221" s="24"/>
      <c r="S221" s="20" t="s">
        <v>57</v>
      </c>
      <c r="T221" s="20" t="s">
        <v>306</v>
      </c>
      <c r="U221" s="34">
        <v>9611784317</v>
      </c>
      <c r="V221" s="34"/>
      <c r="W221" s="34"/>
      <c r="X221" s="34">
        <v>5611719937</v>
      </c>
      <c r="Y221" s="34" t="s">
        <v>307</v>
      </c>
      <c r="Z221" s="34"/>
      <c r="AA221" s="34" t="s">
        <v>308</v>
      </c>
      <c r="AB221" s="30" t="s">
        <v>309</v>
      </c>
      <c r="AC221" s="30" t="s">
        <v>310</v>
      </c>
      <c r="AD221" s="30"/>
      <c r="AE221" s="20" t="s">
        <v>241</v>
      </c>
      <c r="AF221" s="20" t="s">
        <v>311</v>
      </c>
      <c r="AG221" s="37">
        <v>7060</v>
      </c>
      <c r="AH221" s="38">
        <v>7981</v>
      </c>
      <c r="AI221" s="38"/>
      <c r="AJ221" s="38"/>
      <c r="AK221" s="38"/>
      <c r="AL221" s="38">
        <v>15041</v>
      </c>
      <c r="AM221" s="38">
        <v>15000</v>
      </c>
      <c r="AN221" s="38">
        <f>AM221*13%</f>
        <v>1950</v>
      </c>
      <c r="AO221" s="38">
        <f>AL221*3.25%</f>
        <v>488.83250000000004</v>
      </c>
      <c r="AP221" s="38">
        <f>AL221/12</f>
        <v>1253.4166666666667</v>
      </c>
      <c r="AQ221" s="38"/>
      <c r="AR221" s="39"/>
      <c r="AS221" s="40">
        <f>AL221*8%</f>
        <v>1203.28</v>
      </c>
      <c r="AT221" s="38">
        <f>AL221+AN221+AO221+AP221+AR221+AS221</f>
        <v>19936.529166666667</v>
      </c>
      <c r="AU221" s="56"/>
      <c r="AV221" s="56"/>
    </row>
  </sheetData>
  <mergeCells count="1">
    <mergeCell ref="AG1:AT1"/>
  </mergeCells>
  <conditionalFormatting sqref="AA204 AA204">
    <cfRule type="duplicateValues" dxfId="706" priority="36"/>
  </conditionalFormatting>
  <conditionalFormatting sqref="Y204 Y204">
    <cfRule type="duplicateValues" dxfId="705" priority="37"/>
  </conditionalFormatting>
  <conditionalFormatting sqref="Y204">
    <cfRule type="duplicateValues" dxfId="704" priority="38"/>
    <cfRule type="duplicateValues" dxfId="703" priority="39"/>
  </conditionalFormatting>
  <conditionalFormatting sqref="B204">
    <cfRule type="duplicateValues" dxfId="702" priority="40"/>
  </conditionalFormatting>
  <conditionalFormatting sqref="B204">
    <cfRule type="duplicateValues" dxfId="701" priority="41"/>
    <cfRule type="duplicateValues" dxfId="700" priority="42"/>
    <cfRule type="duplicateValues" dxfId="699" priority="43"/>
  </conditionalFormatting>
  <conditionalFormatting sqref="X204">
    <cfRule type="duplicateValues" dxfId="698" priority="44"/>
  </conditionalFormatting>
  <conditionalFormatting sqref="V204">
    <cfRule type="duplicateValues" dxfId="697" priority="45"/>
  </conditionalFormatting>
  <conditionalFormatting sqref="V204:AA204">
    <cfRule type="duplicateValues" dxfId="696" priority="46"/>
  </conditionalFormatting>
  <conditionalFormatting sqref="U204">
    <cfRule type="duplicateValues" dxfId="695" priority="47"/>
  </conditionalFormatting>
  <conditionalFormatting sqref="X204">
    <cfRule type="duplicateValues" dxfId="694" priority="48"/>
    <cfRule type="duplicateValues" dxfId="693" priority="49"/>
    <cfRule type="duplicateValues" dxfId="692" priority="50"/>
  </conditionalFormatting>
  <conditionalFormatting sqref="V204">
    <cfRule type="duplicateValues" dxfId="691" priority="51"/>
    <cfRule type="duplicateValues" dxfId="690" priority="52"/>
    <cfRule type="duplicateValues" dxfId="689" priority="53"/>
  </conditionalFormatting>
  <conditionalFormatting sqref="U204 D134 D145:D161 U215">
    <cfRule type="containsText" dxfId="688" priority="54" operator="containsText" text="left">
      <formula>NOT(ISERROR(SEARCH("left",D134)))</formula>
    </cfRule>
  </conditionalFormatting>
  <conditionalFormatting sqref="AA211">
    <cfRule type="duplicateValues" dxfId="687" priority="55"/>
  </conditionalFormatting>
  <conditionalFormatting sqref="Y211">
    <cfRule type="duplicateValues" dxfId="686" priority="56"/>
  </conditionalFormatting>
  <conditionalFormatting sqref="X211">
    <cfRule type="duplicateValues" dxfId="685" priority="57"/>
  </conditionalFormatting>
  <conditionalFormatting sqref="V211">
    <cfRule type="duplicateValues" dxfId="684" priority="58"/>
  </conditionalFormatting>
  <conditionalFormatting sqref="V211:AA211">
    <cfRule type="duplicateValues" dxfId="683" priority="59"/>
  </conditionalFormatting>
  <conditionalFormatting sqref="B210">
    <cfRule type="duplicateValues" dxfId="682" priority="60"/>
  </conditionalFormatting>
  <conditionalFormatting sqref="V210:AA210">
    <cfRule type="duplicateValues" dxfId="681" priority="61"/>
  </conditionalFormatting>
  <conditionalFormatting sqref="U210">
    <cfRule type="duplicateValues" dxfId="680" priority="62"/>
  </conditionalFormatting>
  <conditionalFormatting sqref="B210">
    <cfRule type="duplicateValues" dxfId="679" priority="63"/>
    <cfRule type="duplicateValues" dxfId="678" priority="64"/>
    <cfRule type="duplicateValues" dxfId="677" priority="65"/>
  </conditionalFormatting>
  <conditionalFormatting sqref="B209">
    <cfRule type="duplicateValues" dxfId="676" priority="66"/>
  </conditionalFormatting>
  <conditionalFormatting sqref="V209:AA209">
    <cfRule type="duplicateValues" dxfId="675" priority="67"/>
  </conditionalFormatting>
  <conditionalFormatting sqref="U209">
    <cfRule type="duplicateValues" dxfId="674" priority="68"/>
  </conditionalFormatting>
  <conditionalFormatting sqref="B209">
    <cfRule type="duplicateValues" dxfId="673" priority="69"/>
    <cfRule type="duplicateValues" dxfId="672" priority="70"/>
    <cfRule type="duplicateValues" dxfId="671" priority="71"/>
  </conditionalFormatting>
  <conditionalFormatting sqref="B208">
    <cfRule type="duplicateValues" dxfId="670" priority="72"/>
  </conditionalFormatting>
  <conditionalFormatting sqref="V208:AA208">
    <cfRule type="duplicateValues" dxfId="669" priority="73"/>
  </conditionalFormatting>
  <conditionalFormatting sqref="U208">
    <cfRule type="duplicateValues" dxfId="668" priority="74"/>
  </conditionalFormatting>
  <conditionalFormatting sqref="B208">
    <cfRule type="duplicateValues" dxfId="667" priority="75"/>
    <cfRule type="duplicateValues" dxfId="666" priority="76"/>
    <cfRule type="duplicateValues" dxfId="665" priority="77"/>
  </conditionalFormatting>
  <conditionalFormatting sqref="B207">
    <cfRule type="duplicateValues" dxfId="664" priority="78"/>
    <cfRule type="duplicateValues" dxfId="663" priority="79"/>
    <cfRule type="duplicateValues" dxfId="662" priority="80"/>
  </conditionalFormatting>
  <conditionalFormatting sqref="B207">
    <cfRule type="duplicateValues" dxfId="661" priority="81"/>
  </conditionalFormatting>
  <conditionalFormatting sqref="B206">
    <cfRule type="duplicateValues" dxfId="660" priority="82"/>
    <cfRule type="duplicateValues" dxfId="659" priority="83"/>
    <cfRule type="duplicateValues" dxfId="658" priority="84"/>
  </conditionalFormatting>
  <conditionalFormatting sqref="B206">
    <cfRule type="duplicateValues" dxfId="657" priority="85"/>
  </conditionalFormatting>
  <conditionalFormatting sqref="B205">
    <cfRule type="duplicateValues" dxfId="656" priority="86"/>
    <cfRule type="duplicateValues" dxfId="655" priority="87"/>
    <cfRule type="duplicateValues" dxfId="654" priority="88"/>
  </conditionalFormatting>
  <conditionalFormatting sqref="B205">
    <cfRule type="duplicateValues" dxfId="653" priority="89"/>
  </conditionalFormatting>
  <conditionalFormatting sqref="B203:B204">
    <cfRule type="duplicateValues" dxfId="652" priority="90"/>
  </conditionalFormatting>
  <conditionalFormatting sqref="AA203:AA204">
    <cfRule type="duplicateValues" dxfId="651" priority="91"/>
  </conditionalFormatting>
  <conditionalFormatting sqref="X203:X204">
    <cfRule type="duplicateValues" dxfId="650" priority="92"/>
    <cfRule type="duplicateValues" dxfId="649" priority="93"/>
    <cfRule type="duplicateValues" dxfId="648" priority="94"/>
  </conditionalFormatting>
  <conditionalFormatting sqref="X203:X204">
    <cfRule type="duplicateValues" dxfId="647" priority="95"/>
  </conditionalFormatting>
  <conditionalFormatting sqref="Y203:Y204">
    <cfRule type="duplicateValues" dxfId="646" priority="96"/>
  </conditionalFormatting>
  <conditionalFormatting sqref="Y203:Y204">
    <cfRule type="duplicateValues" dxfId="645" priority="97"/>
    <cfRule type="duplicateValues" dxfId="644" priority="98"/>
  </conditionalFormatting>
  <conditionalFormatting sqref="V203:V204">
    <cfRule type="duplicateValues" dxfId="643" priority="99"/>
    <cfRule type="duplicateValues" dxfId="642" priority="100"/>
    <cfRule type="duplicateValues" dxfId="641" priority="101"/>
  </conditionalFormatting>
  <conditionalFormatting sqref="V203:V204">
    <cfRule type="duplicateValues" dxfId="640" priority="102"/>
  </conditionalFormatting>
  <conditionalFormatting sqref="V203:AA204">
    <cfRule type="duplicateValues" dxfId="639" priority="103"/>
  </conditionalFormatting>
  <conditionalFormatting sqref="U203:U204">
    <cfRule type="duplicateValues" dxfId="638" priority="104"/>
  </conditionalFormatting>
  <conditionalFormatting sqref="B203:B204">
    <cfRule type="duplicateValues" dxfId="637" priority="105"/>
    <cfRule type="duplicateValues" dxfId="636" priority="106"/>
    <cfRule type="duplicateValues" dxfId="635" priority="107"/>
  </conditionalFormatting>
  <conditionalFormatting sqref="B201:B202">
    <cfRule type="duplicateValues" dxfId="634" priority="108"/>
  </conditionalFormatting>
  <conditionalFormatting sqref="V201:AA202">
    <cfRule type="duplicateValues" dxfId="633" priority="109"/>
  </conditionalFormatting>
  <conditionalFormatting sqref="U201:U202">
    <cfRule type="duplicateValues" dxfId="632" priority="110"/>
  </conditionalFormatting>
  <conditionalFormatting sqref="B201:B202">
    <cfRule type="duplicateValues" dxfId="631" priority="111"/>
    <cfRule type="duplicateValues" dxfId="630" priority="112"/>
    <cfRule type="duplicateValues" dxfId="629" priority="113"/>
  </conditionalFormatting>
  <conditionalFormatting sqref="B200">
    <cfRule type="duplicateValues" dxfId="628" priority="114"/>
  </conditionalFormatting>
  <conditionalFormatting sqref="V200:AA200">
    <cfRule type="duplicateValues" dxfId="627" priority="115"/>
  </conditionalFormatting>
  <conditionalFormatting sqref="U200">
    <cfRule type="duplicateValues" dxfId="626" priority="116"/>
  </conditionalFormatting>
  <conditionalFormatting sqref="B200">
    <cfRule type="duplicateValues" dxfId="625" priority="117"/>
    <cfRule type="duplicateValues" dxfId="624" priority="118"/>
    <cfRule type="duplicateValues" dxfId="623" priority="119"/>
  </conditionalFormatting>
  <conditionalFormatting sqref="AA199">
    <cfRule type="duplicateValues" dxfId="622" priority="120"/>
  </conditionalFormatting>
  <conditionalFormatting sqref="Y199">
    <cfRule type="duplicateValues" dxfId="621" priority="121"/>
  </conditionalFormatting>
  <conditionalFormatting sqref="V194:AA198">
    <cfRule type="duplicateValues" dxfId="620" priority="122"/>
  </conditionalFormatting>
  <conditionalFormatting sqref="U194:U198">
    <cfRule type="duplicateValues" dxfId="619" priority="123"/>
  </conditionalFormatting>
  <conditionalFormatting sqref="B194:B198">
    <cfRule type="duplicateValues" dxfId="618" priority="124"/>
    <cfRule type="duplicateValues" dxfId="617" priority="125"/>
    <cfRule type="duplicateValues" dxfId="616" priority="126"/>
  </conditionalFormatting>
  <conditionalFormatting sqref="AA188:AA193">
    <cfRule type="duplicateValues" dxfId="615" priority="127"/>
  </conditionalFormatting>
  <conditionalFormatting sqref="Y188:Y193">
    <cfRule type="duplicateValues" dxfId="614" priority="128"/>
    <cfRule type="duplicateValues" dxfId="613" priority="129"/>
  </conditionalFormatting>
  <conditionalFormatting sqref="Y188:Y193">
    <cfRule type="duplicateValues" dxfId="612" priority="130"/>
  </conditionalFormatting>
  <conditionalFormatting sqref="X188:X193">
    <cfRule type="duplicateValues" dxfId="611" priority="131"/>
    <cfRule type="duplicateValues" dxfId="610" priority="132"/>
    <cfRule type="duplicateValues" dxfId="609" priority="133"/>
  </conditionalFormatting>
  <conditionalFormatting sqref="X188:X193">
    <cfRule type="duplicateValues" dxfId="608" priority="134"/>
    <cfRule type="duplicateValues" dxfId="607" priority="135"/>
  </conditionalFormatting>
  <conditionalFormatting sqref="X188:X193">
    <cfRule type="duplicateValues" dxfId="606" priority="136"/>
  </conditionalFormatting>
  <conditionalFormatting sqref="V188:V193">
    <cfRule type="duplicateValues" dxfId="605" priority="137"/>
    <cfRule type="duplicateValues" dxfId="604" priority="138"/>
    <cfRule type="duplicateValues" dxfId="603" priority="139"/>
  </conditionalFormatting>
  <conditionalFormatting sqref="V188:V193">
    <cfRule type="duplicateValues" dxfId="602" priority="140"/>
  </conditionalFormatting>
  <conditionalFormatting sqref="V192:AA193">
    <cfRule type="duplicateValues" dxfId="601" priority="141"/>
  </conditionalFormatting>
  <conditionalFormatting sqref="AA181:AA182">
    <cfRule type="duplicateValues" dxfId="600" priority="142"/>
    <cfRule type="duplicateValues" dxfId="599" priority="143"/>
  </conditionalFormatting>
  <conditionalFormatting sqref="AA181:AA182">
    <cfRule type="duplicateValues" dxfId="598" priority="144"/>
  </conditionalFormatting>
  <conditionalFormatting sqref="AA185:AA187">
    <cfRule type="duplicateValues" dxfId="597" priority="145"/>
  </conditionalFormatting>
  <conditionalFormatting sqref="AA185">
    <cfRule type="duplicateValues" dxfId="596" priority="146"/>
  </conditionalFormatting>
  <conditionalFormatting sqref="AA184">
    <cfRule type="duplicateValues" dxfId="595" priority="147"/>
  </conditionalFormatting>
  <conditionalFormatting sqref="AA181:AB182">
    <cfRule type="duplicateValues" dxfId="594" priority="148"/>
  </conditionalFormatting>
  <conditionalFormatting sqref="AA181:AA187">
    <cfRule type="duplicateValues" dxfId="593" priority="149"/>
  </conditionalFormatting>
  <conditionalFormatting sqref="Y185:Y187">
    <cfRule type="duplicateValues" dxfId="592" priority="150"/>
  </conditionalFormatting>
  <conditionalFormatting sqref="Y181:Y187">
    <cfRule type="duplicateValues" dxfId="591" priority="151"/>
  </conditionalFormatting>
  <conditionalFormatting sqref="X181:X182">
    <cfRule type="duplicateValues" dxfId="590" priority="152"/>
  </conditionalFormatting>
  <conditionalFormatting sqref="X185:X187">
    <cfRule type="duplicateValues" dxfId="589" priority="153"/>
    <cfRule type="duplicateValues" dxfId="588" priority="154"/>
  </conditionalFormatting>
  <conditionalFormatting sqref="X185:X187">
    <cfRule type="duplicateValues" dxfId="587" priority="155"/>
  </conditionalFormatting>
  <conditionalFormatting sqref="X186:X187">
    <cfRule type="duplicateValues" dxfId="586" priority="156"/>
    <cfRule type="duplicateValues" dxfId="585" priority="157"/>
  </conditionalFormatting>
  <conditionalFormatting sqref="X186:X187">
    <cfRule type="duplicateValues" dxfId="584" priority="158"/>
  </conditionalFormatting>
  <conditionalFormatting sqref="X185:X187 X181:X182">
    <cfRule type="duplicateValues" dxfId="583" priority="159"/>
  </conditionalFormatting>
  <conditionalFormatting sqref="V181:V182">
    <cfRule type="duplicateValues" dxfId="582" priority="160"/>
  </conditionalFormatting>
  <conditionalFormatting sqref="V185:V187">
    <cfRule type="duplicateValues" dxfId="581" priority="161"/>
  </conditionalFormatting>
  <conditionalFormatting sqref="V185:V187 V181:V183">
    <cfRule type="duplicateValues" dxfId="580" priority="162"/>
  </conditionalFormatting>
  <conditionalFormatting sqref="AA180">
    <cfRule type="duplicateValues" dxfId="579" priority="163"/>
  </conditionalFormatting>
  <conditionalFormatting sqref="AA179">
    <cfRule type="duplicateValues" dxfId="578" priority="164"/>
  </conditionalFormatting>
  <conditionalFormatting sqref="AA177:AA180">
    <cfRule type="duplicateValues" dxfId="577" priority="165"/>
  </conditionalFormatting>
  <conditionalFormatting sqref="AA178:AA179">
    <cfRule type="duplicateValues" dxfId="576" priority="166"/>
  </conditionalFormatting>
  <conditionalFormatting sqref="AA177">
    <cfRule type="duplicateValues" dxfId="575" priority="167"/>
  </conditionalFormatting>
  <conditionalFormatting sqref="Y180">
    <cfRule type="duplicateValues" dxfId="574" priority="168"/>
  </conditionalFormatting>
  <conditionalFormatting sqref="Y179">
    <cfRule type="duplicateValues" dxfId="573" priority="169"/>
  </conditionalFormatting>
  <conditionalFormatting sqref="Y177:Y180">
    <cfRule type="duplicateValues" dxfId="572" priority="170"/>
  </conditionalFormatting>
  <conditionalFormatting sqref="Y178:Y179">
    <cfRule type="duplicateValues" dxfId="571" priority="171"/>
  </conditionalFormatting>
  <conditionalFormatting sqref="Y177">
    <cfRule type="duplicateValues" dxfId="570" priority="172"/>
  </conditionalFormatting>
  <conditionalFormatting sqref="X177:X180">
    <cfRule type="duplicateValues" dxfId="569" priority="173"/>
  </conditionalFormatting>
  <conditionalFormatting sqref="X180">
    <cfRule type="duplicateValues" dxfId="568" priority="174"/>
  </conditionalFormatting>
  <conditionalFormatting sqref="V177:V180">
    <cfRule type="duplicateValues" dxfId="567" priority="175"/>
  </conditionalFormatting>
  <conditionalFormatting sqref="V180">
    <cfRule type="duplicateValues" dxfId="566" priority="176"/>
  </conditionalFormatting>
  <conditionalFormatting sqref="AA176">
    <cfRule type="duplicateValues" dxfId="565" priority="177"/>
  </conditionalFormatting>
  <conditionalFormatting sqref="Y176">
    <cfRule type="duplicateValues" dxfId="564" priority="178"/>
  </conditionalFormatting>
  <conditionalFormatting sqref="X176">
    <cfRule type="duplicateValues" dxfId="563" priority="179"/>
  </conditionalFormatting>
  <conditionalFormatting sqref="V176">
    <cfRule type="duplicateValues" dxfId="562" priority="180"/>
  </conditionalFormatting>
  <conditionalFormatting sqref="AA175">
    <cfRule type="duplicateValues" dxfId="561" priority="181"/>
  </conditionalFormatting>
  <conditionalFormatting sqref="Y175">
    <cfRule type="duplicateValues" dxfId="560" priority="182"/>
  </conditionalFormatting>
  <conditionalFormatting sqref="X175">
    <cfRule type="duplicateValues" dxfId="559" priority="183"/>
  </conditionalFormatting>
  <conditionalFormatting sqref="V175">
    <cfRule type="duplicateValues" dxfId="558" priority="184"/>
  </conditionalFormatting>
  <conditionalFormatting sqref="AA174">
    <cfRule type="duplicateValues" dxfId="557" priority="185"/>
  </conditionalFormatting>
  <conditionalFormatting sqref="Y174">
    <cfRule type="duplicateValues" dxfId="556" priority="186"/>
  </conditionalFormatting>
  <conditionalFormatting sqref="X174">
    <cfRule type="duplicateValues" dxfId="555" priority="187"/>
  </conditionalFormatting>
  <conditionalFormatting sqref="V174">
    <cfRule type="duplicateValues" dxfId="554" priority="188"/>
  </conditionalFormatting>
  <conditionalFormatting sqref="AA173">
    <cfRule type="duplicateValues" dxfId="553" priority="189"/>
  </conditionalFormatting>
  <conditionalFormatting sqref="AA172">
    <cfRule type="duplicateValues" dxfId="552" priority="190"/>
  </conditionalFormatting>
  <conditionalFormatting sqref="AA172:AA173">
    <cfRule type="duplicateValues" dxfId="551" priority="191"/>
  </conditionalFormatting>
  <conditionalFormatting sqref="AC172:AC173 AA172:AA173">
    <cfRule type="duplicateValues" dxfId="550" priority="192"/>
  </conditionalFormatting>
  <conditionalFormatting sqref="AB172:AB173">
    <cfRule type="duplicateValues" dxfId="549" priority="193"/>
  </conditionalFormatting>
  <conditionalFormatting sqref="AA172:AC173">
    <cfRule type="duplicateValues" dxfId="548" priority="194"/>
  </conditionalFormatting>
  <conditionalFormatting sqref="Y172">
    <cfRule type="duplicateValues" dxfId="547" priority="195"/>
  </conditionalFormatting>
  <conditionalFormatting sqref="Y172:Y173">
    <cfRule type="duplicateValues" dxfId="546" priority="196"/>
  </conditionalFormatting>
  <conditionalFormatting sqref="X172:X173">
    <cfRule type="duplicateValues" dxfId="545" priority="197"/>
  </conditionalFormatting>
  <conditionalFormatting sqref="V172:V173">
    <cfRule type="containsText" dxfId="544" priority="198" operator="containsText" text="HINDI">
      <formula>NOT(ISERROR(SEARCH("HINDI",V172)))</formula>
    </cfRule>
  </conditionalFormatting>
  <conditionalFormatting sqref="V172:V173">
    <cfRule type="duplicateValues" dxfId="543" priority="199"/>
  </conditionalFormatting>
  <conditionalFormatting sqref="Y171">
    <cfRule type="duplicateValues" dxfId="542" priority="200"/>
  </conditionalFormatting>
  <conditionalFormatting sqref="Y171">
    <cfRule type="duplicateValues" dxfId="541" priority="201"/>
    <cfRule type="duplicateValues" dxfId="540" priority="202"/>
  </conditionalFormatting>
  <conditionalFormatting sqref="Y170">
    <cfRule type="duplicateValues" dxfId="539" priority="203"/>
  </conditionalFormatting>
  <conditionalFormatting sqref="Y142:Y161">
    <cfRule type="duplicateValues" dxfId="538" priority="204"/>
  </conditionalFormatting>
  <conditionalFormatting sqref="Y145:Y161">
    <cfRule type="duplicateValues" dxfId="537" priority="205"/>
  </conditionalFormatting>
  <conditionalFormatting sqref="Y145:Y161">
    <cfRule type="duplicateValues" dxfId="536" priority="206"/>
    <cfRule type="duplicateValues" dxfId="535" priority="207"/>
  </conditionalFormatting>
  <conditionalFormatting sqref="Y169">
    <cfRule type="duplicateValues" dxfId="534" priority="208"/>
    <cfRule type="duplicateValues" dxfId="533" priority="209"/>
  </conditionalFormatting>
  <conditionalFormatting sqref="Y169">
    <cfRule type="duplicateValues" dxfId="532" priority="210"/>
  </conditionalFormatting>
  <conditionalFormatting sqref="Y168">
    <cfRule type="duplicateValues" dxfId="531" priority="211"/>
  </conditionalFormatting>
  <conditionalFormatting sqref="Y167">
    <cfRule type="duplicateValues" dxfId="530" priority="212"/>
  </conditionalFormatting>
  <conditionalFormatting sqref="Y166">
    <cfRule type="duplicateValues" dxfId="529" priority="213"/>
  </conditionalFormatting>
  <conditionalFormatting sqref="Y165">
    <cfRule type="duplicateValues" dxfId="528" priority="214"/>
  </conditionalFormatting>
  <conditionalFormatting sqref="Y164">
    <cfRule type="duplicateValues" dxfId="527" priority="215"/>
  </conditionalFormatting>
  <conditionalFormatting sqref="Y163">
    <cfRule type="duplicateValues" dxfId="526" priority="216"/>
  </conditionalFormatting>
  <conditionalFormatting sqref="Y162">
    <cfRule type="duplicateValues" dxfId="525" priority="217"/>
  </conditionalFormatting>
  <conditionalFormatting sqref="Y147:Y161">
    <cfRule type="duplicateValues" dxfId="524" priority="218"/>
  </conditionalFormatting>
  <conditionalFormatting sqref="Y149:Y161">
    <cfRule type="duplicateValues" dxfId="523" priority="219"/>
  </conditionalFormatting>
  <conditionalFormatting sqref="Y147:Y148">
    <cfRule type="duplicateValues" dxfId="522" priority="220"/>
  </conditionalFormatting>
  <conditionalFormatting sqref="Y142:Y144">
    <cfRule type="duplicateValues" dxfId="521" priority="221"/>
  </conditionalFormatting>
  <conditionalFormatting sqref="Y141">
    <cfRule type="duplicateValues" dxfId="520" priority="222"/>
  </conditionalFormatting>
  <conditionalFormatting sqref="Y140">
    <cfRule type="duplicateValues" dxfId="519" priority="223"/>
  </conditionalFormatting>
  <conditionalFormatting sqref="Y139">
    <cfRule type="duplicateValues" dxfId="518" priority="224"/>
  </conditionalFormatting>
  <conditionalFormatting sqref="Y136:Y138">
    <cfRule type="duplicateValues" dxfId="517" priority="225"/>
  </conditionalFormatting>
  <conditionalFormatting sqref="Y135">
    <cfRule type="duplicateValues" dxfId="516" priority="226"/>
  </conditionalFormatting>
  <conditionalFormatting sqref="Y134">
    <cfRule type="duplicateValues" dxfId="515" priority="227"/>
  </conditionalFormatting>
  <conditionalFormatting sqref="Y133">
    <cfRule type="duplicateValues" dxfId="514" priority="228"/>
  </conditionalFormatting>
  <conditionalFormatting sqref="Y132">
    <cfRule type="duplicateValues" dxfId="513" priority="229"/>
  </conditionalFormatting>
  <conditionalFormatting sqref="Y131">
    <cfRule type="duplicateValues" dxfId="512" priority="230"/>
  </conditionalFormatting>
  <conditionalFormatting sqref="Y130">
    <cfRule type="duplicateValues" dxfId="511" priority="231"/>
  </conditionalFormatting>
  <conditionalFormatting sqref="Y129">
    <cfRule type="duplicateValues" dxfId="510" priority="232"/>
  </conditionalFormatting>
  <conditionalFormatting sqref="Y123">
    <cfRule type="duplicateValues" dxfId="509" priority="233"/>
  </conditionalFormatting>
  <conditionalFormatting sqref="Y127:Y128">
    <cfRule type="duplicateValues" dxfId="508" priority="234"/>
  </conditionalFormatting>
  <conditionalFormatting sqref="Y124:Y126">
    <cfRule type="duplicateValues" dxfId="507" priority="235"/>
  </conditionalFormatting>
  <conditionalFormatting sqref="Y119">
    <cfRule type="duplicateValues" dxfId="506" priority="236"/>
  </conditionalFormatting>
  <conditionalFormatting sqref="Y118">
    <cfRule type="duplicateValues" dxfId="505" priority="237"/>
  </conditionalFormatting>
  <conditionalFormatting sqref="Y117">
    <cfRule type="duplicateValues" dxfId="504" priority="238"/>
  </conditionalFormatting>
  <conditionalFormatting sqref="Y115:Y116">
    <cfRule type="duplicateValues" dxfId="503" priority="239"/>
  </conditionalFormatting>
  <conditionalFormatting sqref="Y112:Y113">
    <cfRule type="duplicateValues" dxfId="502" priority="240"/>
  </conditionalFormatting>
  <conditionalFormatting sqref="Y108:Y113">
    <cfRule type="duplicateValues" dxfId="501" priority="241"/>
  </conditionalFormatting>
  <conditionalFormatting sqref="Y108:Y110">
    <cfRule type="duplicateValues" dxfId="500" priority="242"/>
  </conditionalFormatting>
  <conditionalFormatting sqref="Y111:Y113">
    <cfRule type="duplicateValues" dxfId="499" priority="243"/>
  </conditionalFormatting>
  <conditionalFormatting sqref="Y107">
    <cfRule type="duplicateValues" dxfId="498" priority="244"/>
  </conditionalFormatting>
  <conditionalFormatting sqref="Y102:Y106">
    <cfRule type="duplicateValues" dxfId="497" priority="245"/>
  </conditionalFormatting>
  <conditionalFormatting sqref="Y100:Y101">
    <cfRule type="duplicateValues" dxfId="496" priority="246"/>
  </conditionalFormatting>
  <conditionalFormatting sqref="Y100:Y106">
    <cfRule type="duplicateValues" dxfId="495" priority="247"/>
  </conditionalFormatting>
  <conditionalFormatting sqref="Y97">
    <cfRule type="duplicateValues" dxfId="494" priority="248"/>
  </conditionalFormatting>
  <conditionalFormatting sqref="Y93">
    <cfRule type="duplicateValues" dxfId="493" priority="249"/>
  </conditionalFormatting>
  <conditionalFormatting sqref="Y92:Y93">
    <cfRule type="duplicateValues" dxfId="492" priority="250"/>
  </conditionalFormatting>
  <conditionalFormatting sqref="Y91:Y93">
    <cfRule type="duplicateValues" dxfId="491" priority="251"/>
  </conditionalFormatting>
  <conditionalFormatting sqref="Y90:Y93">
    <cfRule type="duplicateValues" dxfId="490" priority="252"/>
  </conditionalFormatting>
  <conditionalFormatting sqref="Y89">
    <cfRule type="duplicateValues" dxfId="489" priority="253"/>
  </conditionalFormatting>
  <conditionalFormatting sqref="Y88">
    <cfRule type="duplicateValues" dxfId="488" priority="254"/>
  </conditionalFormatting>
  <conditionalFormatting sqref="Y86">
    <cfRule type="duplicateValues" dxfId="487" priority="255"/>
  </conditionalFormatting>
  <conditionalFormatting sqref="X171">
    <cfRule type="duplicateValues" dxfId="486" priority="256"/>
    <cfRule type="duplicateValues" dxfId="485" priority="257"/>
    <cfRule type="duplicateValues" dxfId="484" priority="258"/>
  </conditionalFormatting>
  <conditionalFormatting sqref="X171">
    <cfRule type="duplicateValues" dxfId="483" priority="259"/>
  </conditionalFormatting>
  <conditionalFormatting sqref="X142:X161">
    <cfRule type="duplicateValues" dxfId="482" priority="260"/>
  </conditionalFormatting>
  <conditionalFormatting sqref="X147:X161">
    <cfRule type="duplicateValues" dxfId="481" priority="261"/>
    <cfRule type="duplicateValues" dxfId="480" priority="262"/>
  </conditionalFormatting>
  <conditionalFormatting sqref="X147:X161">
    <cfRule type="duplicateValues" dxfId="479" priority="263"/>
  </conditionalFormatting>
  <conditionalFormatting sqref="X145:X161">
    <cfRule type="duplicateValues" dxfId="478" priority="264"/>
    <cfRule type="duplicateValues" dxfId="477" priority="265"/>
    <cfRule type="duplicateValues" dxfId="476" priority="266"/>
  </conditionalFormatting>
  <conditionalFormatting sqref="X145:X161">
    <cfRule type="duplicateValues" dxfId="475" priority="267"/>
    <cfRule type="duplicateValues" dxfId="474" priority="268"/>
  </conditionalFormatting>
  <conditionalFormatting sqref="X145:X161">
    <cfRule type="duplicateValues" dxfId="473" priority="269"/>
  </conditionalFormatting>
  <conditionalFormatting sqref="X169">
    <cfRule type="duplicateValues" dxfId="472" priority="270"/>
    <cfRule type="duplicateValues" dxfId="471" priority="271"/>
    <cfRule type="duplicateValues" dxfId="470" priority="272"/>
  </conditionalFormatting>
  <conditionalFormatting sqref="X169">
    <cfRule type="duplicateValues" dxfId="469" priority="273"/>
    <cfRule type="duplicateValues" dxfId="468" priority="274"/>
  </conditionalFormatting>
  <conditionalFormatting sqref="X169">
    <cfRule type="duplicateValues" dxfId="467" priority="275"/>
  </conditionalFormatting>
  <conditionalFormatting sqref="X164">
    <cfRule type="duplicateValues" dxfId="466" priority="276"/>
  </conditionalFormatting>
  <conditionalFormatting sqref="X163">
    <cfRule type="duplicateValues" dxfId="465" priority="277"/>
  </conditionalFormatting>
  <conditionalFormatting sqref="X162">
    <cfRule type="duplicateValues" dxfId="464" priority="278"/>
  </conditionalFormatting>
  <conditionalFormatting sqref="X149:X153 X155:X161">
    <cfRule type="duplicateValues" dxfId="463" priority="279"/>
    <cfRule type="duplicateValues" dxfId="462" priority="280"/>
  </conditionalFormatting>
  <conditionalFormatting sqref="X149:X153">
    <cfRule type="duplicateValues" dxfId="461" priority="281"/>
  </conditionalFormatting>
  <conditionalFormatting sqref="X147:X148">
    <cfRule type="duplicateValues" dxfId="460" priority="282"/>
    <cfRule type="duplicateValues" dxfId="459" priority="283"/>
  </conditionalFormatting>
  <conditionalFormatting sqref="X147:X148">
    <cfRule type="duplicateValues" dxfId="458" priority="284"/>
  </conditionalFormatting>
  <conditionalFormatting sqref="X154">
    <cfRule type="duplicateValues" dxfId="457" priority="285"/>
    <cfRule type="duplicateValues" dxfId="456" priority="286"/>
  </conditionalFormatting>
  <conditionalFormatting sqref="X154">
    <cfRule type="duplicateValues" dxfId="455" priority="287"/>
  </conditionalFormatting>
  <conditionalFormatting sqref="X149:X153 X155:X161">
    <cfRule type="duplicateValues" dxfId="454" priority="288"/>
  </conditionalFormatting>
  <conditionalFormatting sqref="X147:X153 X155:X161">
    <cfRule type="duplicateValues" dxfId="453" priority="289"/>
  </conditionalFormatting>
  <conditionalFormatting sqref="X147">
    <cfRule type="duplicateValues" dxfId="452" priority="290"/>
    <cfRule type="duplicateValues" dxfId="451" priority="291"/>
  </conditionalFormatting>
  <conditionalFormatting sqref="X147">
    <cfRule type="duplicateValues" dxfId="450" priority="292"/>
  </conditionalFormatting>
  <conditionalFormatting sqref="X142:X144">
    <cfRule type="duplicateValues" dxfId="449" priority="293"/>
    <cfRule type="duplicateValues" dxfId="448" priority="294"/>
  </conditionalFormatting>
  <conditionalFormatting sqref="X142:X144">
    <cfRule type="duplicateValues" dxfId="447" priority="295"/>
  </conditionalFormatting>
  <conditionalFormatting sqref="X143:X144">
    <cfRule type="duplicateValues" dxfId="446" priority="296"/>
  </conditionalFormatting>
  <conditionalFormatting sqref="X141">
    <cfRule type="duplicateValues" dxfId="445" priority="297"/>
  </conditionalFormatting>
  <conditionalFormatting sqref="X140">
    <cfRule type="duplicateValues" dxfId="444" priority="298"/>
    <cfRule type="duplicateValues" dxfId="443" priority="299"/>
  </conditionalFormatting>
  <conditionalFormatting sqref="X140">
    <cfRule type="duplicateValues" dxfId="442" priority="300"/>
  </conditionalFormatting>
  <conditionalFormatting sqref="X134">
    <cfRule type="duplicateValues" dxfId="441" priority="301"/>
  </conditionalFormatting>
  <conditionalFormatting sqref="X133">
    <cfRule type="duplicateValues" dxfId="440" priority="302"/>
  </conditionalFormatting>
  <conditionalFormatting sqref="X132">
    <cfRule type="duplicateValues" dxfId="439" priority="303"/>
  </conditionalFormatting>
  <conditionalFormatting sqref="X131">
    <cfRule type="duplicateValues" dxfId="438" priority="304"/>
  </conditionalFormatting>
  <conditionalFormatting sqref="X130">
    <cfRule type="duplicateValues" dxfId="437" priority="305"/>
  </conditionalFormatting>
  <conditionalFormatting sqref="X129">
    <cfRule type="duplicateValues" dxfId="436" priority="306"/>
  </conditionalFormatting>
  <conditionalFormatting sqref="X123">
    <cfRule type="duplicateValues" dxfId="435" priority="307"/>
  </conditionalFormatting>
  <conditionalFormatting sqref="X127:X128">
    <cfRule type="duplicateValues" dxfId="434" priority="308"/>
  </conditionalFormatting>
  <conditionalFormatting sqref="X124:X126">
    <cfRule type="duplicateValues" dxfId="433" priority="309"/>
  </conditionalFormatting>
  <conditionalFormatting sqref="X120">
    <cfRule type="duplicateValues" dxfId="432" priority="310"/>
  </conditionalFormatting>
  <conditionalFormatting sqref="X119">
    <cfRule type="duplicateValues" dxfId="431" priority="311"/>
  </conditionalFormatting>
  <conditionalFormatting sqref="X118">
    <cfRule type="duplicateValues" dxfId="430" priority="312"/>
  </conditionalFormatting>
  <conditionalFormatting sqref="X117">
    <cfRule type="duplicateValues" dxfId="429" priority="313"/>
  </conditionalFormatting>
  <conditionalFormatting sqref="X115:X116">
    <cfRule type="duplicateValues" dxfId="428" priority="314"/>
  </conditionalFormatting>
  <conditionalFormatting sqref="X112:X113">
    <cfRule type="duplicateValues" dxfId="427" priority="315"/>
  </conditionalFormatting>
  <conditionalFormatting sqref="X108:X113">
    <cfRule type="duplicateValues" dxfId="426" priority="316"/>
  </conditionalFormatting>
  <conditionalFormatting sqref="X108">
    <cfRule type="duplicateValues" dxfId="425" priority="317"/>
  </conditionalFormatting>
  <conditionalFormatting sqref="X110 X108">
    <cfRule type="duplicateValues" dxfId="424" priority="318"/>
  </conditionalFormatting>
  <conditionalFormatting sqref="X111:X113">
    <cfRule type="duplicateValues" dxfId="423" priority="319"/>
  </conditionalFormatting>
  <conditionalFormatting sqref="X107:X110">
    <cfRule type="duplicateValues" dxfId="422" priority="320"/>
  </conditionalFormatting>
  <conditionalFormatting sqref="X107">
    <cfRule type="duplicateValues" dxfId="421" priority="321"/>
  </conditionalFormatting>
  <conditionalFormatting sqref="X108:X110">
    <cfRule type="duplicateValues" dxfId="420" priority="322"/>
  </conditionalFormatting>
  <conditionalFormatting sqref="X102:X106">
    <cfRule type="duplicateValues" dxfId="419" priority="323"/>
  </conditionalFormatting>
  <conditionalFormatting sqref="X100:X106">
    <cfRule type="duplicateValues" dxfId="418" priority="324"/>
  </conditionalFormatting>
  <conditionalFormatting sqref="X92:X93">
    <cfRule type="duplicateValues" dxfId="417" priority="325"/>
  </conditionalFormatting>
  <conditionalFormatting sqref="X91:X93">
    <cfRule type="duplicateValues" dxfId="416" priority="326"/>
  </conditionalFormatting>
  <conditionalFormatting sqref="X90:X93">
    <cfRule type="duplicateValues" dxfId="415" priority="327"/>
  </conditionalFormatting>
  <conditionalFormatting sqref="X86">
    <cfRule type="duplicateValues" dxfId="414" priority="328"/>
  </conditionalFormatting>
  <conditionalFormatting sqref="AA126:AB126">
    <cfRule type="duplicateValues" dxfId="413" priority="329"/>
  </conditionalFormatting>
  <conditionalFormatting sqref="AA126">
    <cfRule type="duplicateValues" dxfId="412" priority="330"/>
    <cfRule type="duplicateValues" dxfId="411" priority="331"/>
  </conditionalFormatting>
  <conditionalFormatting sqref="D169">
    <cfRule type="duplicateValues" dxfId="410" priority="332"/>
  </conditionalFormatting>
  <conditionalFormatting sqref="D145:D161">
    <cfRule type="duplicateValues" dxfId="409" priority="333"/>
  </conditionalFormatting>
  <conditionalFormatting sqref="D145:D161">
    <cfRule type="containsText" dxfId="408" priority="334" operator="containsText" text="Left">
      <formula>NOT(ISERROR(SEARCH("Left",D145)))</formula>
    </cfRule>
  </conditionalFormatting>
  <conditionalFormatting sqref="D134 D145:D161">
    <cfRule type="containsText" dxfId="407" priority="336" operator="containsText" text="LEFT">
      <formula>NOT(ISERROR(SEARCH("LEFT",D134)))</formula>
    </cfRule>
  </conditionalFormatting>
  <conditionalFormatting sqref="D98:D122 D145:D161 D169">
    <cfRule type="containsText" dxfId="406" priority="337" operator="containsText" text="female">
      <formula>NOT(ISERROR(SEARCH("female",D98)))</formula>
    </cfRule>
  </conditionalFormatting>
  <conditionalFormatting sqref="D94">
    <cfRule type="duplicateValues" dxfId="405" priority="338"/>
  </conditionalFormatting>
  <conditionalFormatting sqref="D90:D93">
    <cfRule type="duplicateValues" dxfId="404" priority="339"/>
  </conditionalFormatting>
  <conditionalFormatting sqref="B145:B161">
    <cfRule type="duplicateValues" dxfId="403" priority="340"/>
  </conditionalFormatting>
  <conditionalFormatting sqref="B169">
    <cfRule type="duplicateValues" dxfId="402" priority="341"/>
  </conditionalFormatting>
  <conditionalFormatting sqref="B149:B161">
    <cfRule type="duplicateValues" dxfId="401" priority="342"/>
  </conditionalFormatting>
  <conditionalFormatting sqref="B147:B148">
    <cfRule type="duplicateValues" dxfId="400" priority="343"/>
  </conditionalFormatting>
  <conditionalFormatting sqref="B157:B160">
    <cfRule type="duplicateValues" dxfId="399" priority="344"/>
  </conditionalFormatting>
  <conditionalFormatting sqref="B147">
    <cfRule type="duplicateValues" dxfId="398" priority="345"/>
  </conditionalFormatting>
  <conditionalFormatting sqref="B142:B144">
    <cfRule type="duplicateValues" dxfId="397" priority="346"/>
    <cfRule type="duplicateValues" dxfId="396" priority="347"/>
  </conditionalFormatting>
  <conditionalFormatting sqref="B142:B144">
    <cfRule type="duplicateValues" dxfId="395" priority="348"/>
  </conditionalFormatting>
  <conditionalFormatting sqref="B141">
    <cfRule type="duplicateValues" dxfId="394" priority="349"/>
  </conditionalFormatting>
  <conditionalFormatting sqref="B140">
    <cfRule type="duplicateValues" dxfId="393" priority="350"/>
  </conditionalFormatting>
  <conditionalFormatting sqref="B65">
    <cfRule type="duplicateValues" dxfId="392" priority="351"/>
    <cfRule type="duplicateValues" dxfId="391" priority="352"/>
  </conditionalFormatting>
  <conditionalFormatting sqref="B44">
    <cfRule type="duplicateValues" dxfId="390" priority="353"/>
    <cfRule type="duplicateValues" dxfId="389" priority="354"/>
  </conditionalFormatting>
  <conditionalFormatting sqref="B32">
    <cfRule type="duplicateValues" dxfId="388" priority="355"/>
    <cfRule type="duplicateValues" dxfId="387" priority="356"/>
  </conditionalFormatting>
  <conditionalFormatting sqref="B29:B30">
    <cfRule type="duplicateValues" dxfId="386" priority="357"/>
    <cfRule type="duplicateValues" dxfId="385" priority="358"/>
  </conditionalFormatting>
  <conditionalFormatting sqref="B28">
    <cfRule type="duplicateValues" dxfId="384" priority="359"/>
    <cfRule type="duplicateValues" dxfId="383" priority="360"/>
  </conditionalFormatting>
  <conditionalFormatting sqref="AA171">
    <cfRule type="duplicateValues" dxfId="382" priority="361"/>
    <cfRule type="duplicateValues" dxfId="381" priority="362"/>
  </conditionalFormatting>
  <conditionalFormatting sqref="AA171">
    <cfRule type="duplicateValues" dxfId="380" priority="363"/>
  </conditionalFormatting>
  <conditionalFormatting sqref="AA170">
    <cfRule type="duplicateValues" dxfId="379" priority="364"/>
  </conditionalFormatting>
  <conditionalFormatting sqref="AA146">
    <cfRule type="duplicateValues" dxfId="378" priority="365"/>
  </conditionalFormatting>
  <conditionalFormatting sqref="AA145:AA169">
    <cfRule type="duplicateValues" dxfId="377" priority="366"/>
  </conditionalFormatting>
  <conditionalFormatting sqref="AA145:AA161">
    <cfRule type="duplicateValues" dxfId="376" priority="367"/>
  </conditionalFormatting>
  <conditionalFormatting sqref="AA162:AA165">
    <cfRule type="duplicateValues" dxfId="375" priority="368"/>
  </conditionalFormatting>
  <conditionalFormatting sqref="AA169">
    <cfRule type="duplicateValues" dxfId="374" priority="369"/>
  </conditionalFormatting>
  <conditionalFormatting sqref="AA168">
    <cfRule type="duplicateValues" dxfId="373" priority="370"/>
  </conditionalFormatting>
  <conditionalFormatting sqref="AA167">
    <cfRule type="duplicateValues" dxfId="372" priority="371"/>
  </conditionalFormatting>
  <conditionalFormatting sqref="AA165">
    <cfRule type="duplicateValues" dxfId="371" priority="372"/>
  </conditionalFormatting>
  <conditionalFormatting sqref="AA164">
    <cfRule type="duplicateValues" dxfId="370" priority="373"/>
    <cfRule type="duplicateValues" dxfId="369" priority="374"/>
  </conditionalFormatting>
  <conditionalFormatting sqref="AA164">
    <cfRule type="duplicateValues" dxfId="368" priority="375"/>
  </conditionalFormatting>
  <conditionalFormatting sqref="AA163">
    <cfRule type="duplicateValues" dxfId="367" priority="376"/>
    <cfRule type="duplicateValues" dxfId="366" priority="377"/>
  </conditionalFormatting>
  <conditionalFormatting sqref="AA163">
    <cfRule type="duplicateValues" dxfId="365" priority="378"/>
  </conditionalFormatting>
  <conditionalFormatting sqref="AA162">
    <cfRule type="duplicateValues" dxfId="364" priority="379"/>
    <cfRule type="duplicateValues" dxfId="363" priority="380"/>
  </conditionalFormatting>
  <conditionalFormatting sqref="AA162">
    <cfRule type="duplicateValues" dxfId="362" priority="381"/>
  </conditionalFormatting>
  <conditionalFormatting sqref="AA147:AA161">
    <cfRule type="duplicateValues" dxfId="361" priority="382"/>
  </conditionalFormatting>
  <conditionalFormatting sqref="AA149:AA161">
    <cfRule type="duplicateValues" dxfId="360" priority="383"/>
  </conditionalFormatting>
  <conditionalFormatting sqref="AA147:AA148">
    <cfRule type="duplicateValues" dxfId="359" priority="384"/>
  </conditionalFormatting>
  <conditionalFormatting sqref="AA147">
    <cfRule type="duplicateValues" dxfId="358" priority="385"/>
  </conditionalFormatting>
  <conditionalFormatting sqref="AA145:AA146">
    <cfRule type="duplicateValues" dxfId="357" priority="386"/>
  </conditionalFormatting>
  <conditionalFormatting sqref="AA142:AA144">
    <cfRule type="duplicateValues" dxfId="356" priority="387"/>
  </conditionalFormatting>
  <conditionalFormatting sqref="AA141">
    <cfRule type="duplicateValues" dxfId="355" priority="388"/>
  </conditionalFormatting>
  <conditionalFormatting sqref="AA140">
    <cfRule type="duplicateValues" dxfId="354" priority="389"/>
  </conditionalFormatting>
  <conditionalFormatting sqref="AA139">
    <cfRule type="duplicateValues" dxfId="353" priority="390"/>
  </conditionalFormatting>
  <conditionalFormatting sqref="AA137">
    <cfRule type="duplicateValues" dxfId="352" priority="391"/>
  </conditionalFormatting>
  <conditionalFormatting sqref="AA136:AA138">
    <cfRule type="duplicateValues" dxfId="351" priority="392"/>
  </conditionalFormatting>
  <conditionalFormatting sqref="AA135">
    <cfRule type="duplicateValues" dxfId="350" priority="393"/>
  </conditionalFormatting>
  <conditionalFormatting sqref="AA134:AB134">
    <cfRule type="duplicateValues" dxfId="349" priority="394"/>
    <cfRule type="duplicateValues" dxfId="348" priority="395"/>
  </conditionalFormatting>
  <conditionalFormatting sqref="AA134:AB134">
    <cfRule type="duplicateValues" dxfId="347" priority="396"/>
  </conditionalFormatting>
  <conditionalFormatting sqref="AC134:AD134">
    <cfRule type="duplicateValues" dxfId="346" priority="397"/>
    <cfRule type="duplicateValues" dxfId="345" priority="398"/>
  </conditionalFormatting>
  <conditionalFormatting sqref="AC134:AD134">
    <cfRule type="duplicateValues" dxfId="344" priority="399"/>
  </conditionalFormatting>
  <conditionalFormatting sqref="AA134">
    <cfRule type="duplicateValues" dxfId="343" priority="400"/>
  </conditionalFormatting>
  <conditionalFormatting sqref="AC134">
    <cfRule type="duplicateValues" dxfId="342" priority="401"/>
  </conditionalFormatting>
  <conditionalFormatting sqref="AB134">
    <cfRule type="duplicateValues" dxfId="341" priority="402"/>
  </conditionalFormatting>
  <conditionalFormatting sqref="AB134:AC134">
    <cfRule type="duplicateValues" dxfId="340" priority="403"/>
  </conditionalFormatting>
  <conditionalFormatting sqref="AA133">
    <cfRule type="duplicateValues" dxfId="339" priority="404"/>
  </conditionalFormatting>
  <conditionalFormatting sqref="AB132">
    <cfRule type="duplicateValues" dxfId="338" priority="405"/>
  </conditionalFormatting>
  <conditionalFormatting sqref="AA132">
    <cfRule type="duplicateValues" dxfId="337" priority="406"/>
  </conditionalFormatting>
  <conditionalFormatting sqref="AA131">
    <cfRule type="duplicateValues" dxfId="336" priority="407"/>
  </conditionalFormatting>
  <conditionalFormatting sqref="AA130">
    <cfRule type="duplicateValues" dxfId="335" priority="408"/>
  </conditionalFormatting>
  <conditionalFormatting sqref="AA126:AB126 AA124:AB124">
    <cfRule type="duplicateValues" dxfId="334" priority="409"/>
  </conditionalFormatting>
  <conditionalFormatting sqref="AA126 AA124">
    <cfRule type="duplicateValues" dxfId="333" priority="410"/>
    <cfRule type="duplicateValues" dxfId="332" priority="411"/>
  </conditionalFormatting>
  <conditionalFormatting sqref="AA126">
    <cfRule type="duplicateValues" dxfId="331" priority="412"/>
  </conditionalFormatting>
  <conditionalFormatting sqref="AA126 AA124">
    <cfRule type="duplicateValues" dxfId="330" priority="413"/>
  </conditionalFormatting>
  <conditionalFormatting sqref="AA129:AB129">
    <cfRule type="duplicateValues" dxfId="329" priority="414"/>
  </conditionalFormatting>
  <conditionalFormatting sqref="AA129">
    <cfRule type="duplicateValues" dxfId="328" priority="415"/>
    <cfRule type="duplicateValues" dxfId="327" priority="416"/>
  </conditionalFormatting>
  <conditionalFormatting sqref="AA129">
    <cfRule type="duplicateValues" dxfId="326" priority="417"/>
  </conditionalFormatting>
  <conditionalFormatting sqref="AA123">
    <cfRule type="duplicateValues" dxfId="325" priority="418"/>
  </conditionalFormatting>
  <conditionalFormatting sqref="AA127:AB128">
    <cfRule type="duplicateValues" dxfId="324" priority="419"/>
  </conditionalFormatting>
  <conditionalFormatting sqref="AA127:AA128">
    <cfRule type="duplicateValues" dxfId="323" priority="420"/>
    <cfRule type="duplicateValues" dxfId="322" priority="421"/>
  </conditionalFormatting>
  <conditionalFormatting sqref="AA127:AA128">
    <cfRule type="duplicateValues" dxfId="321" priority="422"/>
  </conditionalFormatting>
  <conditionalFormatting sqref="AA122">
    <cfRule type="duplicateValues" dxfId="320" priority="423"/>
  </conditionalFormatting>
  <conditionalFormatting sqref="AA121">
    <cfRule type="duplicateValues" dxfId="319" priority="424"/>
  </conditionalFormatting>
  <conditionalFormatting sqref="AA120">
    <cfRule type="duplicateValues" dxfId="318" priority="425"/>
  </conditionalFormatting>
  <conditionalFormatting sqref="AA119">
    <cfRule type="duplicateValues" dxfId="317" priority="426"/>
  </conditionalFormatting>
  <conditionalFormatting sqref="AA118">
    <cfRule type="duplicateValues" dxfId="316" priority="427"/>
  </conditionalFormatting>
  <conditionalFormatting sqref="AA117">
    <cfRule type="duplicateValues" dxfId="315" priority="428"/>
  </conditionalFormatting>
  <conditionalFormatting sqref="AA115:AA116">
    <cfRule type="duplicateValues" dxfId="314" priority="429"/>
  </conditionalFormatting>
  <conditionalFormatting sqref="AA114">
    <cfRule type="duplicateValues" dxfId="313" priority="430"/>
  </conditionalFormatting>
  <conditionalFormatting sqref="AB113">
    <cfRule type="duplicateValues" dxfId="312" priority="431"/>
  </conditionalFormatting>
  <conditionalFormatting sqref="AA113">
    <cfRule type="duplicateValues" dxfId="311" priority="432"/>
  </conditionalFormatting>
  <conditionalFormatting sqref="AB112:AB113">
    <cfRule type="duplicateValues" dxfId="310" priority="433"/>
  </conditionalFormatting>
  <conditionalFormatting sqref="AA112:AA113">
    <cfRule type="duplicateValues" dxfId="309" priority="434"/>
  </conditionalFormatting>
  <conditionalFormatting sqref="AB111:AB113">
    <cfRule type="duplicateValues" dxfId="308" priority="435"/>
  </conditionalFormatting>
  <conditionalFormatting sqref="AA111:AA113">
    <cfRule type="duplicateValues" dxfId="307" priority="436"/>
  </conditionalFormatting>
  <conditionalFormatting sqref="AA111:AA113 AB108:AB110">
    <cfRule type="duplicateValues" dxfId="306" priority="437"/>
  </conditionalFormatting>
  <conditionalFormatting sqref="AA108:AA110">
    <cfRule type="duplicateValues" dxfId="305" priority="438"/>
  </conditionalFormatting>
  <conditionalFormatting sqref="AA108:AA110 AB107">
    <cfRule type="duplicateValues" dxfId="304" priority="439"/>
  </conditionalFormatting>
  <conditionalFormatting sqref="AB102:AB106">
    <cfRule type="duplicateValues" dxfId="303" priority="440"/>
  </conditionalFormatting>
  <conditionalFormatting sqref="AA102:AA106">
    <cfRule type="duplicateValues" dxfId="302" priority="441"/>
  </conditionalFormatting>
  <conditionalFormatting sqref="AA102:AA106 AB100:AB101">
    <cfRule type="duplicateValues" dxfId="301" priority="442"/>
  </conditionalFormatting>
  <conditionalFormatting sqref="AA100:AA101">
    <cfRule type="duplicateValues" dxfId="300" priority="443"/>
  </conditionalFormatting>
  <conditionalFormatting sqref="AA99">
    <cfRule type="duplicateValues" dxfId="299" priority="444"/>
  </conditionalFormatting>
  <conditionalFormatting sqref="AA98">
    <cfRule type="duplicateValues" dxfId="298" priority="445"/>
  </conditionalFormatting>
  <conditionalFormatting sqref="AA97">
    <cfRule type="duplicateValues" dxfId="297" priority="446"/>
  </conditionalFormatting>
  <conditionalFormatting sqref="AA94">
    <cfRule type="duplicateValues" dxfId="296" priority="447"/>
  </conditionalFormatting>
  <conditionalFormatting sqref="AA93">
    <cfRule type="duplicateValues" dxfId="295" priority="448"/>
  </conditionalFormatting>
  <conditionalFormatting sqref="AA92:AA93">
    <cfRule type="duplicateValues" dxfId="294" priority="449"/>
  </conditionalFormatting>
  <conditionalFormatting sqref="AA91:AA93">
    <cfRule type="duplicateValues" dxfId="293" priority="450"/>
  </conditionalFormatting>
  <conditionalFormatting sqref="AA89">
    <cfRule type="duplicateValues" dxfId="292" priority="451"/>
  </conditionalFormatting>
  <conditionalFormatting sqref="AA88">
    <cfRule type="duplicateValues" dxfId="291" priority="452"/>
  </conditionalFormatting>
  <conditionalFormatting sqref="AA86">
    <cfRule type="duplicateValues" dxfId="290" priority="453"/>
  </conditionalFormatting>
  <conditionalFormatting sqref="X152">
    <cfRule type="duplicateValues" dxfId="289" priority="454"/>
    <cfRule type="duplicateValues" dxfId="288" priority="455"/>
    <cfRule type="duplicateValues" dxfId="287" priority="456"/>
  </conditionalFormatting>
  <conditionalFormatting sqref="Y152">
    <cfRule type="duplicateValues" dxfId="286" priority="457"/>
  </conditionalFormatting>
  <conditionalFormatting sqref="X152">
    <cfRule type="duplicateValues" dxfId="285" priority="458"/>
  </conditionalFormatting>
  <conditionalFormatting sqref="Y152">
    <cfRule type="duplicateValues" dxfId="284" priority="459"/>
    <cfRule type="duplicateValues" dxfId="283" priority="460"/>
  </conditionalFormatting>
  <conditionalFormatting sqref="Y151">
    <cfRule type="duplicateValues" dxfId="282" priority="461"/>
  </conditionalFormatting>
  <conditionalFormatting sqref="Y127">
    <cfRule type="duplicateValues" dxfId="281" priority="462"/>
  </conditionalFormatting>
  <conditionalFormatting sqref="Y123:Y142">
    <cfRule type="duplicateValues" dxfId="280" priority="463"/>
  </conditionalFormatting>
  <conditionalFormatting sqref="X123:X142">
    <cfRule type="duplicateValues" dxfId="279" priority="464"/>
  </conditionalFormatting>
  <conditionalFormatting sqref="X128:X142">
    <cfRule type="duplicateValues" dxfId="278" priority="465"/>
    <cfRule type="duplicateValues" dxfId="277" priority="466"/>
  </conditionalFormatting>
  <conditionalFormatting sqref="X128:X142">
    <cfRule type="duplicateValues" dxfId="276" priority="467"/>
  </conditionalFormatting>
  <conditionalFormatting sqref="X126:X142">
    <cfRule type="duplicateValues" dxfId="275" priority="468"/>
    <cfRule type="duplicateValues" dxfId="274" priority="469"/>
    <cfRule type="duplicateValues" dxfId="273" priority="470"/>
  </conditionalFormatting>
  <conditionalFormatting sqref="X126:X142">
    <cfRule type="duplicateValues" dxfId="272" priority="471"/>
    <cfRule type="duplicateValues" dxfId="271" priority="472"/>
  </conditionalFormatting>
  <conditionalFormatting sqref="Y126:Y142">
    <cfRule type="duplicateValues" dxfId="270" priority="473"/>
  </conditionalFormatting>
  <conditionalFormatting sqref="X126:X142">
    <cfRule type="duplicateValues" dxfId="269" priority="474"/>
  </conditionalFormatting>
  <conditionalFormatting sqref="Y126:Y142">
    <cfRule type="duplicateValues" dxfId="268" priority="475"/>
    <cfRule type="duplicateValues" dxfId="267" priority="476"/>
  </conditionalFormatting>
  <conditionalFormatting sqref="X150">
    <cfRule type="duplicateValues" dxfId="266" priority="477"/>
    <cfRule type="duplicateValues" dxfId="265" priority="478"/>
    <cfRule type="duplicateValues" dxfId="264" priority="479"/>
  </conditionalFormatting>
  <conditionalFormatting sqref="Y150">
    <cfRule type="duplicateValues" dxfId="263" priority="480"/>
    <cfRule type="duplicateValues" dxfId="262" priority="481"/>
  </conditionalFormatting>
  <conditionalFormatting sqref="X150">
    <cfRule type="duplicateValues" dxfId="261" priority="482"/>
    <cfRule type="duplicateValues" dxfId="260" priority="483"/>
  </conditionalFormatting>
  <conditionalFormatting sqref="X150">
    <cfRule type="duplicateValues" dxfId="259" priority="484"/>
  </conditionalFormatting>
  <conditionalFormatting sqref="Y150">
    <cfRule type="duplicateValues" dxfId="258" priority="485"/>
  </conditionalFormatting>
  <conditionalFormatting sqref="Y149">
    <cfRule type="duplicateValues" dxfId="257" priority="486"/>
  </conditionalFormatting>
  <conditionalFormatting sqref="Y148">
    <cfRule type="duplicateValues" dxfId="256" priority="487"/>
  </conditionalFormatting>
  <conditionalFormatting sqref="Y147">
    <cfRule type="duplicateValues" dxfId="255" priority="488"/>
  </conditionalFormatting>
  <conditionalFormatting sqref="Y146">
    <cfRule type="duplicateValues" dxfId="254" priority="489"/>
  </conditionalFormatting>
  <conditionalFormatting sqref="X145">
    <cfRule type="duplicateValues" dxfId="253" priority="490"/>
  </conditionalFormatting>
  <conditionalFormatting sqref="Y145">
    <cfRule type="duplicateValues" dxfId="252" priority="491"/>
  </conditionalFormatting>
  <conditionalFormatting sqref="X144">
    <cfRule type="duplicateValues" dxfId="251" priority="492"/>
  </conditionalFormatting>
  <conditionalFormatting sqref="Y144">
    <cfRule type="duplicateValues" dxfId="250" priority="493"/>
  </conditionalFormatting>
  <conditionalFormatting sqref="X143">
    <cfRule type="duplicateValues" dxfId="249" priority="494"/>
  </conditionalFormatting>
  <conditionalFormatting sqref="Y143">
    <cfRule type="duplicateValues" dxfId="248" priority="495"/>
  </conditionalFormatting>
  <conditionalFormatting sqref="Y128:Y142">
    <cfRule type="duplicateValues" dxfId="247" priority="496"/>
  </conditionalFormatting>
  <conditionalFormatting sqref="X130:X134 X136:X142">
    <cfRule type="duplicateValues" dxfId="246" priority="497"/>
    <cfRule type="duplicateValues" dxfId="245" priority="498"/>
  </conditionalFormatting>
  <conditionalFormatting sqref="X130:X134">
    <cfRule type="duplicateValues" dxfId="244" priority="499"/>
  </conditionalFormatting>
  <conditionalFormatting sqref="Y130:Y142">
    <cfRule type="duplicateValues" dxfId="243" priority="500"/>
  </conditionalFormatting>
  <conditionalFormatting sqref="X128:X129">
    <cfRule type="duplicateValues" dxfId="242" priority="501"/>
    <cfRule type="duplicateValues" dxfId="241" priority="502"/>
  </conditionalFormatting>
  <conditionalFormatting sqref="X128:X129">
    <cfRule type="duplicateValues" dxfId="240" priority="503"/>
  </conditionalFormatting>
  <conditionalFormatting sqref="Y128:Y129">
    <cfRule type="duplicateValues" dxfId="239" priority="504"/>
  </conditionalFormatting>
  <conditionalFormatting sqref="X135">
    <cfRule type="duplicateValues" dxfId="238" priority="505"/>
    <cfRule type="duplicateValues" dxfId="237" priority="506"/>
  </conditionalFormatting>
  <conditionalFormatting sqref="X135">
    <cfRule type="duplicateValues" dxfId="236" priority="507"/>
  </conditionalFormatting>
  <conditionalFormatting sqref="X130:X134 X136:X142">
    <cfRule type="duplicateValues" dxfId="235" priority="508"/>
  </conditionalFormatting>
  <conditionalFormatting sqref="X128:X134 X136:X142">
    <cfRule type="duplicateValues" dxfId="234" priority="509"/>
  </conditionalFormatting>
  <conditionalFormatting sqref="X128">
    <cfRule type="duplicateValues" dxfId="233" priority="510"/>
    <cfRule type="duplicateValues" dxfId="232" priority="511"/>
  </conditionalFormatting>
  <conditionalFormatting sqref="X128">
    <cfRule type="duplicateValues" dxfId="231" priority="512"/>
  </conditionalFormatting>
  <conditionalFormatting sqref="Y128">
    <cfRule type="duplicateValues" dxfId="230" priority="513"/>
  </conditionalFormatting>
  <conditionalFormatting sqref="X123:X125">
    <cfRule type="duplicateValues" dxfId="229" priority="514"/>
    <cfRule type="duplicateValues" dxfId="228" priority="515"/>
  </conditionalFormatting>
  <conditionalFormatting sqref="X123:X125">
    <cfRule type="duplicateValues" dxfId="227" priority="516"/>
  </conditionalFormatting>
  <conditionalFormatting sqref="X124:X125">
    <cfRule type="duplicateValues" dxfId="226" priority="517"/>
  </conditionalFormatting>
  <conditionalFormatting sqref="Y123:Y125">
    <cfRule type="duplicateValues" dxfId="225" priority="518"/>
  </conditionalFormatting>
  <conditionalFormatting sqref="X122">
    <cfRule type="duplicateValues" dxfId="224" priority="519"/>
  </conditionalFormatting>
  <conditionalFormatting sqref="Y122">
    <cfRule type="duplicateValues" dxfId="223" priority="520"/>
  </conditionalFormatting>
  <conditionalFormatting sqref="X121">
    <cfRule type="duplicateValues" dxfId="222" priority="521"/>
    <cfRule type="duplicateValues" dxfId="221" priority="522"/>
  </conditionalFormatting>
  <conditionalFormatting sqref="X121">
    <cfRule type="duplicateValues" dxfId="220" priority="523"/>
  </conditionalFormatting>
  <conditionalFormatting sqref="Y121">
    <cfRule type="duplicateValues" dxfId="219" priority="524"/>
  </conditionalFormatting>
  <conditionalFormatting sqref="Y120">
    <cfRule type="duplicateValues" dxfId="218" priority="525"/>
  </conditionalFormatting>
  <conditionalFormatting sqref="Y117:Y119">
    <cfRule type="duplicateValues" dxfId="217" priority="526"/>
  </conditionalFormatting>
  <conditionalFormatting sqref="Y116">
    <cfRule type="duplicateValues" dxfId="216" priority="527"/>
  </conditionalFormatting>
  <conditionalFormatting sqref="X115">
    <cfRule type="duplicateValues" dxfId="215" priority="528"/>
  </conditionalFormatting>
  <conditionalFormatting sqref="Y115">
    <cfRule type="duplicateValues" dxfId="214" priority="529"/>
  </conditionalFormatting>
  <conditionalFormatting sqref="X114">
    <cfRule type="duplicateValues" dxfId="213" priority="530"/>
  </conditionalFormatting>
  <conditionalFormatting sqref="Y114">
    <cfRule type="duplicateValues" dxfId="212" priority="531"/>
  </conditionalFormatting>
  <conditionalFormatting sqref="X113">
    <cfRule type="duplicateValues" dxfId="211" priority="532"/>
  </conditionalFormatting>
  <conditionalFormatting sqref="Y113">
    <cfRule type="duplicateValues" dxfId="210" priority="533"/>
  </conditionalFormatting>
  <conditionalFormatting sqref="X112">
    <cfRule type="duplicateValues" dxfId="209" priority="534"/>
  </conditionalFormatting>
  <conditionalFormatting sqref="Y112">
    <cfRule type="duplicateValues" dxfId="208" priority="535"/>
  </conditionalFormatting>
  <conditionalFormatting sqref="X111">
    <cfRule type="duplicateValues" dxfId="207" priority="536"/>
  </conditionalFormatting>
  <conditionalFormatting sqref="Y111">
    <cfRule type="duplicateValues" dxfId="206" priority="537"/>
  </conditionalFormatting>
  <conditionalFormatting sqref="X110">
    <cfRule type="duplicateValues" dxfId="205" priority="538"/>
  </conditionalFormatting>
  <conditionalFormatting sqref="Y110">
    <cfRule type="duplicateValues" dxfId="204" priority="539"/>
  </conditionalFormatting>
  <conditionalFormatting sqref="X104">
    <cfRule type="duplicateValues" dxfId="203" priority="540"/>
  </conditionalFormatting>
  <conditionalFormatting sqref="Y104">
    <cfRule type="duplicateValues" dxfId="202" priority="541"/>
  </conditionalFormatting>
  <conditionalFormatting sqref="X108:X109">
    <cfRule type="duplicateValues" dxfId="201" priority="542"/>
  </conditionalFormatting>
  <conditionalFormatting sqref="Y108:Y109">
    <cfRule type="duplicateValues" dxfId="200" priority="543"/>
  </conditionalFormatting>
  <conditionalFormatting sqref="X105:X107">
    <cfRule type="duplicateValues" dxfId="199" priority="544"/>
  </conditionalFormatting>
  <conditionalFormatting sqref="Y105:Y107">
    <cfRule type="duplicateValues" dxfId="198" priority="545"/>
  </conditionalFormatting>
  <conditionalFormatting sqref="X115 D123:D169 X134 X172:X173">
    <cfRule type="containsText" dxfId="197" priority="546" operator="containsText" text="FEMALE">
      <formula>NOT(ISERROR(SEARCH("FEMALE",D115)))</formula>
    </cfRule>
  </conditionalFormatting>
  <conditionalFormatting sqref="X103">
    <cfRule type="duplicateValues" dxfId="196" priority="547"/>
  </conditionalFormatting>
  <conditionalFormatting sqref="Y103">
    <cfRule type="duplicateValues" dxfId="195" priority="548"/>
  </conditionalFormatting>
  <conditionalFormatting sqref="X102">
    <cfRule type="duplicateValues" dxfId="194" priority="549"/>
  </conditionalFormatting>
  <conditionalFormatting sqref="Y102">
    <cfRule type="duplicateValues" dxfId="193" priority="550"/>
  </conditionalFormatting>
  <conditionalFormatting sqref="X101">
    <cfRule type="duplicateValues" dxfId="192" priority="551"/>
  </conditionalFormatting>
  <conditionalFormatting sqref="Y101">
    <cfRule type="duplicateValues" dxfId="191" priority="552"/>
  </conditionalFormatting>
  <conditionalFormatting sqref="X100">
    <cfRule type="duplicateValues" dxfId="190" priority="553"/>
  </conditionalFormatting>
  <conditionalFormatting sqref="Y100">
    <cfRule type="duplicateValues" dxfId="189" priority="554"/>
  </conditionalFormatting>
  <conditionalFormatting sqref="X99">
    <cfRule type="duplicateValues" dxfId="188" priority="555"/>
  </conditionalFormatting>
  <conditionalFormatting sqref="Y99">
    <cfRule type="duplicateValues" dxfId="187" priority="556"/>
  </conditionalFormatting>
  <conditionalFormatting sqref="X98">
    <cfRule type="duplicateValues" dxfId="186" priority="557"/>
  </conditionalFormatting>
  <conditionalFormatting sqref="Y98">
    <cfRule type="duplicateValues" dxfId="185" priority="558"/>
  </conditionalFormatting>
  <conditionalFormatting sqref="X96:X97">
    <cfRule type="duplicateValues" dxfId="184" priority="559"/>
  </conditionalFormatting>
  <conditionalFormatting sqref="Y96:Y97">
    <cfRule type="duplicateValues" dxfId="183" priority="560"/>
  </conditionalFormatting>
  <conditionalFormatting sqref="X3:X199">
    <cfRule type="duplicateValues" dxfId="182" priority="561"/>
  </conditionalFormatting>
  <conditionalFormatting sqref="Y3:Y199">
    <cfRule type="duplicateValues" dxfId="181" priority="562"/>
  </conditionalFormatting>
  <conditionalFormatting sqref="Y94">
    <cfRule type="duplicateValues" dxfId="180" priority="563"/>
  </conditionalFormatting>
  <conditionalFormatting sqref="X94">
    <cfRule type="duplicateValues" dxfId="179" priority="564"/>
  </conditionalFormatting>
  <conditionalFormatting sqref="X93:Y94">
    <cfRule type="duplicateValues" dxfId="178" priority="565"/>
  </conditionalFormatting>
  <conditionalFormatting sqref="Y93:Y94">
    <cfRule type="duplicateValues" dxfId="177" priority="566"/>
  </conditionalFormatting>
  <conditionalFormatting sqref="X92:Y94">
    <cfRule type="duplicateValues" dxfId="176" priority="567"/>
  </conditionalFormatting>
  <conditionalFormatting sqref="X89:Y94">
    <cfRule type="duplicateValues" dxfId="175" priority="568"/>
  </conditionalFormatting>
  <conditionalFormatting sqref="X91">
    <cfRule type="duplicateValues" dxfId="174" priority="569"/>
  </conditionalFormatting>
  <conditionalFormatting sqref="X89">
    <cfRule type="duplicateValues" dxfId="173" priority="570"/>
  </conditionalFormatting>
  <conditionalFormatting sqref="X91 X89">
    <cfRule type="duplicateValues" dxfId="172" priority="571"/>
  </conditionalFormatting>
  <conditionalFormatting sqref="X92:X94 Y89:Y91">
    <cfRule type="duplicateValues" dxfId="171" priority="572"/>
  </conditionalFormatting>
  <conditionalFormatting sqref="Y92:Y94">
    <cfRule type="duplicateValues" dxfId="170" priority="573"/>
  </conditionalFormatting>
  <conditionalFormatting sqref="X89:X91 X88:Y88">
    <cfRule type="duplicateValues" dxfId="169" priority="574"/>
  </conditionalFormatting>
  <conditionalFormatting sqref="X88">
    <cfRule type="duplicateValues" dxfId="168" priority="575"/>
  </conditionalFormatting>
  <conditionalFormatting sqref="X89:X91 Y88">
    <cfRule type="duplicateValues" dxfId="167" priority="576"/>
  </conditionalFormatting>
  <conditionalFormatting sqref="Y83:Y87">
    <cfRule type="duplicateValues" dxfId="166" priority="577"/>
  </conditionalFormatting>
  <conditionalFormatting sqref="X83:Y87">
    <cfRule type="duplicateValues" dxfId="165" priority="578"/>
  </conditionalFormatting>
  <conditionalFormatting sqref="X83:X87">
    <cfRule type="duplicateValues" dxfId="164" priority="579"/>
  </conditionalFormatting>
  <conditionalFormatting sqref="X83:X87 Y81:Y82">
    <cfRule type="duplicateValues" dxfId="163" priority="580"/>
  </conditionalFormatting>
  <conditionalFormatting sqref="X81:Y87">
    <cfRule type="duplicateValues" dxfId="162" priority="581"/>
  </conditionalFormatting>
  <conditionalFormatting sqref="X80:Y80">
    <cfRule type="duplicateValues" dxfId="161" priority="582"/>
  </conditionalFormatting>
  <conditionalFormatting sqref="Y80">
    <cfRule type="duplicateValues" dxfId="160" priority="583"/>
  </conditionalFormatting>
  <conditionalFormatting sqref="X79:Y79">
    <cfRule type="duplicateValues" dxfId="159" priority="584"/>
  </conditionalFormatting>
  <conditionalFormatting sqref="X79">
    <cfRule type="duplicateValues" dxfId="158" priority="585"/>
  </conditionalFormatting>
  <conditionalFormatting sqref="Y79">
    <cfRule type="duplicateValues" dxfId="157" priority="586"/>
  </conditionalFormatting>
  <conditionalFormatting sqref="X79 Y78">
    <cfRule type="duplicateValues" dxfId="156" priority="587"/>
  </conditionalFormatting>
  <conditionalFormatting sqref="Y75">
    <cfRule type="duplicateValues" dxfId="155" priority="588"/>
  </conditionalFormatting>
  <conditionalFormatting sqref="X75">
    <cfRule type="duplicateValues" dxfId="154" priority="589"/>
  </conditionalFormatting>
  <conditionalFormatting sqref="Y74">
    <cfRule type="duplicateValues" dxfId="153" priority="590"/>
  </conditionalFormatting>
  <conditionalFormatting sqref="X73:X74">
    <cfRule type="duplicateValues" dxfId="152" priority="591"/>
  </conditionalFormatting>
  <conditionalFormatting sqref="Y73:Y74">
    <cfRule type="duplicateValues" dxfId="151" priority="592"/>
  </conditionalFormatting>
  <conditionalFormatting sqref="X72:X74">
    <cfRule type="duplicateValues" dxfId="150" priority="593"/>
  </conditionalFormatting>
  <conditionalFormatting sqref="Y72:Y74">
    <cfRule type="duplicateValues" dxfId="149" priority="594"/>
  </conditionalFormatting>
  <conditionalFormatting sqref="X70">
    <cfRule type="duplicateValues" dxfId="148" priority="595"/>
  </conditionalFormatting>
  <conditionalFormatting sqref="Y71:Y74">
    <cfRule type="duplicateValues" dxfId="147" priority="596"/>
  </conditionalFormatting>
  <conditionalFormatting sqref="X71:X74 Y70">
    <cfRule type="duplicateValues" dxfId="146" priority="597"/>
  </conditionalFormatting>
  <conditionalFormatting sqref="X69">
    <cfRule type="duplicateValues" dxfId="145" priority="598"/>
  </conditionalFormatting>
  <conditionalFormatting sqref="Y69">
    <cfRule type="duplicateValues" dxfId="144" priority="599"/>
  </conditionalFormatting>
  <conditionalFormatting sqref="X67">
    <cfRule type="duplicateValues" dxfId="143" priority="600"/>
  </conditionalFormatting>
  <conditionalFormatting sqref="Y67">
    <cfRule type="duplicateValues" dxfId="142" priority="601"/>
  </conditionalFormatting>
  <conditionalFormatting sqref="V171">
    <cfRule type="duplicateValues" dxfId="141" priority="602"/>
    <cfRule type="duplicateValues" dxfId="140" priority="603"/>
    <cfRule type="duplicateValues" dxfId="139" priority="604"/>
  </conditionalFormatting>
  <conditionalFormatting sqref="V171">
    <cfRule type="duplicateValues" dxfId="138" priority="605"/>
  </conditionalFormatting>
  <conditionalFormatting sqref="V171">
    <cfRule type="duplicateValues" dxfId="137" priority="606"/>
    <cfRule type="duplicateValues" dxfId="136" priority="607"/>
  </conditionalFormatting>
  <conditionalFormatting sqref="V170">
    <cfRule type="duplicateValues" dxfId="135" priority="608"/>
  </conditionalFormatting>
  <conditionalFormatting sqref="V146">
    <cfRule type="duplicateValues" dxfId="134" priority="609"/>
  </conditionalFormatting>
  <conditionalFormatting sqref="V143:V161">
    <cfRule type="duplicateValues" dxfId="133" priority="610"/>
  </conditionalFormatting>
  <conditionalFormatting sqref="V145:V161">
    <cfRule type="duplicateValues" dxfId="132" priority="611"/>
    <cfRule type="duplicateValues" dxfId="131" priority="612"/>
    <cfRule type="duplicateValues" dxfId="130" priority="613"/>
  </conditionalFormatting>
  <conditionalFormatting sqref="V145:V161">
    <cfRule type="duplicateValues" dxfId="129" priority="614"/>
  </conditionalFormatting>
  <conditionalFormatting sqref="V169">
    <cfRule type="duplicateValues" dxfId="128" priority="615"/>
    <cfRule type="duplicateValues" dxfId="127" priority="616"/>
    <cfRule type="duplicateValues" dxfId="126" priority="617"/>
  </conditionalFormatting>
  <conditionalFormatting sqref="V169">
    <cfRule type="duplicateValues" dxfId="125" priority="618"/>
  </conditionalFormatting>
  <conditionalFormatting sqref="V167">
    <cfRule type="duplicateValues" dxfId="124" priority="619"/>
  </conditionalFormatting>
  <conditionalFormatting sqref="V166">
    <cfRule type="duplicateValues" dxfId="123" priority="620"/>
  </conditionalFormatting>
  <conditionalFormatting sqref="V165">
    <cfRule type="duplicateValues" dxfId="122" priority="621"/>
  </conditionalFormatting>
  <conditionalFormatting sqref="V164">
    <cfRule type="duplicateValues" dxfId="121" priority="622"/>
  </conditionalFormatting>
  <conditionalFormatting sqref="V163">
    <cfRule type="duplicateValues" dxfId="120" priority="623"/>
  </conditionalFormatting>
  <conditionalFormatting sqref="V147:V148">
    <cfRule type="duplicateValues" dxfId="119" priority="624"/>
  </conditionalFormatting>
  <conditionalFormatting sqref="V149:V161">
    <cfRule type="duplicateValues" dxfId="118" priority="625"/>
  </conditionalFormatting>
  <conditionalFormatting sqref="V147:V161">
    <cfRule type="duplicateValues" dxfId="117" priority="626"/>
  </conditionalFormatting>
  <conditionalFormatting sqref="V147">
    <cfRule type="duplicateValues" dxfId="116" priority="627"/>
  </conditionalFormatting>
  <conditionalFormatting sqref="V142:V144">
    <cfRule type="duplicateValues" dxfId="115" priority="628"/>
  </conditionalFormatting>
  <conditionalFormatting sqref="V141">
    <cfRule type="duplicateValues" dxfId="114" priority="629"/>
  </conditionalFormatting>
  <conditionalFormatting sqref="V140">
    <cfRule type="duplicateValues" dxfId="113" priority="630"/>
  </conditionalFormatting>
  <conditionalFormatting sqref="V136:V138">
    <cfRule type="duplicateValues" dxfId="112" priority="631"/>
  </conditionalFormatting>
  <conditionalFormatting sqref="V135">
    <cfRule type="duplicateValues" dxfId="111" priority="632"/>
  </conditionalFormatting>
  <conditionalFormatting sqref="V134">
    <cfRule type="duplicateValues" dxfId="110" priority="633"/>
  </conditionalFormatting>
  <conditionalFormatting sqref="V133">
    <cfRule type="duplicateValues" dxfId="109" priority="634"/>
  </conditionalFormatting>
  <conditionalFormatting sqref="V132">
    <cfRule type="duplicateValues" dxfId="108" priority="635"/>
  </conditionalFormatting>
  <conditionalFormatting sqref="V131">
    <cfRule type="duplicateValues" dxfId="107" priority="636"/>
  </conditionalFormatting>
  <conditionalFormatting sqref="V130">
    <cfRule type="duplicateValues" dxfId="106" priority="637"/>
  </conditionalFormatting>
  <conditionalFormatting sqref="V129">
    <cfRule type="duplicateValues" dxfId="105" priority="638"/>
  </conditionalFormatting>
  <conditionalFormatting sqref="V123">
    <cfRule type="duplicateValues" dxfId="104" priority="639"/>
  </conditionalFormatting>
  <conditionalFormatting sqref="V127:V128">
    <cfRule type="duplicateValues" dxfId="103" priority="640"/>
  </conditionalFormatting>
  <conditionalFormatting sqref="V124:V126">
    <cfRule type="duplicateValues" dxfId="102" priority="641"/>
  </conditionalFormatting>
  <conditionalFormatting sqref="V122">
    <cfRule type="duplicateValues" dxfId="101" priority="642"/>
  </conditionalFormatting>
  <conditionalFormatting sqref="V121">
    <cfRule type="duplicateValues" dxfId="100" priority="643"/>
  </conditionalFormatting>
  <conditionalFormatting sqref="V120">
    <cfRule type="duplicateValues" dxfId="99" priority="644"/>
  </conditionalFormatting>
  <conditionalFormatting sqref="V119">
    <cfRule type="duplicateValues" dxfId="98" priority="645"/>
  </conditionalFormatting>
  <conditionalFormatting sqref="V118">
    <cfRule type="duplicateValues" dxfId="97" priority="646"/>
  </conditionalFormatting>
  <conditionalFormatting sqref="V117">
    <cfRule type="duplicateValues" dxfId="96" priority="647"/>
  </conditionalFormatting>
  <conditionalFormatting sqref="V115:V116">
    <cfRule type="duplicateValues" dxfId="95" priority="648"/>
  </conditionalFormatting>
  <conditionalFormatting sqref="V114">
    <cfRule type="duplicateValues" dxfId="94" priority="649"/>
  </conditionalFormatting>
  <conditionalFormatting sqref="V3:V199">
    <cfRule type="duplicateValues" dxfId="93" priority="650"/>
  </conditionalFormatting>
  <conditionalFormatting sqref="V107">
    <cfRule type="duplicateValues" dxfId="92" priority="651"/>
  </conditionalFormatting>
  <conditionalFormatting sqref="V113">
    <cfRule type="duplicateValues" dxfId="91" priority="652"/>
  </conditionalFormatting>
  <conditionalFormatting sqref="V112:V113">
    <cfRule type="duplicateValues" dxfId="90" priority="653"/>
  </conditionalFormatting>
  <conditionalFormatting sqref="V108:V113">
    <cfRule type="duplicateValues" dxfId="89" priority="654"/>
  </conditionalFormatting>
  <conditionalFormatting sqref="V107:V113">
    <cfRule type="duplicateValues" dxfId="88" priority="655"/>
  </conditionalFormatting>
  <conditionalFormatting sqref="V108:V110">
    <cfRule type="duplicateValues" dxfId="87" priority="656"/>
  </conditionalFormatting>
  <conditionalFormatting sqref="V111:V113">
    <cfRule type="duplicateValues" dxfId="86" priority="657"/>
  </conditionalFormatting>
  <conditionalFormatting sqref="V102:V106">
    <cfRule type="duplicateValues" dxfId="85" priority="658"/>
  </conditionalFormatting>
  <conditionalFormatting sqref="V100:V106">
    <cfRule type="duplicateValues" dxfId="84" priority="659"/>
  </conditionalFormatting>
  <conditionalFormatting sqref="V99">
    <cfRule type="duplicateValues" dxfId="83" priority="660"/>
  </conditionalFormatting>
  <conditionalFormatting sqref="V98">
    <cfRule type="duplicateValues" dxfId="82" priority="661"/>
  </conditionalFormatting>
  <conditionalFormatting sqref="V97">
    <cfRule type="duplicateValues" dxfId="81" priority="662"/>
  </conditionalFormatting>
  <conditionalFormatting sqref="V94">
    <cfRule type="duplicateValues" dxfId="80" priority="663"/>
  </conditionalFormatting>
  <conditionalFormatting sqref="V93">
    <cfRule type="duplicateValues" dxfId="79" priority="664"/>
  </conditionalFormatting>
  <conditionalFormatting sqref="V92:V93">
    <cfRule type="duplicateValues" dxfId="78" priority="665"/>
  </conditionalFormatting>
  <conditionalFormatting sqref="V91:V93">
    <cfRule type="duplicateValues" dxfId="77" priority="666"/>
  </conditionalFormatting>
  <conditionalFormatting sqref="V90:V93">
    <cfRule type="duplicateValues" dxfId="76" priority="667"/>
  </conditionalFormatting>
  <conditionalFormatting sqref="V89">
    <cfRule type="duplicateValues" dxfId="75" priority="668"/>
  </conditionalFormatting>
  <conditionalFormatting sqref="V88">
    <cfRule type="duplicateValues" dxfId="74" priority="669"/>
  </conditionalFormatting>
  <conditionalFormatting sqref="V86">
    <cfRule type="duplicateValues" dxfId="73" priority="670"/>
  </conditionalFormatting>
  <conditionalFormatting sqref="V84">
    <cfRule type="duplicateValues" dxfId="72" priority="671"/>
  </conditionalFormatting>
  <conditionalFormatting sqref="X15 X65 X71:X75 X114 D90:D94 X34 X84 X90:X94 X133 V3:V199">
    <cfRule type="cellIs" dxfId="71" priority="672" operator="equal">
      <formula>"T"</formula>
    </cfRule>
  </conditionalFormatting>
  <conditionalFormatting sqref="U160">
    <cfRule type="duplicateValues" dxfId="70" priority="673"/>
  </conditionalFormatting>
  <conditionalFormatting sqref="U140">
    <cfRule type="duplicateValues" dxfId="69" priority="674"/>
  </conditionalFormatting>
  <conditionalFormatting sqref="B13">
    <cfRule type="duplicateValues" dxfId="68" priority="675"/>
  </conditionalFormatting>
  <conditionalFormatting sqref="V1:AA1">
    <cfRule type="duplicateValues" dxfId="67" priority="676"/>
  </conditionalFormatting>
  <conditionalFormatting sqref="U1">
    <cfRule type="duplicateValues" dxfId="66" priority="677"/>
  </conditionalFormatting>
  <conditionalFormatting sqref="B3:B12">
    <cfRule type="duplicateValues" dxfId="65" priority="678"/>
  </conditionalFormatting>
  <conditionalFormatting sqref="B1:B13">
    <cfRule type="duplicateValues" dxfId="64" priority="679"/>
    <cfRule type="duplicateValues" dxfId="63" priority="680"/>
    <cfRule type="duplicateValues" dxfId="62" priority="681"/>
  </conditionalFormatting>
  <conditionalFormatting sqref="U2">
    <cfRule type="duplicateValues" dxfId="61" priority="682"/>
  </conditionalFormatting>
  <conditionalFormatting sqref="V2:AA2">
    <cfRule type="duplicateValues" dxfId="60" priority="683"/>
  </conditionalFormatting>
  <conditionalFormatting sqref="B212:B213 B216">
    <cfRule type="duplicateValues" dxfId="59" priority="684"/>
  </conditionalFormatting>
  <conditionalFormatting sqref="B212:B214 B216">
    <cfRule type="duplicateValues" dxfId="58" priority="685"/>
    <cfRule type="duplicateValues" dxfId="57" priority="686"/>
    <cfRule type="duplicateValues" dxfId="56" priority="687"/>
  </conditionalFormatting>
  <conditionalFormatting sqref="B214">
    <cfRule type="duplicateValues" dxfId="55" priority="688"/>
  </conditionalFormatting>
  <conditionalFormatting sqref="B215">
    <cfRule type="duplicateValues" dxfId="54" priority="689"/>
    <cfRule type="duplicateValues" dxfId="53" priority="690"/>
    <cfRule type="duplicateValues" dxfId="52" priority="691"/>
  </conditionalFormatting>
  <conditionalFormatting sqref="B215">
    <cfRule type="duplicateValues" dxfId="51" priority="692"/>
  </conditionalFormatting>
  <conditionalFormatting sqref="AA215">
    <cfRule type="duplicateValues" dxfId="50" priority="693"/>
  </conditionalFormatting>
  <conditionalFormatting sqref="X215">
    <cfRule type="duplicateValues" dxfId="49" priority="694"/>
    <cfRule type="duplicateValues" dxfId="48" priority="695"/>
    <cfRule type="duplicateValues" dxfId="47" priority="696"/>
  </conditionalFormatting>
  <conditionalFormatting sqref="Y215">
    <cfRule type="duplicateValues" dxfId="46" priority="697"/>
  </conditionalFormatting>
  <conditionalFormatting sqref="X215">
    <cfRule type="duplicateValues" dxfId="45" priority="698"/>
  </conditionalFormatting>
  <conditionalFormatting sqref="Y215">
    <cfRule type="duplicateValues" dxfId="44" priority="699"/>
    <cfRule type="duplicateValues" dxfId="43" priority="700"/>
  </conditionalFormatting>
  <conditionalFormatting sqref="V215">
    <cfRule type="duplicateValues" dxfId="42" priority="701"/>
    <cfRule type="duplicateValues" dxfId="41" priority="702"/>
    <cfRule type="duplicateValues" dxfId="40" priority="703"/>
  </conditionalFormatting>
  <conditionalFormatting sqref="V215">
    <cfRule type="duplicateValues" dxfId="39" priority="704"/>
  </conditionalFormatting>
  <conditionalFormatting sqref="AA220">
    <cfRule type="duplicateValues" dxfId="38" priority="34"/>
  </conditionalFormatting>
  <conditionalFormatting sqref="Y220">
    <cfRule type="duplicateValues" dxfId="37" priority="33"/>
  </conditionalFormatting>
  <conditionalFormatting sqref="X220">
    <cfRule type="duplicateValues" dxfId="36" priority="32"/>
  </conditionalFormatting>
  <conditionalFormatting sqref="V220">
    <cfRule type="duplicateValues" dxfId="35" priority="31"/>
  </conditionalFormatting>
  <conditionalFormatting sqref="X220:Y220">
    <cfRule type="duplicateValues" dxfId="34" priority="30"/>
  </conditionalFormatting>
  <conditionalFormatting sqref="B218:B219">
    <cfRule type="duplicateValues" dxfId="33" priority="29"/>
  </conditionalFormatting>
  <conditionalFormatting sqref="B218:B219">
    <cfRule type="duplicateValues" dxfId="32" priority="28"/>
  </conditionalFormatting>
  <conditionalFormatting sqref="B218:B219">
    <cfRule type="duplicateValues" dxfId="31" priority="27"/>
  </conditionalFormatting>
  <conditionalFormatting sqref="V218:W219 Y218:AA219">
    <cfRule type="duplicateValues" dxfId="30" priority="26"/>
  </conditionalFormatting>
  <conditionalFormatting sqref="U218:U219">
    <cfRule type="duplicateValues" dxfId="29" priority="25"/>
  </conditionalFormatting>
  <conditionalFormatting sqref="B218:B219">
    <cfRule type="duplicateValues" dxfId="28" priority="22"/>
    <cfRule type="duplicateValues" dxfId="27" priority="23"/>
    <cfRule type="duplicateValues" dxfId="26" priority="24"/>
  </conditionalFormatting>
  <conditionalFormatting sqref="X218:X219">
    <cfRule type="duplicateValues" dxfId="25" priority="21"/>
  </conditionalFormatting>
  <conditionalFormatting sqref="V217">
    <cfRule type="duplicateValues" dxfId="24" priority="1429"/>
  </conditionalFormatting>
  <conditionalFormatting sqref="X217:Y217">
    <cfRule type="duplicateValues" dxfId="23" priority="1430"/>
  </conditionalFormatting>
  <conditionalFormatting sqref="X217">
    <cfRule type="duplicateValues" dxfId="22" priority="1431"/>
  </conditionalFormatting>
  <conditionalFormatting sqref="Y217">
    <cfRule type="duplicateValues" dxfId="21" priority="1432"/>
  </conditionalFormatting>
  <conditionalFormatting sqref="AA217">
    <cfRule type="duplicateValues" dxfId="20" priority="1433"/>
  </conditionalFormatting>
  <conditionalFormatting sqref="B219">
    <cfRule type="duplicateValues" dxfId="19" priority="18"/>
    <cfRule type="duplicateValues" dxfId="18" priority="19"/>
    <cfRule type="duplicateValues" dxfId="17" priority="20"/>
  </conditionalFormatting>
  <conditionalFormatting sqref="U219">
    <cfRule type="duplicateValues" dxfId="16" priority="17"/>
  </conditionalFormatting>
  <conditionalFormatting sqref="V219:W219 Y219:AA219">
    <cfRule type="duplicateValues" dxfId="15" priority="16"/>
  </conditionalFormatting>
  <conditionalFormatting sqref="X219">
    <cfRule type="duplicateValues" dxfId="14" priority="15"/>
  </conditionalFormatting>
  <conditionalFormatting sqref="B219">
    <cfRule type="duplicateValues" dxfId="13" priority="12"/>
    <cfRule type="duplicateValues" dxfId="12" priority="13"/>
    <cfRule type="duplicateValues" dxfId="11" priority="14"/>
  </conditionalFormatting>
  <conditionalFormatting sqref="U219">
    <cfRule type="duplicateValues" dxfId="10" priority="11"/>
  </conditionalFormatting>
  <conditionalFormatting sqref="V219:AA219">
    <cfRule type="duplicateValues" dxfId="9" priority="10"/>
  </conditionalFormatting>
  <conditionalFormatting sqref="U221">
    <cfRule type="duplicateValues" dxfId="8" priority="9"/>
  </conditionalFormatting>
  <conditionalFormatting sqref="B221">
    <cfRule type="duplicateValues" dxfId="7" priority="8"/>
  </conditionalFormatting>
  <conditionalFormatting sqref="B221">
    <cfRule type="duplicateValues" dxfId="6" priority="7"/>
  </conditionalFormatting>
  <conditionalFormatting sqref="B221">
    <cfRule type="duplicateValues" dxfId="5" priority="6"/>
  </conditionalFormatting>
  <conditionalFormatting sqref="V221:AA221">
    <cfRule type="duplicateValues" dxfId="4" priority="5"/>
  </conditionalFormatting>
  <conditionalFormatting sqref="U221">
    <cfRule type="duplicateValues" dxfId="3" priority="4"/>
  </conditionalFormatting>
  <conditionalFormatting sqref="B22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247</TotalTime>
  <Application>LibreOffice/26.2.1.2$Windows_X86_64 LibreOffice_project/620$Build-2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</vt:lpstr>
      <vt:lpstr>New Joinee</vt:lpstr>
      <vt:lpstr>Left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dc:description/>
  <cp:lastModifiedBy>User</cp:lastModifiedBy>
  <cp:revision>14</cp:revision>
  <dcterms:created xsi:type="dcterms:W3CDTF">2015-06-05T18:17:20Z</dcterms:created>
  <dcterms:modified xsi:type="dcterms:W3CDTF">2026-08-20T08:45:45Z</dcterms:modified>
  <dc:language>en-GB</dc:language>
</cp:coreProperties>
</file>